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idua\Downloads\"/>
    </mc:Choice>
  </mc:AlternateContent>
  <xr:revisionPtr revIDLastSave="0" documentId="8_{C7C3EF55-206C-4537-95D6-31FF3058DB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ersonal de Apoyo" sheetId="1" r:id="rId1"/>
    <sheet name="Voluntarios" sheetId="2" r:id="rId2"/>
    <sheet name="BD" sheetId="3" r:id="rId3"/>
  </sheets>
  <definedNames>
    <definedName name="_xlnm._FilterDatabase" localSheetId="2" hidden="1">BD!$A$1:$Z$584</definedName>
    <definedName name="_xlnm._FilterDatabase" localSheetId="0" hidden="1">'Personal de Apoyo'!$B$11:$AD$149</definedName>
    <definedName name="_xlnm._FilterDatabase" localSheetId="1" hidden="1">Voluntarios!$A$10:$AH$166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45yXtOYnbRcLhDnemBF8X1ydWft+MDvov/6stWVrY/Y="/>
    </ext>
  </extLst>
</workbook>
</file>

<file path=xl/calcChain.xml><?xml version="1.0" encoding="utf-8"?>
<calcChain xmlns="http://schemas.openxmlformats.org/spreadsheetml/2006/main">
  <c r="Z166" i="2" l="1"/>
  <c r="V166" i="2"/>
  <c r="W166" i="2" s="1"/>
  <c r="U166" i="2"/>
  <c r="Q166" i="2"/>
  <c r="R166" i="2" s="1"/>
  <c r="S166" i="2" s="1"/>
  <c r="N166" i="2"/>
  <c r="O166" i="2" s="1"/>
  <c r="M166" i="2"/>
  <c r="G166" i="2"/>
  <c r="D166" i="2"/>
  <c r="C166" i="2"/>
  <c r="AB165" i="2"/>
  <c r="Z165" i="2"/>
  <c r="U165" i="2"/>
  <c r="V165" i="2" s="1"/>
  <c r="W165" i="2" s="1"/>
  <c r="R165" i="2"/>
  <c r="S165" i="2" s="1"/>
  <c r="Q165" i="2"/>
  <c r="M165" i="2"/>
  <c r="N165" i="2" s="1"/>
  <c r="G165" i="2"/>
  <c r="D165" i="2"/>
  <c r="C165" i="2"/>
  <c r="AB164" i="2"/>
  <c r="Z164" i="2"/>
  <c r="V164" i="2"/>
  <c r="W164" i="2" s="1"/>
  <c r="U164" i="2"/>
  <c r="Q164" i="2"/>
  <c r="R164" i="2" s="1"/>
  <c r="S164" i="2" s="1"/>
  <c r="N164" i="2"/>
  <c r="O164" i="2" s="1"/>
  <c r="M164" i="2"/>
  <c r="G164" i="2"/>
  <c r="D164" i="2"/>
  <c r="C164" i="2"/>
  <c r="AB163" i="2"/>
  <c r="Z163" i="2"/>
  <c r="U163" i="2"/>
  <c r="V163" i="2" s="1"/>
  <c r="W163" i="2" s="1"/>
  <c r="R163" i="2"/>
  <c r="S163" i="2" s="1"/>
  <c r="Q163" i="2"/>
  <c r="M163" i="2"/>
  <c r="N163" i="2" s="1"/>
  <c r="G163" i="2"/>
  <c r="D163" i="2"/>
  <c r="C163" i="2"/>
  <c r="Z162" i="2"/>
  <c r="AB162" i="2" s="1"/>
  <c r="V162" i="2"/>
  <c r="W162" i="2" s="1"/>
  <c r="U162" i="2"/>
  <c r="Q162" i="2"/>
  <c r="R162" i="2" s="1"/>
  <c r="S162" i="2" s="1"/>
  <c r="N162" i="2"/>
  <c r="O162" i="2" s="1"/>
  <c r="M162" i="2"/>
  <c r="G162" i="2"/>
  <c r="D162" i="2"/>
  <c r="C162" i="2"/>
  <c r="Z161" i="2"/>
  <c r="AB161" i="2" s="1"/>
  <c r="U161" i="2"/>
  <c r="V161" i="2" s="1"/>
  <c r="W161" i="2" s="1"/>
  <c r="R161" i="2"/>
  <c r="S161" i="2" s="1"/>
  <c r="Q161" i="2"/>
  <c r="M161" i="2"/>
  <c r="N161" i="2" s="1"/>
  <c r="G161" i="2"/>
  <c r="D161" i="2"/>
  <c r="C161" i="2"/>
  <c r="AB160" i="2"/>
  <c r="Z160" i="2"/>
  <c r="V160" i="2"/>
  <c r="W160" i="2" s="1"/>
  <c r="U160" i="2"/>
  <c r="Q160" i="2"/>
  <c r="R160" i="2" s="1"/>
  <c r="S160" i="2" s="1"/>
  <c r="M160" i="2"/>
  <c r="G160" i="2"/>
  <c r="D160" i="2"/>
  <c r="C160" i="2"/>
  <c r="AB159" i="2"/>
  <c r="Z159" i="2"/>
  <c r="U159" i="2"/>
  <c r="V159" i="2" s="1"/>
  <c r="W159" i="2" s="1"/>
  <c r="R159" i="2"/>
  <c r="S159" i="2" s="1"/>
  <c r="Q159" i="2"/>
  <c r="N159" i="2"/>
  <c r="M159" i="2"/>
  <c r="G159" i="2"/>
  <c r="D159" i="2"/>
  <c r="C159" i="2"/>
  <c r="AB158" i="2"/>
  <c r="Z158" i="2"/>
  <c r="V158" i="2"/>
  <c r="W158" i="2" s="1"/>
  <c r="U158" i="2"/>
  <c r="Q158" i="2"/>
  <c r="R158" i="2" s="1"/>
  <c r="S158" i="2" s="1"/>
  <c r="M158" i="2"/>
  <c r="G158" i="2"/>
  <c r="D158" i="2"/>
  <c r="C158" i="2"/>
  <c r="Z157" i="2"/>
  <c r="U157" i="2"/>
  <c r="V157" i="2" s="1"/>
  <c r="W157" i="2" s="1"/>
  <c r="Q157" i="2"/>
  <c r="R157" i="2" s="1"/>
  <c r="S157" i="2" s="1"/>
  <c r="N157" i="2"/>
  <c r="O157" i="2" s="1"/>
  <c r="M157" i="2"/>
  <c r="G157" i="2"/>
  <c r="D157" i="2"/>
  <c r="C157" i="2"/>
  <c r="Z156" i="2"/>
  <c r="AB156" i="2" s="1"/>
  <c r="V156" i="2"/>
  <c r="W156" i="2" s="1"/>
  <c r="U156" i="2"/>
  <c r="R156" i="2"/>
  <c r="Q156" i="2"/>
  <c r="M156" i="2"/>
  <c r="N156" i="2" s="1"/>
  <c r="O156" i="2" s="1"/>
  <c r="G156" i="2"/>
  <c r="D156" i="2"/>
  <c r="C156" i="2"/>
  <c r="AB155" i="2"/>
  <c r="Z155" i="2"/>
  <c r="U155" i="2"/>
  <c r="V155" i="2" s="1"/>
  <c r="W155" i="2" s="1"/>
  <c r="R155" i="2"/>
  <c r="S155" i="2" s="1"/>
  <c r="Q155" i="2"/>
  <c r="M155" i="2"/>
  <c r="G155" i="2"/>
  <c r="D155" i="2"/>
  <c r="C155" i="2"/>
  <c r="AB154" i="2"/>
  <c r="Z154" i="2"/>
  <c r="U154" i="2"/>
  <c r="V154" i="2" s="1"/>
  <c r="W154" i="2" s="1"/>
  <c r="R154" i="2"/>
  <c r="S154" i="2" s="1"/>
  <c r="Q154" i="2"/>
  <c r="N154" i="2"/>
  <c r="O154" i="2" s="1"/>
  <c r="M154" i="2"/>
  <c r="G154" i="2"/>
  <c r="D154" i="2"/>
  <c r="C154" i="2"/>
  <c r="Z153" i="2"/>
  <c r="AB153" i="2" s="1"/>
  <c r="V153" i="2"/>
  <c r="W153" i="2" s="1"/>
  <c r="U153" i="2"/>
  <c r="Q153" i="2"/>
  <c r="R153" i="2" s="1"/>
  <c r="S153" i="2" s="1"/>
  <c r="M153" i="2"/>
  <c r="N153" i="2" s="1"/>
  <c r="O153" i="2" s="1"/>
  <c r="G153" i="2"/>
  <c r="D153" i="2"/>
  <c r="C153" i="2"/>
  <c r="AB152" i="2"/>
  <c r="Z152" i="2"/>
  <c r="V152" i="2"/>
  <c r="W152" i="2" s="1"/>
  <c r="U152" i="2"/>
  <c r="Q152" i="2"/>
  <c r="R152" i="2" s="1"/>
  <c r="S152" i="2" s="1"/>
  <c r="N152" i="2"/>
  <c r="O152" i="2" s="1"/>
  <c r="M152" i="2"/>
  <c r="G152" i="2"/>
  <c r="D152" i="2"/>
  <c r="C152" i="2"/>
  <c r="Z151" i="2"/>
  <c r="V151" i="2"/>
  <c r="W151" i="2" s="1"/>
  <c r="U151" i="2"/>
  <c r="R151" i="2"/>
  <c r="S151" i="2" s="1"/>
  <c r="Q151" i="2"/>
  <c r="N151" i="2"/>
  <c r="O151" i="2" s="1"/>
  <c r="M151" i="2"/>
  <c r="G151" i="2"/>
  <c r="D151" i="2"/>
  <c r="C151" i="2"/>
  <c r="Z150" i="2"/>
  <c r="AB150" i="2" s="1"/>
  <c r="U150" i="2"/>
  <c r="V150" i="2" s="1"/>
  <c r="W150" i="2" s="1"/>
  <c r="Q150" i="2"/>
  <c r="R150" i="2" s="1"/>
  <c r="S150" i="2" s="1"/>
  <c r="M150" i="2"/>
  <c r="G150" i="2"/>
  <c r="D150" i="2"/>
  <c r="C150" i="2"/>
  <c r="Z149" i="2"/>
  <c r="U149" i="2"/>
  <c r="V149" i="2" s="1"/>
  <c r="W149" i="2" s="1"/>
  <c r="R149" i="2"/>
  <c r="S149" i="2" s="1"/>
  <c r="Q149" i="2"/>
  <c r="M149" i="2"/>
  <c r="G149" i="2"/>
  <c r="D149" i="2"/>
  <c r="C149" i="2"/>
  <c r="AB148" i="2"/>
  <c r="Z148" i="2"/>
  <c r="V148" i="2"/>
  <c r="W148" i="2" s="1"/>
  <c r="U148" i="2"/>
  <c r="R148" i="2"/>
  <c r="S148" i="2" s="1"/>
  <c r="Q148" i="2"/>
  <c r="N148" i="2"/>
  <c r="O148" i="2" s="1"/>
  <c r="M148" i="2"/>
  <c r="G148" i="2"/>
  <c r="D148" i="2"/>
  <c r="C148" i="2"/>
  <c r="AB147" i="2"/>
  <c r="Z147" i="2"/>
  <c r="U147" i="2"/>
  <c r="V147" i="2" s="1"/>
  <c r="W147" i="2" s="1"/>
  <c r="Q147" i="2"/>
  <c r="R147" i="2" s="1"/>
  <c r="S147" i="2" s="1"/>
  <c r="M147" i="2"/>
  <c r="G147" i="2"/>
  <c r="D147" i="2"/>
  <c r="C147" i="2"/>
  <c r="Z146" i="2"/>
  <c r="V146" i="2"/>
  <c r="W146" i="2" s="1"/>
  <c r="U146" i="2"/>
  <c r="Q146" i="2"/>
  <c r="R146" i="2" s="1"/>
  <c r="S146" i="2" s="1"/>
  <c r="N146" i="2"/>
  <c r="O146" i="2" s="1"/>
  <c r="M146" i="2"/>
  <c r="G146" i="2"/>
  <c r="D146" i="2"/>
  <c r="C146" i="2"/>
  <c r="Z145" i="2"/>
  <c r="AB145" i="2" s="1"/>
  <c r="V145" i="2"/>
  <c r="W145" i="2" s="1"/>
  <c r="U145" i="2"/>
  <c r="R145" i="2"/>
  <c r="S145" i="2" s="1"/>
  <c r="Q145" i="2"/>
  <c r="N145" i="2"/>
  <c r="M145" i="2"/>
  <c r="G145" i="2"/>
  <c r="D145" i="2"/>
  <c r="C145" i="2"/>
  <c r="Z144" i="2"/>
  <c r="U144" i="2"/>
  <c r="V144" i="2" s="1"/>
  <c r="W144" i="2" s="1"/>
  <c r="Q144" i="2"/>
  <c r="R144" i="2" s="1"/>
  <c r="S144" i="2" s="1"/>
  <c r="M144" i="2"/>
  <c r="G144" i="2"/>
  <c r="D144" i="2"/>
  <c r="C144" i="2"/>
  <c r="AB143" i="2"/>
  <c r="Z143" i="2"/>
  <c r="V143" i="2"/>
  <c r="W143" i="2" s="1"/>
  <c r="U143" i="2"/>
  <c r="Q143" i="2"/>
  <c r="R143" i="2" s="1"/>
  <c r="S143" i="2" s="1"/>
  <c r="N143" i="2"/>
  <c r="M143" i="2"/>
  <c r="G143" i="2"/>
  <c r="D143" i="2"/>
  <c r="C143" i="2"/>
  <c r="AB142" i="2"/>
  <c r="Z142" i="2"/>
  <c r="V142" i="2"/>
  <c r="W142" i="2" s="1"/>
  <c r="U142" i="2"/>
  <c r="R142" i="2"/>
  <c r="S142" i="2" s="1"/>
  <c r="Q142" i="2"/>
  <c r="N142" i="2"/>
  <c r="O142" i="2" s="1"/>
  <c r="M142" i="2"/>
  <c r="G142" i="2"/>
  <c r="D142" i="2"/>
  <c r="C142" i="2"/>
  <c r="Z141" i="2"/>
  <c r="U141" i="2"/>
  <c r="V141" i="2" s="1"/>
  <c r="W141" i="2" s="1"/>
  <c r="Q141" i="2"/>
  <c r="R141" i="2" s="1"/>
  <c r="S141" i="2" s="1"/>
  <c r="N141" i="2"/>
  <c r="O141" i="2" s="1"/>
  <c r="M141" i="2"/>
  <c r="G141" i="2"/>
  <c r="D141" i="2"/>
  <c r="C141" i="2"/>
  <c r="Z140" i="2"/>
  <c r="AB140" i="2" s="1"/>
  <c r="U140" i="2"/>
  <c r="V140" i="2" s="1"/>
  <c r="W140" i="2" s="1"/>
  <c r="Q140" i="2"/>
  <c r="R140" i="2" s="1"/>
  <c r="S140" i="2" s="1"/>
  <c r="M140" i="2"/>
  <c r="N140" i="2" s="1"/>
  <c r="G140" i="2"/>
  <c r="D140" i="2"/>
  <c r="C140" i="2"/>
  <c r="AB139" i="2"/>
  <c r="Z139" i="2"/>
  <c r="V139" i="2"/>
  <c r="W139" i="2" s="1"/>
  <c r="U139" i="2"/>
  <c r="Q139" i="2"/>
  <c r="R139" i="2" s="1"/>
  <c r="S139" i="2" s="1"/>
  <c r="M139" i="2"/>
  <c r="G139" i="2"/>
  <c r="D139" i="2"/>
  <c r="C139" i="2"/>
  <c r="AB138" i="2"/>
  <c r="Z138" i="2"/>
  <c r="U138" i="2"/>
  <c r="V138" i="2" s="1"/>
  <c r="W138" i="2" s="1"/>
  <c r="R138" i="2"/>
  <c r="S138" i="2" s="1"/>
  <c r="Q138" i="2"/>
  <c r="M138" i="2"/>
  <c r="G138" i="2"/>
  <c r="D138" i="2"/>
  <c r="C138" i="2"/>
  <c r="Z137" i="2"/>
  <c r="V137" i="2"/>
  <c r="W137" i="2" s="1"/>
  <c r="U137" i="2"/>
  <c r="Q137" i="2"/>
  <c r="R137" i="2" s="1"/>
  <c r="S137" i="2" s="1"/>
  <c r="M137" i="2"/>
  <c r="N137" i="2" s="1"/>
  <c r="O137" i="2" s="1"/>
  <c r="G137" i="2"/>
  <c r="D137" i="2"/>
  <c r="C137" i="2"/>
  <c r="AB136" i="2"/>
  <c r="Z136" i="2"/>
  <c r="U136" i="2"/>
  <c r="V136" i="2" s="1"/>
  <c r="W136" i="2" s="1"/>
  <c r="Q136" i="2"/>
  <c r="R136" i="2" s="1"/>
  <c r="S136" i="2" s="1"/>
  <c r="N136" i="2"/>
  <c r="O136" i="2" s="1"/>
  <c r="M136" i="2"/>
  <c r="G136" i="2"/>
  <c r="D136" i="2"/>
  <c r="C136" i="2"/>
  <c r="Z135" i="2"/>
  <c r="V135" i="2"/>
  <c r="W135" i="2" s="1"/>
  <c r="U135" i="2"/>
  <c r="R135" i="2"/>
  <c r="S135" i="2" s="1"/>
  <c r="Q135" i="2"/>
  <c r="N135" i="2"/>
  <c r="O135" i="2" s="1"/>
  <c r="M135" i="2"/>
  <c r="G135" i="2"/>
  <c r="D135" i="2"/>
  <c r="C135" i="2"/>
  <c r="Z134" i="2"/>
  <c r="AB134" i="2" s="1"/>
  <c r="U134" i="2"/>
  <c r="V134" i="2" s="1"/>
  <c r="W134" i="2" s="1"/>
  <c r="R134" i="2"/>
  <c r="S134" i="2" s="1"/>
  <c r="Q134" i="2"/>
  <c r="M134" i="2"/>
  <c r="G134" i="2"/>
  <c r="D134" i="2"/>
  <c r="C134" i="2"/>
  <c r="Z133" i="2"/>
  <c r="U133" i="2"/>
  <c r="V133" i="2" s="1"/>
  <c r="W133" i="2" s="1"/>
  <c r="R133" i="2"/>
  <c r="S133" i="2" s="1"/>
  <c r="Q133" i="2"/>
  <c r="N133" i="2"/>
  <c r="M133" i="2"/>
  <c r="G133" i="2"/>
  <c r="D133" i="2"/>
  <c r="C133" i="2"/>
  <c r="AB132" i="2"/>
  <c r="Z132" i="2"/>
  <c r="U132" i="2"/>
  <c r="V132" i="2" s="1"/>
  <c r="W132" i="2" s="1"/>
  <c r="R132" i="2"/>
  <c r="S132" i="2" s="1"/>
  <c r="Q132" i="2"/>
  <c r="N132" i="2"/>
  <c r="M132" i="2"/>
  <c r="G132" i="2"/>
  <c r="D132" i="2"/>
  <c r="C132" i="2"/>
  <c r="AB131" i="2"/>
  <c r="Z131" i="2"/>
  <c r="U131" i="2"/>
  <c r="V131" i="2" s="1"/>
  <c r="W131" i="2" s="1"/>
  <c r="Q131" i="2"/>
  <c r="R131" i="2" s="1"/>
  <c r="S131" i="2" s="1"/>
  <c r="M131" i="2"/>
  <c r="G131" i="2"/>
  <c r="D131" i="2"/>
  <c r="C131" i="2"/>
  <c r="Z130" i="2"/>
  <c r="AB130" i="2" s="1"/>
  <c r="V130" i="2"/>
  <c r="W130" i="2" s="1"/>
  <c r="U130" i="2"/>
  <c r="R130" i="2"/>
  <c r="S130" i="2" s="1"/>
  <c r="Q130" i="2"/>
  <c r="M130" i="2"/>
  <c r="G130" i="2"/>
  <c r="D130" i="2"/>
  <c r="C130" i="2"/>
  <c r="Z129" i="2"/>
  <c r="V129" i="2"/>
  <c r="W129" i="2" s="1"/>
  <c r="U129" i="2"/>
  <c r="R129" i="2"/>
  <c r="S129" i="2" s="1"/>
  <c r="Q129" i="2"/>
  <c r="N129" i="2"/>
  <c r="O129" i="2" s="1"/>
  <c r="M129" i="2"/>
  <c r="G129" i="2"/>
  <c r="D129" i="2"/>
  <c r="C129" i="2"/>
  <c r="Z128" i="2"/>
  <c r="U128" i="2"/>
  <c r="V128" i="2" s="1"/>
  <c r="W128" i="2" s="1"/>
  <c r="Q128" i="2"/>
  <c r="R128" i="2" s="1"/>
  <c r="S128" i="2" s="1"/>
  <c r="M128" i="2"/>
  <c r="G128" i="2"/>
  <c r="D128" i="2"/>
  <c r="C128" i="2"/>
  <c r="AB127" i="2"/>
  <c r="Z127" i="2"/>
  <c r="U127" i="2"/>
  <c r="V127" i="2" s="1"/>
  <c r="W127" i="2" s="1"/>
  <c r="Q127" i="2"/>
  <c r="R127" i="2" s="1"/>
  <c r="S127" i="2" s="1"/>
  <c r="M127" i="2"/>
  <c r="G127" i="2"/>
  <c r="D127" i="2"/>
  <c r="C127" i="2"/>
  <c r="AB126" i="2"/>
  <c r="Z126" i="2"/>
  <c r="V126" i="2"/>
  <c r="W126" i="2" s="1"/>
  <c r="U126" i="2"/>
  <c r="R126" i="2"/>
  <c r="S126" i="2" s="1"/>
  <c r="Q126" i="2"/>
  <c r="N126" i="2"/>
  <c r="O126" i="2" s="1"/>
  <c r="M126" i="2"/>
  <c r="G126" i="2"/>
  <c r="D126" i="2"/>
  <c r="C126" i="2"/>
  <c r="Z125" i="2"/>
  <c r="AB125" i="2" s="1"/>
  <c r="U125" i="2"/>
  <c r="V125" i="2" s="1"/>
  <c r="W125" i="2" s="1"/>
  <c r="Q125" i="2"/>
  <c r="R125" i="2" s="1"/>
  <c r="S125" i="2" s="1"/>
  <c r="N125" i="2"/>
  <c r="O125" i="2" s="1"/>
  <c r="M125" i="2"/>
  <c r="G125" i="2"/>
  <c r="D125" i="2"/>
  <c r="C125" i="2"/>
  <c r="Z124" i="2"/>
  <c r="AB124" i="2" s="1"/>
  <c r="V124" i="2"/>
  <c r="W124" i="2" s="1"/>
  <c r="U124" i="2"/>
  <c r="R124" i="2"/>
  <c r="S124" i="2" s="1"/>
  <c r="Q124" i="2"/>
  <c r="M124" i="2"/>
  <c r="N124" i="2" s="1"/>
  <c r="O124" i="2" s="1"/>
  <c r="G124" i="2"/>
  <c r="D124" i="2"/>
  <c r="C124" i="2"/>
  <c r="AB123" i="2"/>
  <c r="Z123" i="2"/>
  <c r="V123" i="2"/>
  <c r="W123" i="2" s="1"/>
  <c r="U123" i="2"/>
  <c r="R123" i="2"/>
  <c r="S123" i="2" s="1"/>
  <c r="Q123" i="2"/>
  <c r="M123" i="2"/>
  <c r="N123" i="2" s="1"/>
  <c r="O123" i="2" s="1"/>
  <c r="G123" i="2"/>
  <c r="D123" i="2"/>
  <c r="C123" i="2"/>
  <c r="Z122" i="2"/>
  <c r="U122" i="2"/>
  <c r="V122" i="2" s="1"/>
  <c r="W122" i="2" s="1"/>
  <c r="R122" i="2"/>
  <c r="S122" i="2" s="1"/>
  <c r="Q122" i="2"/>
  <c r="N122" i="2"/>
  <c r="O122" i="2" s="1"/>
  <c r="M122" i="2"/>
  <c r="G122" i="2"/>
  <c r="D122" i="2"/>
  <c r="C122" i="2"/>
  <c r="AB121" i="2"/>
  <c r="Z121" i="2"/>
  <c r="U121" i="2"/>
  <c r="V121" i="2" s="1"/>
  <c r="W121" i="2" s="1"/>
  <c r="Q121" i="2"/>
  <c r="R121" i="2" s="1"/>
  <c r="S121" i="2" s="1"/>
  <c r="N121" i="2"/>
  <c r="O121" i="2" s="1"/>
  <c r="M121" i="2"/>
  <c r="G121" i="2"/>
  <c r="D121" i="2"/>
  <c r="C121" i="2"/>
  <c r="AB120" i="2"/>
  <c r="Z120" i="2"/>
  <c r="U120" i="2"/>
  <c r="V120" i="2" s="1"/>
  <c r="W120" i="2" s="1"/>
  <c r="Q120" i="2"/>
  <c r="R120" i="2" s="1"/>
  <c r="S120" i="2" s="1"/>
  <c r="N120" i="2"/>
  <c r="O120" i="2" s="1"/>
  <c r="M120" i="2"/>
  <c r="G120" i="2"/>
  <c r="D120" i="2"/>
  <c r="C120" i="2"/>
  <c r="Z119" i="2"/>
  <c r="V119" i="2"/>
  <c r="W119" i="2" s="1"/>
  <c r="U119" i="2"/>
  <c r="Q119" i="2"/>
  <c r="R119" i="2" s="1"/>
  <c r="S119" i="2" s="1"/>
  <c r="N119" i="2"/>
  <c r="O119" i="2" s="1"/>
  <c r="M119" i="2"/>
  <c r="G119" i="2"/>
  <c r="D119" i="2"/>
  <c r="C119" i="2"/>
  <c r="Z118" i="2"/>
  <c r="AB118" i="2" s="1"/>
  <c r="U118" i="2"/>
  <c r="V118" i="2" s="1"/>
  <c r="W118" i="2" s="1"/>
  <c r="Q118" i="2"/>
  <c r="R118" i="2" s="1"/>
  <c r="S118" i="2" s="1"/>
  <c r="M118" i="2"/>
  <c r="G118" i="2"/>
  <c r="D118" i="2"/>
  <c r="C118" i="2"/>
  <c r="AB117" i="2"/>
  <c r="Z117" i="2"/>
  <c r="U117" i="2"/>
  <c r="V117" i="2" s="1"/>
  <c r="W117" i="2" s="1"/>
  <c r="R117" i="2"/>
  <c r="S117" i="2" s="1"/>
  <c r="Q117" i="2"/>
  <c r="N117" i="2"/>
  <c r="M117" i="2"/>
  <c r="G117" i="2"/>
  <c r="D117" i="2"/>
  <c r="C117" i="2"/>
  <c r="AB116" i="2"/>
  <c r="Z116" i="2"/>
  <c r="V116" i="2"/>
  <c r="W116" i="2" s="1"/>
  <c r="U116" i="2"/>
  <c r="R116" i="2"/>
  <c r="S116" i="2" s="1"/>
  <c r="Q116" i="2"/>
  <c r="N116" i="2"/>
  <c r="O116" i="2" s="1"/>
  <c r="M116" i="2"/>
  <c r="G116" i="2"/>
  <c r="D116" i="2"/>
  <c r="C116" i="2"/>
  <c r="AB115" i="2"/>
  <c r="Z115" i="2"/>
  <c r="V115" i="2"/>
  <c r="W115" i="2" s="1"/>
  <c r="U115" i="2"/>
  <c r="Q115" i="2"/>
  <c r="R115" i="2" s="1"/>
  <c r="S115" i="2" s="1"/>
  <c r="M115" i="2"/>
  <c r="G115" i="2"/>
  <c r="D115" i="2"/>
  <c r="C115" i="2"/>
  <c r="Z114" i="2"/>
  <c r="V114" i="2"/>
  <c r="W114" i="2" s="1"/>
  <c r="U114" i="2"/>
  <c r="R114" i="2"/>
  <c r="S114" i="2" s="1"/>
  <c r="Q114" i="2"/>
  <c r="M114" i="2"/>
  <c r="G114" i="2"/>
  <c r="D114" i="2"/>
  <c r="C114" i="2"/>
  <c r="Z113" i="2"/>
  <c r="AB113" i="2" s="1"/>
  <c r="V113" i="2"/>
  <c r="W113" i="2" s="1"/>
  <c r="U113" i="2"/>
  <c r="R113" i="2"/>
  <c r="S113" i="2" s="1"/>
  <c r="Q113" i="2"/>
  <c r="N113" i="2"/>
  <c r="M113" i="2"/>
  <c r="G113" i="2"/>
  <c r="D113" i="2"/>
  <c r="C113" i="2"/>
  <c r="AB112" i="2"/>
  <c r="Z112" i="2"/>
  <c r="U112" i="2"/>
  <c r="V112" i="2" s="1"/>
  <c r="W112" i="2" s="1"/>
  <c r="R112" i="2"/>
  <c r="S112" i="2" s="1"/>
  <c r="Q112" i="2"/>
  <c r="M112" i="2"/>
  <c r="N112" i="2" s="1"/>
  <c r="O112" i="2" s="1"/>
  <c r="G112" i="2"/>
  <c r="D112" i="2"/>
  <c r="C112" i="2"/>
  <c r="AB111" i="2"/>
  <c r="Z111" i="2"/>
  <c r="V111" i="2"/>
  <c r="W111" i="2" s="1"/>
  <c r="U111" i="2"/>
  <c r="R111" i="2"/>
  <c r="S111" i="2" s="1"/>
  <c r="Q111" i="2"/>
  <c r="M111" i="2"/>
  <c r="G111" i="2"/>
  <c r="D111" i="2"/>
  <c r="C111" i="2"/>
  <c r="AB110" i="2"/>
  <c r="Z110" i="2"/>
  <c r="U110" i="2"/>
  <c r="V110" i="2" s="1"/>
  <c r="W110" i="2" s="1"/>
  <c r="R110" i="2"/>
  <c r="S110" i="2" s="1"/>
  <c r="Q110" i="2"/>
  <c r="M110" i="2"/>
  <c r="G110" i="2"/>
  <c r="D110" i="2"/>
  <c r="C110" i="2"/>
  <c r="Z109" i="2"/>
  <c r="AB109" i="2" s="1"/>
  <c r="U109" i="2"/>
  <c r="V109" i="2" s="1"/>
  <c r="W109" i="2" s="1"/>
  <c r="Q109" i="2"/>
  <c r="R109" i="2" s="1"/>
  <c r="S109" i="2" s="1"/>
  <c r="N109" i="2"/>
  <c r="O109" i="2" s="1"/>
  <c r="M109" i="2"/>
  <c r="G109" i="2"/>
  <c r="D109" i="2"/>
  <c r="C109" i="2"/>
  <c r="Z108" i="2"/>
  <c r="AB108" i="2" s="1"/>
  <c r="U108" i="2"/>
  <c r="V108" i="2" s="1"/>
  <c r="Q108" i="2"/>
  <c r="R108" i="2" s="1"/>
  <c r="S108" i="2" s="1"/>
  <c r="M108" i="2"/>
  <c r="N108" i="2" s="1"/>
  <c r="O108" i="2" s="1"/>
  <c r="G108" i="2"/>
  <c r="D108" i="2"/>
  <c r="C108" i="2"/>
  <c r="Z107" i="2"/>
  <c r="V107" i="2"/>
  <c r="W107" i="2" s="1"/>
  <c r="U107" i="2"/>
  <c r="Q107" i="2"/>
  <c r="R107" i="2" s="1"/>
  <c r="M107" i="2"/>
  <c r="N107" i="2" s="1"/>
  <c r="O107" i="2" s="1"/>
  <c r="G107" i="2"/>
  <c r="D107" i="2"/>
  <c r="C107" i="2"/>
  <c r="Z106" i="2"/>
  <c r="U106" i="2"/>
  <c r="V106" i="2" s="1"/>
  <c r="W106" i="2" s="1"/>
  <c r="R106" i="2"/>
  <c r="S106" i="2" s="1"/>
  <c r="Q106" i="2"/>
  <c r="N106" i="2"/>
  <c r="O106" i="2" s="1"/>
  <c r="M106" i="2"/>
  <c r="G106" i="2"/>
  <c r="D106" i="2"/>
  <c r="C106" i="2"/>
  <c r="Z105" i="2"/>
  <c r="AB105" i="2" s="1"/>
  <c r="V105" i="2"/>
  <c r="W105" i="2" s="1"/>
  <c r="U105" i="2"/>
  <c r="Q105" i="2"/>
  <c r="R105" i="2" s="1"/>
  <c r="S105" i="2" s="1"/>
  <c r="N105" i="2"/>
  <c r="O105" i="2" s="1"/>
  <c r="M105" i="2"/>
  <c r="G105" i="2"/>
  <c r="D105" i="2"/>
  <c r="C105" i="2"/>
  <c r="AB104" i="2"/>
  <c r="Z104" i="2"/>
  <c r="V104" i="2"/>
  <c r="W104" i="2" s="1"/>
  <c r="U104" i="2"/>
  <c r="Q104" i="2"/>
  <c r="R104" i="2" s="1"/>
  <c r="S104" i="2" s="1"/>
  <c r="N104" i="2"/>
  <c r="O104" i="2" s="1"/>
  <c r="M104" i="2"/>
  <c r="G104" i="2"/>
  <c r="D104" i="2"/>
  <c r="C104" i="2"/>
  <c r="Z103" i="2"/>
  <c r="V103" i="2"/>
  <c r="W103" i="2" s="1"/>
  <c r="U103" i="2"/>
  <c r="Q103" i="2"/>
  <c r="R103" i="2" s="1"/>
  <c r="S103" i="2" s="1"/>
  <c r="M103" i="2"/>
  <c r="N103" i="2" s="1"/>
  <c r="G103" i="2"/>
  <c r="D103" i="2"/>
  <c r="C103" i="2"/>
  <c r="Z102" i="2"/>
  <c r="AB102" i="2" s="1"/>
  <c r="U102" i="2"/>
  <c r="V102" i="2" s="1"/>
  <c r="W102" i="2" s="1"/>
  <c r="R102" i="2"/>
  <c r="S102" i="2" s="1"/>
  <c r="Q102" i="2"/>
  <c r="M102" i="2"/>
  <c r="G102" i="2"/>
  <c r="D102" i="2"/>
  <c r="C102" i="2"/>
  <c r="AB101" i="2"/>
  <c r="Z101" i="2"/>
  <c r="U101" i="2"/>
  <c r="V101" i="2" s="1"/>
  <c r="W101" i="2" s="1"/>
  <c r="R101" i="2"/>
  <c r="S101" i="2" s="1"/>
  <c r="Q101" i="2"/>
  <c r="N101" i="2"/>
  <c r="O101" i="2" s="1"/>
  <c r="M101" i="2"/>
  <c r="G101" i="2"/>
  <c r="D101" i="2"/>
  <c r="C101" i="2"/>
  <c r="AB100" i="2"/>
  <c r="Z100" i="2"/>
  <c r="U100" i="2"/>
  <c r="V100" i="2" s="1"/>
  <c r="W100" i="2" s="1"/>
  <c r="Q100" i="2"/>
  <c r="R100" i="2" s="1"/>
  <c r="S100" i="2" s="1"/>
  <c r="M100" i="2"/>
  <c r="G100" i="2"/>
  <c r="D100" i="2"/>
  <c r="C100" i="2"/>
  <c r="AB99" i="2"/>
  <c r="Z99" i="2"/>
  <c r="V99" i="2"/>
  <c r="W99" i="2" s="1"/>
  <c r="U99" i="2"/>
  <c r="Q99" i="2"/>
  <c r="R99" i="2" s="1"/>
  <c r="S99" i="2" s="1"/>
  <c r="N99" i="2"/>
  <c r="O99" i="2" s="1"/>
  <c r="M99" i="2"/>
  <c r="G99" i="2"/>
  <c r="D99" i="2"/>
  <c r="C99" i="2"/>
  <c r="Z98" i="2"/>
  <c r="V98" i="2"/>
  <c r="W98" i="2" s="1"/>
  <c r="U98" i="2"/>
  <c r="R98" i="2"/>
  <c r="S98" i="2" s="1"/>
  <c r="Q98" i="2"/>
  <c r="M98" i="2"/>
  <c r="N98" i="2" s="1"/>
  <c r="O98" i="2" s="1"/>
  <c r="G98" i="2"/>
  <c r="D98" i="2"/>
  <c r="C98" i="2"/>
  <c r="Z97" i="2"/>
  <c r="AB97" i="2" s="1"/>
  <c r="U97" i="2"/>
  <c r="V97" i="2" s="1"/>
  <c r="W97" i="2" s="1"/>
  <c r="Q97" i="2"/>
  <c r="R97" i="2" s="1"/>
  <c r="S97" i="2" s="1"/>
  <c r="N97" i="2"/>
  <c r="O97" i="2" s="1"/>
  <c r="M97" i="2"/>
  <c r="G97" i="2"/>
  <c r="D97" i="2"/>
  <c r="C97" i="2"/>
  <c r="AB96" i="2"/>
  <c r="Z96" i="2"/>
  <c r="U96" i="2"/>
  <c r="V96" i="2" s="1"/>
  <c r="W96" i="2" s="1"/>
  <c r="Q96" i="2"/>
  <c r="R96" i="2" s="1"/>
  <c r="S96" i="2" s="1"/>
  <c r="M96" i="2"/>
  <c r="G96" i="2"/>
  <c r="D96" i="2"/>
  <c r="C96" i="2"/>
  <c r="AB95" i="2"/>
  <c r="Z95" i="2"/>
  <c r="U95" i="2"/>
  <c r="V95" i="2" s="1"/>
  <c r="W95" i="2" s="1"/>
  <c r="R95" i="2"/>
  <c r="S95" i="2" s="1"/>
  <c r="Q95" i="2"/>
  <c r="M95" i="2"/>
  <c r="G95" i="2"/>
  <c r="D95" i="2"/>
  <c r="C95" i="2"/>
  <c r="AB94" i="2"/>
  <c r="Z94" i="2"/>
  <c r="V94" i="2"/>
  <c r="W94" i="2" s="1"/>
  <c r="U94" i="2"/>
  <c r="R94" i="2"/>
  <c r="S94" i="2" s="1"/>
  <c r="Q94" i="2"/>
  <c r="N94" i="2"/>
  <c r="O94" i="2" s="1"/>
  <c r="M94" i="2"/>
  <c r="G94" i="2"/>
  <c r="D94" i="2"/>
  <c r="C94" i="2"/>
  <c r="Z93" i="2"/>
  <c r="AB93" i="2" s="1"/>
  <c r="V93" i="2"/>
  <c r="W93" i="2" s="1"/>
  <c r="U93" i="2"/>
  <c r="Q93" i="2"/>
  <c r="R93" i="2" s="1"/>
  <c r="S93" i="2" s="1"/>
  <c r="N93" i="2"/>
  <c r="O93" i="2" s="1"/>
  <c r="M93" i="2"/>
  <c r="G93" i="2"/>
  <c r="D93" i="2"/>
  <c r="C93" i="2"/>
  <c r="Z92" i="2"/>
  <c r="AB92" i="2" s="1"/>
  <c r="U92" i="2"/>
  <c r="V92" i="2" s="1"/>
  <c r="W92" i="2" s="1"/>
  <c r="Q92" i="2"/>
  <c r="R92" i="2" s="1"/>
  <c r="S92" i="2" s="1"/>
  <c r="M92" i="2"/>
  <c r="N92" i="2" s="1"/>
  <c r="O92" i="2" s="1"/>
  <c r="G92" i="2"/>
  <c r="D92" i="2"/>
  <c r="C92" i="2"/>
  <c r="AB91" i="2"/>
  <c r="Z91" i="2"/>
  <c r="V91" i="2"/>
  <c r="W91" i="2" s="1"/>
  <c r="U91" i="2"/>
  <c r="Q91" i="2"/>
  <c r="R91" i="2" s="1"/>
  <c r="S91" i="2" s="1"/>
  <c r="M91" i="2"/>
  <c r="N91" i="2" s="1"/>
  <c r="G91" i="2"/>
  <c r="D91" i="2"/>
  <c r="C91" i="2"/>
  <c r="AB90" i="2"/>
  <c r="Z90" i="2"/>
  <c r="U90" i="2"/>
  <c r="V90" i="2" s="1"/>
  <c r="W90" i="2" s="1"/>
  <c r="R90" i="2"/>
  <c r="S90" i="2" s="1"/>
  <c r="Q90" i="2"/>
  <c r="M90" i="2"/>
  <c r="N90" i="2" s="1"/>
  <c r="O90" i="2" s="1"/>
  <c r="G90" i="2"/>
  <c r="D90" i="2"/>
  <c r="C90" i="2"/>
  <c r="Z89" i="2"/>
  <c r="U89" i="2"/>
  <c r="Q89" i="2"/>
  <c r="R89" i="2" s="1"/>
  <c r="S89" i="2" s="1"/>
  <c r="M89" i="2"/>
  <c r="N89" i="2" s="1"/>
  <c r="O89" i="2" s="1"/>
  <c r="G89" i="2"/>
  <c r="D89" i="2"/>
  <c r="C89" i="2"/>
  <c r="AB88" i="2"/>
  <c r="Z88" i="2"/>
  <c r="U88" i="2"/>
  <c r="V88" i="2" s="1"/>
  <c r="W88" i="2" s="1"/>
  <c r="R88" i="2"/>
  <c r="Q88" i="2"/>
  <c r="N88" i="2"/>
  <c r="O88" i="2" s="1"/>
  <c r="M88" i="2"/>
  <c r="G88" i="2"/>
  <c r="D88" i="2"/>
  <c r="C88" i="2"/>
  <c r="AB87" i="2"/>
  <c r="Z87" i="2"/>
  <c r="V87" i="2"/>
  <c r="W87" i="2" s="1"/>
  <c r="U87" i="2"/>
  <c r="R87" i="2"/>
  <c r="S87" i="2" s="1"/>
  <c r="Q87" i="2"/>
  <c r="M87" i="2"/>
  <c r="N87" i="2" s="1"/>
  <c r="O87" i="2" s="1"/>
  <c r="G87" i="2"/>
  <c r="D87" i="2"/>
  <c r="C87" i="2"/>
  <c r="Z86" i="2"/>
  <c r="U86" i="2"/>
  <c r="V86" i="2" s="1"/>
  <c r="W86" i="2" s="1"/>
  <c r="R86" i="2"/>
  <c r="S86" i="2" s="1"/>
  <c r="Q86" i="2"/>
  <c r="M86" i="2"/>
  <c r="G86" i="2"/>
  <c r="D86" i="2"/>
  <c r="C86" i="2"/>
  <c r="AB85" i="2"/>
  <c r="Z85" i="2"/>
  <c r="V85" i="2"/>
  <c r="W85" i="2" s="1"/>
  <c r="U85" i="2"/>
  <c r="R85" i="2"/>
  <c r="S85" i="2" s="1"/>
  <c r="Q85" i="2"/>
  <c r="N85" i="2"/>
  <c r="M85" i="2"/>
  <c r="G85" i="2"/>
  <c r="D85" i="2"/>
  <c r="C85" i="2"/>
  <c r="AB84" i="2"/>
  <c r="Z84" i="2"/>
  <c r="U84" i="2"/>
  <c r="V84" i="2" s="1"/>
  <c r="W84" i="2" s="1"/>
  <c r="Q84" i="2"/>
  <c r="R84" i="2" s="1"/>
  <c r="S84" i="2" s="1"/>
  <c r="N84" i="2"/>
  <c r="O84" i="2" s="1"/>
  <c r="M84" i="2"/>
  <c r="G84" i="2"/>
  <c r="D84" i="2"/>
  <c r="C84" i="2"/>
  <c r="Z83" i="2"/>
  <c r="V83" i="2"/>
  <c r="W83" i="2" s="1"/>
  <c r="U83" i="2"/>
  <c r="Q83" i="2"/>
  <c r="R83" i="2" s="1"/>
  <c r="S83" i="2" s="1"/>
  <c r="M83" i="2"/>
  <c r="G83" i="2"/>
  <c r="D83" i="2"/>
  <c r="C83" i="2"/>
  <c r="Z82" i="2"/>
  <c r="AB82" i="2" s="1"/>
  <c r="V82" i="2"/>
  <c r="W82" i="2" s="1"/>
  <c r="U82" i="2"/>
  <c r="R82" i="2"/>
  <c r="S82" i="2" s="1"/>
  <c r="Q82" i="2"/>
  <c r="M82" i="2"/>
  <c r="G82" i="2"/>
  <c r="D82" i="2"/>
  <c r="C82" i="2"/>
  <c r="AB81" i="2"/>
  <c r="Z81" i="2"/>
  <c r="U81" i="2"/>
  <c r="V81" i="2" s="1"/>
  <c r="W81" i="2" s="1"/>
  <c r="Q81" i="2"/>
  <c r="R81" i="2" s="1"/>
  <c r="S81" i="2" s="1"/>
  <c r="N81" i="2"/>
  <c r="O81" i="2" s="1"/>
  <c r="AA81" i="2" s="1"/>
  <c r="M81" i="2"/>
  <c r="G81" i="2"/>
  <c r="D81" i="2"/>
  <c r="C81" i="2"/>
  <c r="Z80" i="2"/>
  <c r="U80" i="2"/>
  <c r="V80" i="2" s="1"/>
  <c r="W80" i="2" s="1"/>
  <c r="Q80" i="2"/>
  <c r="R80" i="2" s="1"/>
  <c r="S80" i="2" s="1"/>
  <c r="N80" i="2"/>
  <c r="M80" i="2"/>
  <c r="G80" i="2"/>
  <c r="D80" i="2"/>
  <c r="C80" i="2"/>
  <c r="AB79" i="2"/>
  <c r="Z79" i="2"/>
  <c r="V79" i="2"/>
  <c r="W79" i="2" s="1"/>
  <c r="U79" i="2"/>
  <c r="Q79" i="2"/>
  <c r="R79" i="2" s="1"/>
  <c r="S79" i="2" s="1"/>
  <c r="N79" i="2"/>
  <c r="O79" i="2" s="1"/>
  <c r="M79" i="2"/>
  <c r="G79" i="2"/>
  <c r="D79" i="2"/>
  <c r="C79" i="2"/>
  <c r="AB78" i="2"/>
  <c r="Z78" i="2"/>
  <c r="V78" i="2"/>
  <c r="W78" i="2" s="1"/>
  <c r="U78" i="2"/>
  <c r="Q78" i="2"/>
  <c r="R78" i="2" s="1"/>
  <c r="S78" i="2" s="1"/>
  <c r="N78" i="2"/>
  <c r="O78" i="2" s="1"/>
  <c r="M78" i="2"/>
  <c r="G78" i="2"/>
  <c r="D78" i="2"/>
  <c r="C78" i="2"/>
  <c r="Z77" i="2"/>
  <c r="AB77" i="2" s="1"/>
  <c r="V77" i="2"/>
  <c r="W77" i="2" s="1"/>
  <c r="U77" i="2"/>
  <c r="R77" i="2"/>
  <c r="S77" i="2" s="1"/>
  <c r="Q77" i="2"/>
  <c r="N77" i="2"/>
  <c r="O77" i="2" s="1"/>
  <c r="M77" i="2"/>
  <c r="G77" i="2"/>
  <c r="D77" i="2"/>
  <c r="C77" i="2"/>
  <c r="Z76" i="2"/>
  <c r="U76" i="2"/>
  <c r="V76" i="2" s="1"/>
  <c r="W76" i="2" s="1"/>
  <c r="Q76" i="2"/>
  <c r="R76" i="2" s="1"/>
  <c r="S76" i="2" s="1"/>
  <c r="M76" i="2"/>
  <c r="N76" i="2" s="1"/>
  <c r="O76" i="2" s="1"/>
  <c r="G76" i="2"/>
  <c r="D76" i="2"/>
  <c r="C76" i="2"/>
  <c r="Z75" i="2"/>
  <c r="U75" i="2"/>
  <c r="V75" i="2" s="1"/>
  <c r="W75" i="2" s="1"/>
  <c r="Q75" i="2"/>
  <c r="R75" i="2" s="1"/>
  <c r="S75" i="2" s="1"/>
  <c r="M75" i="2"/>
  <c r="N75" i="2" s="1"/>
  <c r="O75" i="2" s="1"/>
  <c r="G75" i="2"/>
  <c r="D75" i="2"/>
  <c r="C75" i="2"/>
  <c r="Z74" i="2"/>
  <c r="V74" i="2"/>
  <c r="W74" i="2" s="1"/>
  <c r="U74" i="2"/>
  <c r="R74" i="2"/>
  <c r="S74" i="2" s="1"/>
  <c r="Q74" i="2"/>
  <c r="M74" i="2"/>
  <c r="N74" i="2" s="1"/>
  <c r="O74" i="2" s="1"/>
  <c r="G74" i="2"/>
  <c r="D74" i="2"/>
  <c r="C74" i="2"/>
  <c r="Z73" i="2"/>
  <c r="AB73" i="2" s="1"/>
  <c r="V73" i="2"/>
  <c r="W73" i="2" s="1"/>
  <c r="U73" i="2"/>
  <c r="Q73" i="2"/>
  <c r="R73" i="2" s="1"/>
  <c r="S73" i="2" s="1"/>
  <c r="M73" i="2"/>
  <c r="N73" i="2" s="1"/>
  <c r="O73" i="2" s="1"/>
  <c r="G73" i="2"/>
  <c r="D73" i="2"/>
  <c r="C73" i="2"/>
  <c r="Z72" i="2"/>
  <c r="AB72" i="2" s="1"/>
  <c r="V72" i="2"/>
  <c r="W72" i="2" s="1"/>
  <c r="U72" i="2"/>
  <c r="Q72" i="2"/>
  <c r="R72" i="2" s="1"/>
  <c r="S72" i="2" s="1"/>
  <c r="N72" i="2"/>
  <c r="M72" i="2"/>
  <c r="G72" i="2"/>
  <c r="D72" i="2"/>
  <c r="C72" i="2"/>
  <c r="Z71" i="2"/>
  <c r="AB71" i="2" s="1"/>
  <c r="V71" i="2"/>
  <c r="W71" i="2" s="1"/>
  <c r="U71" i="2"/>
  <c r="Q71" i="2"/>
  <c r="R71" i="2" s="1"/>
  <c r="S71" i="2" s="1"/>
  <c r="M71" i="2"/>
  <c r="N71" i="2" s="1"/>
  <c r="O71" i="2" s="1"/>
  <c r="G71" i="2"/>
  <c r="D71" i="2"/>
  <c r="C71" i="2"/>
  <c r="Z70" i="2"/>
  <c r="AB70" i="2" s="1"/>
  <c r="U70" i="2"/>
  <c r="V70" i="2" s="1"/>
  <c r="W70" i="2" s="1"/>
  <c r="Q70" i="2"/>
  <c r="R70" i="2" s="1"/>
  <c r="S70" i="2" s="1"/>
  <c r="M70" i="2"/>
  <c r="G70" i="2"/>
  <c r="D70" i="2"/>
  <c r="C70" i="2"/>
  <c r="AB69" i="2"/>
  <c r="Z69" i="2"/>
  <c r="U69" i="2"/>
  <c r="V69" i="2" s="1"/>
  <c r="W69" i="2" s="1"/>
  <c r="R69" i="2"/>
  <c r="S69" i="2" s="1"/>
  <c r="Q69" i="2"/>
  <c r="N69" i="2"/>
  <c r="O69" i="2" s="1"/>
  <c r="M69" i="2"/>
  <c r="G69" i="2"/>
  <c r="D69" i="2"/>
  <c r="C69" i="2"/>
  <c r="AB68" i="2"/>
  <c r="Z68" i="2"/>
  <c r="U68" i="2"/>
  <c r="V68" i="2" s="1"/>
  <c r="W68" i="2" s="1"/>
  <c r="Q68" i="2"/>
  <c r="R68" i="2" s="1"/>
  <c r="S68" i="2" s="1"/>
  <c r="M68" i="2"/>
  <c r="G68" i="2"/>
  <c r="D68" i="2"/>
  <c r="C68" i="2"/>
  <c r="Z67" i="2"/>
  <c r="U67" i="2"/>
  <c r="V67" i="2" s="1"/>
  <c r="W67" i="2" s="1"/>
  <c r="Q67" i="2"/>
  <c r="R67" i="2" s="1"/>
  <c r="S67" i="2" s="1"/>
  <c r="M67" i="2"/>
  <c r="G67" i="2"/>
  <c r="D67" i="2"/>
  <c r="C67" i="2"/>
  <c r="Z66" i="2"/>
  <c r="AB66" i="2" s="1"/>
  <c r="V66" i="2"/>
  <c r="W66" i="2" s="1"/>
  <c r="U66" i="2"/>
  <c r="Q66" i="2"/>
  <c r="R66" i="2" s="1"/>
  <c r="S66" i="2" s="1"/>
  <c r="M66" i="2"/>
  <c r="G66" i="2"/>
  <c r="D66" i="2"/>
  <c r="C66" i="2"/>
  <c r="AB65" i="2"/>
  <c r="Z65" i="2"/>
  <c r="U65" i="2"/>
  <c r="V65" i="2" s="1"/>
  <c r="W65" i="2" s="1"/>
  <c r="Q65" i="2"/>
  <c r="R65" i="2" s="1"/>
  <c r="S65" i="2" s="1"/>
  <c r="N65" i="2"/>
  <c r="O65" i="2" s="1"/>
  <c r="M65" i="2"/>
  <c r="G65" i="2"/>
  <c r="D65" i="2"/>
  <c r="C65" i="2"/>
  <c r="AB64" i="2"/>
  <c r="Z64" i="2"/>
  <c r="U64" i="2"/>
  <c r="V64" i="2" s="1"/>
  <c r="W64" i="2" s="1"/>
  <c r="Q64" i="2"/>
  <c r="R64" i="2" s="1"/>
  <c r="S64" i="2" s="1"/>
  <c r="M64" i="2"/>
  <c r="N64" i="2" s="1"/>
  <c r="G64" i="2"/>
  <c r="D64" i="2"/>
  <c r="C64" i="2"/>
  <c r="AB63" i="2"/>
  <c r="Z63" i="2"/>
  <c r="V63" i="2"/>
  <c r="W63" i="2" s="1"/>
  <c r="U63" i="2"/>
  <c r="R63" i="2"/>
  <c r="Q63" i="2"/>
  <c r="M63" i="2"/>
  <c r="N63" i="2" s="1"/>
  <c r="O63" i="2" s="1"/>
  <c r="G63" i="2"/>
  <c r="D63" i="2"/>
  <c r="C63" i="2"/>
  <c r="AB62" i="2"/>
  <c r="Z62" i="2"/>
  <c r="V62" i="2"/>
  <c r="W62" i="2" s="1"/>
  <c r="U62" i="2"/>
  <c r="R62" i="2"/>
  <c r="S62" i="2" s="1"/>
  <c r="Q62" i="2"/>
  <c r="M62" i="2"/>
  <c r="G62" i="2"/>
  <c r="D62" i="2"/>
  <c r="C62" i="2"/>
  <c r="Z61" i="2"/>
  <c r="AB61" i="2" s="1"/>
  <c r="U61" i="2"/>
  <c r="V61" i="2" s="1"/>
  <c r="W61" i="2" s="1"/>
  <c r="Q61" i="2"/>
  <c r="R61" i="2" s="1"/>
  <c r="S61" i="2" s="1"/>
  <c r="N61" i="2"/>
  <c r="O61" i="2" s="1"/>
  <c r="M61" i="2"/>
  <c r="G61" i="2"/>
  <c r="D61" i="2"/>
  <c r="C61" i="2"/>
  <c r="Z60" i="2"/>
  <c r="V60" i="2"/>
  <c r="W60" i="2" s="1"/>
  <c r="U60" i="2"/>
  <c r="Q60" i="2"/>
  <c r="R60" i="2" s="1"/>
  <c r="S60" i="2" s="1"/>
  <c r="M60" i="2"/>
  <c r="G60" i="2"/>
  <c r="D60" i="2"/>
  <c r="C60" i="2"/>
  <c r="AB59" i="2"/>
  <c r="Z59" i="2"/>
  <c r="U59" i="2"/>
  <c r="V59" i="2" s="1"/>
  <c r="W59" i="2" s="1"/>
  <c r="Q59" i="2"/>
  <c r="R59" i="2" s="1"/>
  <c r="S59" i="2" s="1"/>
  <c r="M59" i="2"/>
  <c r="N59" i="2" s="1"/>
  <c r="O59" i="2" s="1"/>
  <c r="G59" i="2"/>
  <c r="D59" i="2"/>
  <c r="C59" i="2"/>
  <c r="Z58" i="2"/>
  <c r="V58" i="2"/>
  <c r="W58" i="2" s="1"/>
  <c r="U58" i="2"/>
  <c r="R58" i="2"/>
  <c r="S58" i="2" s="1"/>
  <c r="Q58" i="2"/>
  <c r="M58" i="2"/>
  <c r="N58" i="2" s="1"/>
  <c r="O58" i="2" s="1"/>
  <c r="G58" i="2"/>
  <c r="D58" i="2"/>
  <c r="C58" i="2"/>
  <c r="Z57" i="2"/>
  <c r="U57" i="2"/>
  <c r="V57" i="2" s="1"/>
  <c r="W57" i="2" s="1"/>
  <c r="Q57" i="2"/>
  <c r="R57" i="2" s="1"/>
  <c r="S57" i="2" s="1"/>
  <c r="M57" i="2"/>
  <c r="N57" i="2" s="1"/>
  <c r="O57" i="2" s="1"/>
  <c r="G57" i="2"/>
  <c r="D57" i="2"/>
  <c r="C57" i="2"/>
  <c r="AB56" i="2"/>
  <c r="Z56" i="2"/>
  <c r="V56" i="2"/>
  <c r="W56" i="2" s="1"/>
  <c r="U56" i="2"/>
  <c r="R56" i="2"/>
  <c r="Q56" i="2"/>
  <c r="N56" i="2"/>
  <c r="O56" i="2" s="1"/>
  <c r="M56" i="2"/>
  <c r="G56" i="2"/>
  <c r="D56" i="2"/>
  <c r="C56" i="2"/>
  <c r="Z55" i="2"/>
  <c r="V55" i="2"/>
  <c r="W55" i="2" s="1"/>
  <c r="U55" i="2"/>
  <c r="Q55" i="2"/>
  <c r="R55" i="2" s="1"/>
  <c r="S55" i="2" s="1"/>
  <c r="M55" i="2"/>
  <c r="N55" i="2" s="1"/>
  <c r="O55" i="2" s="1"/>
  <c r="G55" i="2"/>
  <c r="D55" i="2"/>
  <c r="C55" i="2"/>
  <c r="AB54" i="2"/>
  <c r="Z54" i="2"/>
  <c r="U54" i="2"/>
  <c r="V54" i="2" s="1"/>
  <c r="W54" i="2" s="1"/>
  <c r="R54" i="2"/>
  <c r="S54" i="2" s="1"/>
  <c r="Q54" i="2"/>
  <c r="M54" i="2"/>
  <c r="N54" i="2" s="1"/>
  <c r="O54" i="2" s="1"/>
  <c r="G54" i="2"/>
  <c r="D54" i="2"/>
  <c r="C54" i="2"/>
  <c r="Z53" i="2"/>
  <c r="U53" i="2"/>
  <c r="V53" i="2" s="1"/>
  <c r="W53" i="2" s="1"/>
  <c r="R53" i="2"/>
  <c r="S53" i="2" s="1"/>
  <c r="Q53" i="2"/>
  <c r="N53" i="2"/>
  <c r="O53" i="2" s="1"/>
  <c r="M53" i="2"/>
  <c r="G53" i="2"/>
  <c r="D53" i="2"/>
  <c r="C53" i="2"/>
  <c r="AB52" i="2"/>
  <c r="Z52" i="2"/>
  <c r="V52" i="2"/>
  <c r="W52" i="2" s="1"/>
  <c r="U52" i="2"/>
  <c r="Q52" i="2"/>
  <c r="R52" i="2" s="1"/>
  <c r="S52" i="2" s="1"/>
  <c r="N52" i="2"/>
  <c r="O52" i="2" s="1"/>
  <c r="M52" i="2"/>
  <c r="G52" i="2"/>
  <c r="D52" i="2"/>
  <c r="C52" i="2"/>
  <c r="Z51" i="2"/>
  <c r="AB51" i="2" s="1"/>
  <c r="V51" i="2"/>
  <c r="W51" i="2" s="1"/>
  <c r="U51" i="2"/>
  <c r="Q51" i="2"/>
  <c r="R51" i="2" s="1"/>
  <c r="S51" i="2" s="1"/>
  <c r="N51" i="2"/>
  <c r="O51" i="2" s="1"/>
  <c r="M51" i="2"/>
  <c r="G51" i="2"/>
  <c r="D51" i="2"/>
  <c r="C51" i="2"/>
  <c r="Z50" i="2"/>
  <c r="V50" i="2"/>
  <c r="W50" i="2" s="1"/>
  <c r="U50" i="2"/>
  <c r="Q50" i="2"/>
  <c r="R50" i="2" s="1"/>
  <c r="S50" i="2" s="1"/>
  <c r="M50" i="2"/>
  <c r="G50" i="2"/>
  <c r="D50" i="2"/>
  <c r="C50" i="2"/>
  <c r="Z49" i="2"/>
  <c r="U49" i="2"/>
  <c r="V49" i="2" s="1"/>
  <c r="W49" i="2" s="1"/>
  <c r="Q49" i="2"/>
  <c r="R49" i="2" s="1"/>
  <c r="S49" i="2" s="1"/>
  <c r="N49" i="2"/>
  <c r="M49" i="2"/>
  <c r="G49" i="2"/>
  <c r="D49" i="2"/>
  <c r="C49" i="2"/>
  <c r="AB48" i="2"/>
  <c r="Z48" i="2"/>
  <c r="U48" i="2"/>
  <c r="V48" i="2" s="1"/>
  <c r="W48" i="2" s="1"/>
  <c r="Q48" i="2"/>
  <c r="R48" i="2" s="1"/>
  <c r="S48" i="2" s="1"/>
  <c r="N48" i="2"/>
  <c r="O48" i="2" s="1"/>
  <c r="M48" i="2"/>
  <c r="G48" i="2"/>
  <c r="D48" i="2"/>
  <c r="C48" i="2"/>
  <c r="AB47" i="2"/>
  <c r="Z47" i="2"/>
  <c r="U47" i="2"/>
  <c r="V47" i="2" s="1"/>
  <c r="W47" i="2" s="1"/>
  <c r="Q47" i="2"/>
  <c r="R47" i="2" s="1"/>
  <c r="S47" i="2" s="1"/>
  <c r="N47" i="2"/>
  <c r="O47" i="2" s="1"/>
  <c r="M47" i="2"/>
  <c r="G47" i="2"/>
  <c r="D47" i="2"/>
  <c r="C47" i="2"/>
  <c r="AB46" i="2"/>
  <c r="Z46" i="2"/>
  <c r="U46" i="2"/>
  <c r="V46" i="2" s="1"/>
  <c r="W46" i="2" s="1"/>
  <c r="Q46" i="2"/>
  <c r="R46" i="2" s="1"/>
  <c r="S46" i="2" s="1"/>
  <c r="N46" i="2"/>
  <c r="O46" i="2" s="1"/>
  <c r="M46" i="2"/>
  <c r="G46" i="2"/>
  <c r="D46" i="2"/>
  <c r="C46" i="2"/>
  <c r="Z45" i="2"/>
  <c r="AB45" i="2" s="1"/>
  <c r="U45" i="2"/>
  <c r="V45" i="2" s="1"/>
  <c r="W45" i="2" s="1"/>
  <c r="R45" i="2"/>
  <c r="S45" i="2" s="1"/>
  <c r="Q45" i="2"/>
  <c r="N45" i="2"/>
  <c r="M45" i="2"/>
  <c r="G45" i="2"/>
  <c r="D45" i="2"/>
  <c r="C45" i="2"/>
  <c r="Z44" i="2"/>
  <c r="AB44" i="2" s="1"/>
  <c r="V44" i="2"/>
  <c r="W44" i="2" s="1"/>
  <c r="U44" i="2"/>
  <c r="Q44" i="2"/>
  <c r="R44" i="2" s="1"/>
  <c r="S44" i="2" s="1"/>
  <c r="M44" i="2"/>
  <c r="N44" i="2" s="1"/>
  <c r="O44" i="2" s="1"/>
  <c r="G44" i="2"/>
  <c r="D44" i="2"/>
  <c r="C44" i="2"/>
  <c r="AB43" i="2"/>
  <c r="Z43" i="2"/>
  <c r="V43" i="2"/>
  <c r="W43" i="2" s="1"/>
  <c r="U43" i="2"/>
  <c r="Q43" i="2"/>
  <c r="R43" i="2" s="1"/>
  <c r="S43" i="2" s="1"/>
  <c r="M43" i="2"/>
  <c r="G43" i="2"/>
  <c r="D43" i="2"/>
  <c r="C43" i="2"/>
  <c r="Z42" i="2"/>
  <c r="V42" i="2"/>
  <c r="W42" i="2" s="1"/>
  <c r="U42" i="2"/>
  <c r="R42" i="2"/>
  <c r="S42" i="2" s="1"/>
  <c r="Q42" i="2"/>
  <c r="N42" i="2"/>
  <c r="O42" i="2" s="1"/>
  <c r="M42" i="2"/>
  <c r="G42" i="2"/>
  <c r="D42" i="2"/>
  <c r="C42" i="2"/>
  <c r="Z41" i="2"/>
  <c r="U41" i="2"/>
  <c r="V41" i="2" s="1"/>
  <c r="W41" i="2" s="1"/>
  <c r="Q41" i="2"/>
  <c r="R41" i="2" s="1"/>
  <c r="S41" i="2" s="1"/>
  <c r="M41" i="2"/>
  <c r="G41" i="2"/>
  <c r="D41" i="2"/>
  <c r="C41" i="2"/>
  <c r="Z40" i="2"/>
  <c r="V40" i="2"/>
  <c r="W40" i="2" s="1"/>
  <c r="U40" i="2"/>
  <c r="R40" i="2"/>
  <c r="S40" i="2" s="1"/>
  <c r="Q40" i="2"/>
  <c r="M40" i="2"/>
  <c r="G40" i="2"/>
  <c r="D40" i="2"/>
  <c r="C40" i="2"/>
  <c r="Z39" i="2"/>
  <c r="V39" i="2"/>
  <c r="W39" i="2" s="1"/>
  <c r="U39" i="2"/>
  <c r="Q39" i="2"/>
  <c r="R39" i="2" s="1"/>
  <c r="S39" i="2" s="1"/>
  <c r="N39" i="2"/>
  <c r="O39" i="2" s="1"/>
  <c r="M39" i="2"/>
  <c r="G39" i="2"/>
  <c r="D39" i="2"/>
  <c r="C39" i="2"/>
  <c r="Z38" i="2"/>
  <c r="U38" i="2"/>
  <c r="V38" i="2" s="1"/>
  <c r="W38" i="2" s="1"/>
  <c r="Q38" i="2"/>
  <c r="R38" i="2" s="1"/>
  <c r="S38" i="2" s="1"/>
  <c r="N38" i="2"/>
  <c r="M38" i="2"/>
  <c r="G38" i="2"/>
  <c r="D38" i="2"/>
  <c r="C38" i="2"/>
  <c r="AB37" i="2"/>
  <c r="Z37" i="2"/>
  <c r="V37" i="2"/>
  <c r="W37" i="2" s="1"/>
  <c r="U37" i="2"/>
  <c r="Q37" i="2"/>
  <c r="R37" i="2" s="1"/>
  <c r="S37" i="2" s="1"/>
  <c r="N37" i="2"/>
  <c r="O37" i="2" s="1"/>
  <c r="M37" i="2"/>
  <c r="G37" i="2"/>
  <c r="D37" i="2"/>
  <c r="C37" i="2"/>
  <c r="AB36" i="2"/>
  <c r="Z36" i="2"/>
  <c r="V36" i="2"/>
  <c r="W36" i="2" s="1"/>
  <c r="U36" i="2"/>
  <c r="R36" i="2"/>
  <c r="S36" i="2" s="1"/>
  <c r="Q36" i="2"/>
  <c r="M36" i="2"/>
  <c r="N36" i="2" s="1"/>
  <c r="G36" i="2"/>
  <c r="D36" i="2"/>
  <c r="C36" i="2"/>
  <c r="AB35" i="2"/>
  <c r="Z35" i="2"/>
  <c r="U35" i="2"/>
  <c r="V35" i="2" s="1"/>
  <c r="W35" i="2" s="1"/>
  <c r="R35" i="2"/>
  <c r="S35" i="2" s="1"/>
  <c r="Q35" i="2"/>
  <c r="M35" i="2"/>
  <c r="G35" i="2"/>
  <c r="D35" i="2"/>
  <c r="C35" i="2"/>
  <c r="Z34" i="2"/>
  <c r="AB34" i="2" s="1"/>
  <c r="U34" i="2"/>
  <c r="V34" i="2" s="1"/>
  <c r="W34" i="2" s="1"/>
  <c r="Q34" i="2"/>
  <c r="R34" i="2" s="1"/>
  <c r="S34" i="2" s="1"/>
  <c r="M34" i="2"/>
  <c r="N34" i="2" s="1"/>
  <c r="O34" i="2" s="1"/>
  <c r="AA34" i="2" s="1"/>
  <c r="G34" i="2"/>
  <c r="D34" i="2"/>
  <c r="C34" i="2"/>
  <c r="AB33" i="2"/>
  <c r="Z33" i="2"/>
  <c r="U33" i="2"/>
  <c r="V33" i="2" s="1"/>
  <c r="W33" i="2" s="1"/>
  <c r="Q33" i="2"/>
  <c r="R33" i="2" s="1"/>
  <c r="S33" i="2" s="1"/>
  <c r="M33" i="2"/>
  <c r="N33" i="2" s="1"/>
  <c r="O33" i="2" s="1"/>
  <c r="G33" i="2"/>
  <c r="D33" i="2"/>
  <c r="C33" i="2"/>
  <c r="AB32" i="2"/>
  <c r="Z32" i="2"/>
  <c r="U32" i="2"/>
  <c r="Q32" i="2"/>
  <c r="R32" i="2" s="1"/>
  <c r="S32" i="2" s="1"/>
  <c r="M32" i="2"/>
  <c r="N32" i="2" s="1"/>
  <c r="O32" i="2" s="1"/>
  <c r="G32" i="2"/>
  <c r="D32" i="2"/>
  <c r="C32" i="2"/>
  <c r="Z31" i="2"/>
  <c r="V31" i="2"/>
  <c r="W31" i="2" s="1"/>
  <c r="U31" i="2"/>
  <c r="Q31" i="2"/>
  <c r="R31" i="2" s="1"/>
  <c r="S31" i="2" s="1"/>
  <c r="M31" i="2"/>
  <c r="N31" i="2" s="1"/>
  <c r="G31" i="2"/>
  <c r="D31" i="2"/>
  <c r="C31" i="2"/>
  <c r="AB30" i="2"/>
  <c r="Z30" i="2"/>
  <c r="U30" i="2"/>
  <c r="V30" i="2" s="1"/>
  <c r="W30" i="2" s="1"/>
  <c r="R30" i="2"/>
  <c r="S30" i="2" s="1"/>
  <c r="Q30" i="2"/>
  <c r="M30" i="2"/>
  <c r="N30" i="2" s="1"/>
  <c r="O30" i="2" s="1"/>
  <c r="G30" i="2"/>
  <c r="D30" i="2"/>
  <c r="C30" i="2"/>
  <c r="Z29" i="2"/>
  <c r="U29" i="2"/>
  <c r="V29" i="2" s="1"/>
  <c r="W29" i="2" s="1"/>
  <c r="Q29" i="2"/>
  <c r="R29" i="2" s="1"/>
  <c r="S29" i="2" s="1"/>
  <c r="N29" i="2"/>
  <c r="O29" i="2" s="1"/>
  <c r="M29" i="2"/>
  <c r="G29" i="2"/>
  <c r="D29" i="2"/>
  <c r="C29" i="2"/>
  <c r="AB28" i="2"/>
  <c r="Z28" i="2"/>
  <c r="U28" i="2"/>
  <c r="V28" i="2" s="1"/>
  <c r="W28" i="2" s="1"/>
  <c r="Q28" i="2"/>
  <c r="R28" i="2" s="1"/>
  <c r="S28" i="2" s="1"/>
  <c r="M28" i="2"/>
  <c r="G28" i="2"/>
  <c r="D28" i="2"/>
  <c r="C28" i="2"/>
  <c r="AB27" i="2"/>
  <c r="Z27" i="2"/>
  <c r="V27" i="2"/>
  <c r="W27" i="2" s="1"/>
  <c r="U27" i="2"/>
  <c r="Q27" i="2"/>
  <c r="R27" i="2" s="1"/>
  <c r="S27" i="2" s="1"/>
  <c r="M27" i="2"/>
  <c r="G27" i="2"/>
  <c r="D27" i="2"/>
  <c r="C27" i="2"/>
  <c r="Z26" i="2"/>
  <c r="AB26" i="2" s="1"/>
  <c r="U26" i="2"/>
  <c r="V26" i="2" s="1"/>
  <c r="W26" i="2" s="1"/>
  <c r="Q26" i="2"/>
  <c r="R26" i="2" s="1"/>
  <c r="S26" i="2" s="1"/>
  <c r="N26" i="2"/>
  <c r="O26" i="2" s="1"/>
  <c r="M26" i="2"/>
  <c r="G26" i="2"/>
  <c r="D26" i="2"/>
  <c r="C26" i="2"/>
  <c r="AB25" i="2"/>
  <c r="Z25" i="2"/>
  <c r="U25" i="2"/>
  <c r="V25" i="2" s="1"/>
  <c r="W25" i="2" s="1"/>
  <c r="R25" i="2"/>
  <c r="S25" i="2" s="1"/>
  <c r="Q25" i="2"/>
  <c r="N25" i="2"/>
  <c r="M25" i="2"/>
  <c r="G25" i="2"/>
  <c r="D25" i="2"/>
  <c r="C25" i="2"/>
  <c r="AB24" i="2"/>
  <c r="Z24" i="2"/>
  <c r="U24" i="2"/>
  <c r="V24" i="2" s="1"/>
  <c r="W24" i="2" s="1"/>
  <c r="R24" i="2"/>
  <c r="S24" i="2" s="1"/>
  <c r="Q24" i="2"/>
  <c r="M24" i="2"/>
  <c r="N24" i="2" s="1"/>
  <c r="O24" i="2" s="1"/>
  <c r="G24" i="2"/>
  <c r="D24" i="2"/>
  <c r="C24" i="2"/>
  <c r="AB23" i="2"/>
  <c r="Z23" i="2"/>
  <c r="U23" i="2"/>
  <c r="V23" i="2" s="1"/>
  <c r="W23" i="2" s="1"/>
  <c r="Q23" i="2"/>
  <c r="R23" i="2" s="1"/>
  <c r="S23" i="2" s="1"/>
  <c r="N23" i="2"/>
  <c r="O23" i="2" s="1"/>
  <c r="M23" i="2"/>
  <c r="G23" i="2"/>
  <c r="D23" i="2"/>
  <c r="C23" i="2"/>
  <c r="Z22" i="2"/>
  <c r="AB22" i="2" s="1"/>
  <c r="U22" i="2"/>
  <c r="V22" i="2" s="1"/>
  <c r="W22" i="2" s="1"/>
  <c r="R22" i="2"/>
  <c r="S22" i="2" s="1"/>
  <c r="Q22" i="2"/>
  <c r="M22" i="2"/>
  <c r="G22" i="2"/>
  <c r="D22" i="2"/>
  <c r="C22" i="2"/>
  <c r="Z21" i="2"/>
  <c r="AB21" i="2" s="1"/>
  <c r="U21" i="2"/>
  <c r="V21" i="2" s="1"/>
  <c r="W21" i="2" s="1"/>
  <c r="R21" i="2"/>
  <c r="S21" i="2" s="1"/>
  <c r="Q21" i="2"/>
  <c r="M21" i="2"/>
  <c r="G21" i="2"/>
  <c r="D21" i="2"/>
  <c r="C21" i="2"/>
  <c r="Z20" i="2"/>
  <c r="U20" i="2"/>
  <c r="V20" i="2" s="1"/>
  <c r="W20" i="2" s="1"/>
  <c r="R20" i="2"/>
  <c r="S20" i="2" s="1"/>
  <c r="Q20" i="2"/>
  <c r="M20" i="2"/>
  <c r="G20" i="2"/>
  <c r="D20" i="2"/>
  <c r="C20" i="2"/>
  <c r="AB19" i="2"/>
  <c r="Z19" i="2"/>
  <c r="U19" i="2"/>
  <c r="V19" i="2" s="1"/>
  <c r="W19" i="2" s="1"/>
  <c r="Q19" i="2"/>
  <c r="R19" i="2" s="1"/>
  <c r="S19" i="2" s="1"/>
  <c r="M19" i="2"/>
  <c r="G19" i="2"/>
  <c r="D19" i="2"/>
  <c r="C19" i="2"/>
  <c r="AB18" i="2"/>
  <c r="Z18" i="2"/>
  <c r="U18" i="2"/>
  <c r="V18" i="2" s="1"/>
  <c r="W18" i="2" s="1"/>
  <c r="Q18" i="2"/>
  <c r="R18" i="2" s="1"/>
  <c r="S18" i="2" s="1"/>
  <c r="N18" i="2"/>
  <c r="O18" i="2" s="1"/>
  <c r="M18" i="2"/>
  <c r="G18" i="2"/>
  <c r="D18" i="2"/>
  <c r="C18" i="2"/>
  <c r="Z17" i="2"/>
  <c r="AB17" i="2" s="1"/>
  <c r="V17" i="2"/>
  <c r="W17" i="2" s="1"/>
  <c r="U17" i="2"/>
  <c r="Q17" i="2"/>
  <c r="R17" i="2" s="1"/>
  <c r="S17" i="2" s="1"/>
  <c r="N17" i="2"/>
  <c r="M17" i="2"/>
  <c r="G17" i="2"/>
  <c r="D17" i="2"/>
  <c r="C17" i="2"/>
  <c r="Z16" i="2"/>
  <c r="U16" i="2"/>
  <c r="V16" i="2" s="1"/>
  <c r="W16" i="2" s="1"/>
  <c r="R16" i="2"/>
  <c r="S16" i="2" s="1"/>
  <c r="Q16" i="2"/>
  <c r="M16" i="2"/>
  <c r="N16" i="2" s="1"/>
  <c r="O16" i="2" s="1"/>
  <c r="G16" i="2"/>
  <c r="D16" i="2"/>
  <c r="C16" i="2"/>
  <c r="Z15" i="2"/>
  <c r="AB15" i="2" s="1"/>
  <c r="V15" i="2"/>
  <c r="W15" i="2" s="1"/>
  <c r="U15" i="2"/>
  <c r="Q15" i="2"/>
  <c r="R15" i="2" s="1"/>
  <c r="S15" i="2" s="1"/>
  <c r="M15" i="2"/>
  <c r="N15" i="2" s="1"/>
  <c r="G15" i="2"/>
  <c r="D15" i="2"/>
  <c r="C15" i="2"/>
  <c r="Z14" i="2"/>
  <c r="AB14" i="2" s="1"/>
  <c r="U14" i="2"/>
  <c r="V14" i="2" s="1"/>
  <c r="W14" i="2" s="1"/>
  <c r="R14" i="2"/>
  <c r="S14" i="2" s="1"/>
  <c r="Q14" i="2"/>
  <c r="M14" i="2"/>
  <c r="G14" i="2"/>
  <c r="D14" i="2"/>
  <c r="C14" i="2"/>
  <c r="AB13" i="2"/>
  <c r="Z13" i="2"/>
  <c r="U13" i="2"/>
  <c r="V13" i="2" s="1"/>
  <c r="W13" i="2" s="1"/>
  <c r="Q13" i="2"/>
  <c r="R13" i="2" s="1"/>
  <c r="S13" i="2" s="1"/>
  <c r="M13" i="2"/>
  <c r="G13" i="2"/>
  <c r="D13" i="2"/>
  <c r="C13" i="2"/>
  <c r="AB12" i="2"/>
  <c r="Z12" i="2"/>
  <c r="U12" i="2"/>
  <c r="V12" i="2" s="1"/>
  <c r="W12" i="2" s="1"/>
  <c r="Q12" i="2"/>
  <c r="R12" i="2" s="1"/>
  <c r="S12" i="2" s="1"/>
  <c r="N12" i="2"/>
  <c r="O12" i="2" s="1"/>
  <c r="M12" i="2"/>
  <c r="G12" i="2"/>
  <c r="D12" i="2"/>
  <c r="C12" i="2"/>
  <c r="Z11" i="2"/>
  <c r="V11" i="2"/>
  <c r="W11" i="2" s="1"/>
  <c r="U11" i="2"/>
  <c r="Q11" i="2"/>
  <c r="R11" i="2" s="1"/>
  <c r="S11" i="2" s="1"/>
  <c r="N11" i="2"/>
  <c r="O11" i="2" s="1"/>
  <c r="M11" i="2"/>
  <c r="G11" i="2"/>
  <c r="D11" i="2"/>
  <c r="C11" i="2"/>
  <c r="Z203" i="1"/>
  <c r="AB203" i="1" s="1"/>
  <c r="U203" i="1"/>
  <c r="V203" i="1" s="1"/>
  <c r="W203" i="1" s="1"/>
  <c r="Q203" i="1"/>
  <c r="R203" i="1" s="1"/>
  <c r="S203" i="1" s="1"/>
  <c r="M203" i="1"/>
  <c r="G203" i="1"/>
  <c r="D203" i="1"/>
  <c r="C203" i="1"/>
  <c r="Z202" i="1"/>
  <c r="AB202" i="1" s="1"/>
  <c r="U202" i="1"/>
  <c r="V202" i="1" s="1"/>
  <c r="W202" i="1" s="1"/>
  <c r="Q202" i="1"/>
  <c r="R202" i="1" s="1"/>
  <c r="S202" i="1" s="1"/>
  <c r="M202" i="1"/>
  <c r="N202" i="1" s="1"/>
  <c r="O202" i="1" s="1"/>
  <c r="G202" i="1"/>
  <c r="D202" i="1"/>
  <c r="C202" i="1"/>
  <c r="Z201" i="1"/>
  <c r="AB201" i="1" s="1"/>
  <c r="U201" i="1"/>
  <c r="V201" i="1" s="1"/>
  <c r="W201" i="1" s="1"/>
  <c r="Q201" i="1"/>
  <c r="R201" i="1" s="1"/>
  <c r="S201" i="1" s="1"/>
  <c r="M201" i="1"/>
  <c r="N201" i="1" s="1"/>
  <c r="O201" i="1" s="1"/>
  <c r="G201" i="1"/>
  <c r="D201" i="1"/>
  <c r="C201" i="1"/>
  <c r="Z200" i="1"/>
  <c r="AB200" i="1" s="1"/>
  <c r="U200" i="1"/>
  <c r="V200" i="1" s="1"/>
  <c r="W200" i="1" s="1"/>
  <c r="Q200" i="1"/>
  <c r="R200" i="1" s="1"/>
  <c r="S200" i="1" s="1"/>
  <c r="M200" i="1"/>
  <c r="G200" i="1"/>
  <c r="D200" i="1"/>
  <c r="C200" i="1"/>
  <c r="Z199" i="1"/>
  <c r="AB199" i="1" s="1"/>
  <c r="U199" i="1"/>
  <c r="V199" i="1" s="1"/>
  <c r="W199" i="1" s="1"/>
  <c r="Q199" i="1"/>
  <c r="R199" i="1" s="1"/>
  <c r="S199" i="1" s="1"/>
  <c r="M199" i="1"/>
  <c r="G199" i="1"/>
  <c r="D199" i="1"/>
  <c r="C199" i="1"/>
  <c r="Z198" i="1"/>
  <c r="AB198" i="1" s="1"/>
  <c r="U198" i="1"/>
  <c r="V198" i="1" s="1"/>
  <c r="W198" i="1" s="1"/>
  <c r="R198" i="1"/>
  <c r="S198" i="1" s="1"/>
  <c r="Q198" i="1"/>
  <c r="M198" i="1"/>
  <c r="G198" i="1"/>
  <c r="D198" i="1"/>
  <c r="C198" i="1"/>
  <c r="Z197" i="1"/>
  <c r="U197" i="1"/>
  <c r="V197" i="1" s="1"/>
  <c r="W197" i="1" s="1"/>
  <c r="Q197" i="1"/>
  <c r="R197" i="1" s="1"/>
  <c r="S197" i="1" s="1"/>
  <c r="M197" i="1"/>
  <c r="N197" i="1" s="1"/>
  <c r="O197" i="1" s="1"/>
  <c r="G197" i="1"/>
  <c r="D197" i="1"/>
  <c r="C197" i="1"/>
  <c r="Z196" i="1"/>
  <c r="U196" i="1"/>
  <c r="V196" i="1" s="1"/>
  <c r="W196" i="1" s="1"/>
  <c r="Q196" i="1"/>
  <c r="R196" i="1" s="1"/>
  <c r="S196" i="1" s="1"/>
  <c r="M196" i="1"/>
  <c r="N196" i="1" s="1"/>
  <c r="O196" i="1" s="1"/>
  <c r="G196" i="1"/>
  <c r="D196" i="1"/>
  <c r="C196" i="1"/>
  <c r="Z195" i="1"/>
  <c r="U195" i="1"/>
  <c r="V195" i="1" s="1"/>
  <c r="W195" i="1" s="1"/>
  <c r="Q195" i="1"/>
  <c r="R195" i="1" s="1"/>
  <c r="S195" i="1" s="1"/>
  <c r="M195" i="1"/>
  <c r="N195" i="1" s="1"/>
  <c r="O195" i="1" s="1"/>
  <c r="G195" i="1"/>
  <c r="D195" i="1"/>
  <c r="C195" i="1"/>
  <c r="AB194" i="1"/>
  <c r="Z194" i="1"/>
  <c r="U194" i="1"/>
  <c r="V194" i="1" s="1"/>
  <c r="W194" i="1" s="1"/>
  <c r="Q194" i="1"/>
  <c r="R194" i="1" s="1"/>
  <c r="S194" i="1" s="1"/>
  <c r="M194" i="1"/>
  <c r="N194" i="1" s="1"/>
  <c r="O194" i="1" s="1"/>
  <c r="G194" i="1"/>
  <c r="D194" i="1"/>
  <c r="C194" i="1"/>
  <c r="Z193" i="1"/>
  <c r="AB193" i="1" s="1"/>
  <c r="U193" i="1"/>
  <c r="V193" i="1" s="1"/>
  <c r="W193" i="1" s="1"/>
  <c r="Q193" i="1"/>
  <c r="R193" i="1" s="1"/>
  <c r="S193" i="1" s="1"/>
  <c r="M193" i="1"/>
  <c r="N193" i="1" s="1"/>
  <c r="G193" i="1"/>
  <c r="D193" i="1"/>
  <c r="C193" i="1"/>
  <c r="Z192" i="1"/>
  <c r="U192" i="1"/>
  <c r="V192" i="1" s="1"/>
  <c r="W192" i="1" s="1"/>
  <c r="Q192" i="1"/>
  <c r="R192" i="1" s="1"/>
  <c r="S192" i="1" s="1"/>
  <c r="M192" i="1"/>
  <c r="N192" i="1" s="1"/>
  <c r="O192" i="1" s="1"/>
  <c r="G192" i="1"/>
  <c r="D192" i="1"/>
  <c r="C192" i="1"/>
  <c r="Z191" i="1"/>
  <c r="U191" i="1"/>
  <c r="V191" i="1" s="1"/>
  <c r="W191" i="1" s="1"/>
  <c r="Q191" i="1"/>
  <c r="R191" i="1" s="1"/>
  <c r="S191" i="1" s="1"/>
  <c r="M191" i="1"/>
  <c r="N191" i="1" s="1"/>
  <c r="O191" i="1" s="1"/>
  <c r="G191" i="1"/>
  <c r="D191" i="1"/>
  <c r="C191" i="1"/>
  <c r="Z190" i="1"/>
  <c r="AB190" i="1" s="1"/>
  <c r="U190" i="1"/>
  <c r="V190" i="1" s="1"/>
  <c r="W190" i="1" s="1"/>
  <c r="Q190" i="1"/>
  <c r="R190" i="1" s="1"/>
  <c r="S190" i="1" s="1"/>
  <c r="M190" i="1"/>
  <c r="G190" i="1"/>
  <c r="D190" i="1"/>
  <c r="C190" i="1"/>
  <c r="Z189" i="1"/>
  <c r="AB189" i="1" s="1"/>
  <c r="U189" i="1"/>
  <c r="V189" i="1" s="1"/>
  <c r="W189" i="1" s="1"/>
  <c r="Q189" i="1"/>
  <c r="R189" i="1" s="1"/>
  <c r="S189" i="1" s="1"/>
  <c r="M189" i="1"/>
  <c r="N189" i="1" s="1"/>
  <c r="O189" i="1" s="1"/>
  <c r="G189" i="1"/>
  <c r="D189" i="1"/>
  <c r="C189" i="1"/>
  <c r="Z188" i="1"/>
  <c r="AB188" i="1" s="1"/>
  <c r="U188" i="1"/>
  <c r="V188" i="1" s="1"/>
  <c r="W188" i="1" s="1"/>
  <c r="Q188" i="1"/>
  <c r="R188" i="1" s="1"/>
  <c r="S188" i="1" s="1"/>
  <c r="M188" i="1"/>
  <c r="G188" i="1"/>
  <c r="D188" i="1"/>
  <c r="C188" i="1"/>
  <c r="AB187" i="1"/>
  <c r="Z187" i="1"/>
  <c r="U187" i="1"/>
  <c r="V187" i="1" s="1"/>
  <c r="W187" i="1" s="1"/>
  <c r="Q187" i="1"/>
  <c r="R187" i="1" s="1"/>
  <c r="S187" i="1" s="1"/>
  <c r="M187" i="1"/>
  <c r="G187" i="1"/>
  <c r="D187" i="1"/>
  <c r="C187" i="1"/>
  <c r="Z186" i="1"/>
  <c r="AB186" i="1" s="1"/>
  <c r="U186" i="1"/>
  <c r="V186" i="1" s="1"/>
  <c r="W186" i="1" s="1"/>
  <c r="Q186" i="1"/>
  <c r="R186" i="1" s="1"/>
  <c r="S186" i="1" s="1"/>
  <c r="N186" i="1"/>
  <c r="M186" i="1"/>
  <c r="G186" i="1"/>
  <c r="D186" i="1"/>
  <c r="C186" i="1"/>
  <c r="Z185" i="1"/>
  <c r="AB185" i="1" s="1"/>
  <c r="U185" i="1"/>
  <c r="V185" i="1" s="1"/>
  <c r="W185" i="1" s="1"/>
  <c r="Q185" i="1"/>
  <c r="R185" i="1" s="1"/>
  <c r="S185" i="1" s="1"/>
  <c r="M185" i="1"/>
  <c r="N185" i="1" s="1"/>
  <c r="O185" i="1" s="1"/>
  <c r="G185" i="1"/>
  <c r="D185" i="1"/>
  <c r="C185" i="1"/>
  <c r="Z184" i="1"/>
  <c r="AB184" i="1" s="1"/>
  <c r="U184" i="1"/>
  <c r="V184" i="1" s="1"/>
  <c r="W184" i="1" s="1"/>
  <c r="Q184" i="1"/>
  <c r="R184" i="1" s="1"/>
  <c r="S184" i="1" s="1"/>
  <c r="M184" i="1"/>
  <c r="G184" i="1"/>
  <c r="D184" i="1"/>
  <c r="C184" i="1"/>
  <c r="Z183" i="1"/>
  <c r="AB183" i="1" s="1"/>
  <c r="U183" i="1"/>
  <c r="V183" i="1" s="1"/>
  <c r="W183" i="1" s="1"/>
  <c r="Q183" i="1"/>
  <c r="R183" i="1" s="1"/>
  <c r="S183" i="1" s="1"/>
  <c r="M183" i="1"/>
  <c r="G183" i="1"/>
  <c r="D183" i="1"/>
  <c r="C183" i="1"/>
  <c r="Z182" i="1"/>
  <c r="AB182" i="1" s="1"/>
  <c r="V182" i="1"/>
  <c r="W182" i="1" s="1"/>
  <c r="U182" i="1"/>
  <c r="R182" i="1"/>
  <c r="S182" i="1" s="1"/>
  <c r="Q182" i="1"/>
  <c r="M182" i="1"/>
  <c r="G182" i="1"/>
  <c r="D182" i="1"/>
  <c r="C182" i="1"/>
  <c r="Z181" i="1"/>
  <c r="U181" i="1"/>
  <c r="Q181" i="1"/>
  <c r="R181" i="1" s="1"/>
  <c r="S181" i="1" s="1"/>
  <c r="M181" i="1"/>
  <c r="N181" i="1" s="1"/>
  <c r="O181" i="1" s="1"/>
  <c r="G181" i="1"/>
  <c r="D181" i="1"/>
  <c r="C181" i="1"/>
  <c r="Z180" i="1"/>
  <c r="U180" i="1"/>
  <c r="V180" i="1" s="1"/>
  <c r="W180" i="1" s="1"/>
  <c r="Q180" i="1"/>
  <c r="R180" i="1" s="1"/>
  <c r="S180" i="1" s="1"/>
  <c r="M180" i="1"/>
  <c r="N180" i="1" s="1"/>
  <c r="O180" i="1" s="1"/>
  <c r="G180" i="1"/>
  <c r="D180" i="1"/>
  <c r="C180" i="1"/>
  <c r="Z179" i="1"/>
  <c r="AB179" i="1" s="1"/>
  <c r="U179" i="1"/>
  <c r="V179" i="1" s="1"/>
  <c r="W179" i="1" s="1"/>
  <c r="Q179" i="1"/>
  <c r="R179" i="1" s="1"/>
  <c r="S179" i="1" s="1"/>
  <c r="M179" i="1"/>
  <c r="N179" i="1" s="1"/>
  <c r="O179" i="1" s="1"/>
  <c r="G179" i="1"/>
  <c r="D179" i="1"/>
  <c r="C179" i="1"/>
  <c r="Z178" i="1"/>
  <c r="U178" i="1"/>
  <c r="V178" i="1" s="1"/>
  <c r="W178" i="1" s="1"/>
  <c r="Q178" i="1"/>
  <c r="M178" i="1"/>
  <c r="N178" i="1" s="1"/>
  <c r="O178" i="1" s="1"/>
  <c r="G178" i="1"/>
  <c r="D178" i="1"/>
  <c r="C178" i="1"/>
  <c r="Z177" i="1"/>
  <c r="U177" i="1"/>
  <c r="V177" i="1" s="1"/>
  <c r="W177" i="1" s="1"/>
  <c r="Q177" i="1"/>
  <c r="R177" i="1" s="1"/>
  <c r="S177" i="1" s="1"/>
  <c r="M177" i="1"/>
  <c r="N177" i="1" s="1"/>
  <c r="O177" i="1" s="1"/>
  <c r="G177" i="1"/>
  <c r="D177" i="1"/>
  <c r="C177" i="1"/>
  <c r="Z176" i="1"/>
  <c r="U176" i="1"/>
  <c r="V176" i="1" s="1"/>
  <c r="W176" i="1" s="1"/>
  <c r="Q176" i="1"/>
  <c r="R176" i="1" s="1"/>
  <c r="S176" i="1" s="1"/>
  <c r="M176" i="1"/>
  <c r="N176" i="1" s="1"/>
  <c r="O176" i="1" s="1"/>
  <c r="G176" i="1"/>
  <c r="D176" i="1"/>
  <c r="C176" i="1"/>
  <c r="Z175" i="1"/>
  <c r="U175" i="1"/>
  <c r="V175" i="1" s="1"/>
  <c r="W175" i="1" s="1"/>
  <c r="R175" i="1"/>
  <c r="S175" i="1" s="1"/>
  <c r="Q175" i="1"/>
  <c r="M175" i="1"/>
  <c r="N175" i="1" s="1"/>
  <c r="G175" i="1"/>
  <c r="D175" i="1"/>
  <c r="C175" i="1"/>
  <c r="Z174" i="1"/>
  <c r="AB174" i="1" s="1"/>
  <c r="U174" i="1"/>
  <c r="V174" i="1" s="1"/>
  <c r="W174" i="1" s="1"/>
  <c r="Q174" i="1"/>
  <c r="R174" i="1" s="1"/>
  <c r="S174" i="1" s="1"/>
  <c r="M174" i="1"/>
  <c r="N174" i="1" s="1"/>
  <c r="G174" i="1"/>
  <c r="D174" i="1"/>
  <c r="C174" i="1"/>
  <c r="Z173" i="1"/>
  <c r="U173" i="1"/>
  <c r="V173" i="1" s="1"/>
  <c r="W173" i="1" s="1"/>
  <c r="Q173" i="1"/>
  <c r="R173" i="1" s="1"/>
  <c r="S173" i="1" s="1"/>
  <c r="M173" i="1"/>
  <c r="N173" i="1" s="1"/>
  <c r="O173" i="1" s="1"/>
  <c r="G173" i="1"/>
  <c r="D173" i="1"/>
  <c r="C173" i="1"/>
  <c r="Z172" i="1"/>
  <c r="AB172" i="1" s="1"/>
  <c r="U172" i="1"/>
  <c r="V172" i="1" s="1"/>
  <c r="W172" i="1" s="1"/>
  <c r="Q172" i="1"/>
  <c r="R172" i="1" s="1"/>
  <c r="S172" i="1" s="1"/>
  <c r="M172" i="1"/>
  <c r="G172" i="1"/>
  <c r="D172" i="1"/>
  <c r="C172" i="1"/>
  <c r="AB171" i="1"/>
  <c r="Z171" i="1"/>
  <c r="U171" i="1"/>
  <c r="V171" i="1" s="1"/>
  <c r="W171" i="1" s="1"/>
  <c r="R171" i="1"/>
  <c r="S171" i="1" s="1"/>
  <c r="Q171" i="1"/>
  <c r="M171" i="1"/>
  <c r="G171" i="1"/>
  <c r="D171" i="1"/>
  <c r="C171" i="1"/>
  <c r="Z170" i="1"/>
  <c r="AB170" i="1" s="1"/>
  <c r="U170" i="1"/>
  <c r="V170" i="1" s="1"/>
  <c r="W170" i="1" s="1"/>
  <c r="Q170" i="1"/>
  <c r="R170" i="1" s="1"/>
  <c r="S170" i="1" s="1"/>
  <c r="M170" i="1"/>
  <c r="N170" i="1" s="1"/>
  <c r="O170" i="1" s="1"/>
  <c r="G170" i="1"/>
  <c r="D170" i="1"/>
  <c r="C170" i="1"/>
  <c r="AB169" i="1"/>
  <c r="Z169" i="1"/>
  <c r="U169" i="1"/>
  <c r="V169" i="1" s="1"/>
  <c r="W169" i="1" s="1"/>
  <c r="Q169" i="1"/>
  <c r="R169" i="1" s="1"/>
  <c r="S169" i="1" s="1"/>
  <c r="M169" i="1"/>
  <c r="N169" i="1" s="1"/>
  <c r="G169" i="1"/>
  <c r="D169" i="1"/>
  <c r="C169" i="1"/>
  <c r="Z168" i="1"/>
  <c r="AB168" i="1" s="1"/>
  <c r="U168" i="1"/>
  <c r="V168" i="1" s="1"/>
  <c r="W168" i="1" s="1"/>
  <c r="Q168" i="1"/>
  <c r="R168" i="1" s="1"/>
  <c r="S168" i="1" s="1"/>
  <c r="M168" i="1"/>
  <c r="N168" i="1" s="1"/>
  <c r="O168" i="1" s="1"/>
  <c r="G168" i="1"/>
  <c r="D168" i="1"/>
  <c r="C168" i="1"/>
  <c r="Z167" i="1"/>
  <c r="U167" i="1"/>
  <c r="V167" i="1" s="1"/>
  <c r="W167" i="1" s="1"/>
  <c r="Q167" i="1"/>
  <c r="R167" i="1" s="1"/>
  <c r="S167" i="1" s="1"/>
  <c r="M167" i="1"/>
  <c r="N167" i="1" s="1"/>
  <c r="O167" i="1" s="1"/>
  <c r="G167" i="1"/>
  <c r="D167" i="1"/>
  <c r="C167" i="1"/>
  <c r="Z166" i="1"/>
  <c r="AB166" i="1" s="1"/>
  <c r="U166" i="1"/>
  <c r="V166" i="1" s="1"/>
  <c r="W166" i="1" s="1"/>
  <c r="Q166" i="1"/>
  <c r="R166" i="1" s="1"/>
  <c r="S166" i="1" s="1"/>
  <c r="M166" i="1"/>
  <c r="N166" i="1" s="1"/>
  <c r="O166" i="1" s="1"/>
  <c r="G166" i="1"/>
  <c r="D166" i="1"/>
  <c r="C166" i="1"/>
  <c r="Z165" i="1"/>
  <c r="U165" i="1"/>
  <c r="V165" i="1" s="1"/>
  <c r="W165" i="1" s="1"/>
  <c r="Q165" i="1"/>
  <c r="R165" i="1" s="1"/>
  <c r="S165" i="1" s="1"/>
  <c r="M165" i="1"/>
  <c r="N165" i="1" s="1"/>
  <c r="O165" i="1" s="1"/>
  <c r="G165" i="1"/>
  <c r="D165" i="1"/>
  <c r="C165" i="1"/>
  <c r="Z164" i="1"/>
  <c r="U164" i="1"/>
  <c r="V164" i="1" s="1"/>
  <c r="W164" i="1" s="1"/>
  <c r="Q164" i="1"/>
  <c r="R164" i="1" s="1"/>
  <c r="S164" i="1" s="1"/>
  <c r="M164" i="1"/>
  <c r="G164" i="1"/>
  <c r="D164" i="1"/>
  <c r="C164" i="1"/>
  <c r="Z163" i="1"/>
  <c r="AB163" i="1" s="1"/>
  <c r="U163" i="1"/>
  <c r="V163" i="1" s="1"/>
  <c r="W163" i="1" s="1"/>
  <c r="Q163" i="1"/>
  <c r="R163" i="1" s="1"/>
  <c r="S163" i="1" s="1"/>
  <c r="M163" i="1"/>
  <c r="G163" i="1"/>
  <c r="D163" i="1"/>
  <c r="C163" i="1"/>
  <c r="Z162" i="1"/>
  <c r="AB162" i="1" s="1"/>
  <c r="U162" i="1"/>
  <c r="V162" i="1" s="1"/>
  <c r="W162" i="1" s="1"/>
  <c r="Q162" i="1"/>
  <c r="R162" i="1" s="1"/>
  <c r="S162" i="1" s="1"/>
  <c r="M162" i="1"/>
  <c r="N162" i="1" s="1"/>
  <c r="O162" i="1" s="1"/>
  <c r="G162" i="1"/>
  <c r="D162" i="1"/>
  <c r="C162" i="1"/>
  <c r="Z161" i="1"/>
  <c r="AB161" i="1" s="1"/>
  <c r="V161" i="1"/>
  <c r="W161" i="1" s="1"/>
  <c r="U161" i="1"/>
  <c r="Q161" i="1"/>
  <c r="R161" i="1" s="1"/>
  <c r="M161" i="1"/>
  <c r="N161" i="1" s="1"/>
  <c r="O161" i="1" s="1"/>
  <c r="G161" i="1"/>
  <c r="D161" i="1"/>
  <c r="C161" i="1"/>
  <c r="Z160" i="1"/>
  <c r="AB160" i="1" s="1"/>
  <c r="U160" i="1"/>
  <c r="V160" i="1" s="1"/>
  <c r="W160" i="1" s="1"/>
  <c r="Q160" i="1"/>
  <c r="R160" i="1" s="1"/>
  <c r="S160" i="1" s="1"/>
  <c r="M160" i="1"/>
  <c r="G160" i="1"/>
  <c r="D160" i="1"/>
  <c r="C160" i="1"/>
  <c r="Z159" i="1"/>
  <c r="U159" i="1"/>
  <c r="V159" i="1" s="1"/>
  <c r="W159" i="1" s="1"/>
  <c r="Q159" i="1"/>
  <c r="R159" i="1" s="1"/>
  <c r="S159" i="1" s="1"/>
  <c r="M159" i="1"/>
  <c r="G159" i="1"/>
  <c r="D159" i="1"/>
  <c r="C159" i="1"/>
  <c r="Z158" i="1"/>
  <c r="U158" i="1"/>
  <c r="V158" i="1" s="1"/>
  <c r="W158" i="1" s="1"/>
  <c r="Q158" i="1"/>
  <c r="M158" i="1"/>
  <c r="N158" i="1" s="1"/>
  <c r="O158" i="1" s="1"/>
  <c r="G158" i="1"/>
  <c r="D158" i="1"/>
  <c r="C158" i="1"/>
  <c r="Z157" i="1"/>
  <c r="AB157" i="1" s="1"/>
  <c r="U157" i="1"/>
  <c r="V157" i="1" s="1"/>
  <c r="W157" i="1" s="1"/>
  <c r="Q157" i="1"/>
  <c r="R157" i="1" s="1"/>
  <c r="S157" i="1" s="1"/>
  <c r="M157" i="1"/>
  <c r="N157" i="1" s="1"/>
  <c r="O157" i="1" s="1"/>
  <c r="G157" i="1"/>
  <c r="D157" i="1"/>
  <c r="C157" i="1"/>
  <c r="Z156" i="1"/>
  <c r="AB156" i="1" s="1"/>
  <c r="U156" i="1"/>
  <c r="V156" i="1" s="1"/>
  <c r="W156" i="1" s="1"/>
  <c r="Q156" i="1"/>
  <c r="R156" i="1" s="1"/>
  <c r="S156" i="1" s="1"/>
  <c r="M156" i="1"/>
  <c r="N156" i="1" s="1"/>
  <c r="O156" i="1" s="1"/>
  <c r="G156" i="1"/>
  <c r="D156" i="1"/>
  <c r="C156" i="1"/>
  <c r="Z155" i="1"/>
  <c r="AB155" i="1" s="1"/>
  <c r="U155" i="1"/>
  <c r="V155" i="1" s="1"/>
  <c r="W155" i="1" s="1"/>
  <c r="Q155" i="1"/>
  <c r="R155" i="1" s="1"/>
  <c r="S155" i="1" s="1"/>
  <c r="M155" i="1"/>
  <c r="G155" i="1"/>
  <c r="D155" i="1"/>
  <c r="C155" i="1"/>
  <c r="Z154" i="1"/>
  <c r="AB154" i="1" s="1"/>
  <c r="U154" i="1"/>
  <c r="V154" i="1" s="1"/>
  <c r="W154" i="1" s="1"/>
  <c r="Q154" i="1"/>
  <c r="R154" i="1" s="1"/>
  <c r="S154" i="1" s="1"/>
  <c r="M154" i="1"/>
  <c r="N154" i="1" s="1"/>
  <c r="G154" i="1"/>
  <c r="D154" i="1"/>
  <c r="C154" i="1"/>
  <c r="Z146" i="1"/>
  <c r="U146" i="1"/>
  <c r="V146" i="1" s="1"/>
  <c r="W146" i="1" s="1"/>
  <c r="Q146" i="1"/>
  <c r="R146" i="1" s="1"/>
  <c r="M146" i="1"/>
  <c r="N146" i="1" s="1"/>
  <c r="O146" i="1" s="1"/>
  <c r="G146" i="1"/>
  <c r="D146" i="1"/>
  <c r="C146" i="1"/>
  <c r="Z145" i="1"/>
  <c r="AB145" i="1" s="1"/>
  <c r="U145" i="1"/>
  <c r="V145" i="1" s="1"/>
  <c r="Q145" i="1"/>
  <c r="R145" i="1" s="1"/>
  <c r="S145" i="1" s="1"/>
  <c r="M145" i="1"/>
  <c r="N145" i="1" s="1"/>
  <c r="O145" i="1" s="1"/>
  <c r="G145" i="1"/>
  <c r="D145" i="1"/>
  <c r="C145" i="1"/>
  <c r="Z144" i="1"/>
  <c r="AB144" i="1" s="1"/>
  <c r="U144" i="1"/>
  <c r="V144" i="1" s="1"/>
  <c r="W144" i="1" s="1"/>
  <c r="Q144" i="1"/>
  <c r="R144" i="1" s="1"/>
  <c r="S144" i="1" s="1"/>
  <c r="M144" i="1"/>
  <c r="N144" i="1" s="1"/>
  <c r="O144" i="1" s="1"/>
  <c r="G144" i="1"/>
  <c r="D144" i="1"/>
  <c r="C144" i="1"/>
  <c r="Z143" i="1"/>
  <c r="AB143" i="1" s="1"/>
  <c r="U143" i="1"/>
  <c r="V143" i="1" s="1"/>
  <c r="W143" i="1" s="1"/>
  <c r="Q143" i="1"/>
  <c r="R143" i="1" s="1"/>
  <c r="S143" i="1" s="1"/>
  <c r="M143" i="1"/>
  <c r="N143" i="1" s="1"/>
  <c r="O143" i="1" s="1"/>
  <c r="G143" i="1"/>
  <c r="D143" i="1"/>
  <c r="C143" i="1"/>
  <c r="Z142" i="1"/>
  <c r="U142" i="1"/>
  <c r="V142" i="1" s="1"/>
  <c r="W142" i="1" s="1"/>
  <c r="Q142" i="1"/>
  <c r="R142" i="1" s="1"/>
  <c r="S142" i="1" s="1"/>
  <c r="M142" i="1"/>
  <c r="N142" i="1" s="1"/>
  <c r="O142" i="1" s="1"/>
  <c r="G142" i="1"/>
  <c r="D142" i="1"/>
  <c r="C142" i="1"/>
  <c r="Z141" i="1"/>
  <c r="U141" i="1"/>
  <c r="V141" i="1" s="1"/>
  <c r="W141" i="1" s="1"/>
  <c r="Q141" i="1"/>
  <c r="R141" i="1" s="1"/>
  <c r="S141" i="1" s="1"/>
  <c r="M141" i="1"/>
  <c r="N141" i="1" s="1"/>
  <c r="O141" i="1" s="1"/>
  <c r="G141" i="1"/>
  <c r="D141" i="1"/>
  <c r="C141" i="1"/>
  <c r="Z140" i="1"/>
  <c r="AB140" i="1" s="1"/>
  <c r="V140" i="1"/>
  <c r="W140" i="1" s="1"/>
  <c r="U140" i="1"/>
  <c r="Q140" i="1"/>
  <c r="R140" i="1" s="1"/>
  <c r="S140" i="1" s="1"/>
  <c r="M140" i="1"/>
  <c r="N140" i="1" s="1"/>
  <c r="G140" i="1"/>
  <c r="D140" i="1"/>
  <c r="C140" i="1"/>
  <c r="Z139" i="1"/>
  <c r="U139" i="1"/>
  <c r="V139" i="1" s="1"/>
  <c r="W139" i="1" s="1"/>
  <c r="Q139" i="1"/>
  <c r="R139" i="1" s="1"/>
  <c r="S139" i="1" s="1"/>
  <c r="M139" i="1"/>
  <c r="N139" i="1" s="1"/>
  <c r="O139" i="1" s="1"/>
  <c r="G139" i="1"/>
  <c r="D139" i="1"/>
  <c r="C139" i="1"/>
  <c r="Z138" i="1"/>
  <c r="U138" i="1"/>
  <c r="V138" i="1" s="1"/>
  <c r="W138" i="1" s="1"/>
  <c r="Q138" i="1"/>
  <c r="R138" i="1" s="1"/>
  <c r="S138" i="1" s="1"/>
  <c r="M138" i="1"/>
  <c r="N138" i="1" s="1"/>
  <c r="O138" i="1" s="1"/>
  <c r="G138" i="1"/>
  <c r="D138" i="1"/>
  <c r="C138" i="1"/>
  <c r="Z137" i="1"/>
  <c r="AB137" i="1" s="1"/>
  <c r="U137" i="1"/>
  <c r="V137" i="1" s="1"/>
  <c r="W137" i="1" s="1"/>
  <c r="Q137" i="1"/>
  <c r="R137" i="1" s="1"/>
  <c r="S137" i="1" s="1"/>
  <c r="M137" i="1"/>
  <c r="G137" i="1"/>
  <c r="D137" i="1"/>
  <c r="C137" i="1"/>
  <c r="Z136" i="1"/>
  <c r="AB136" i="1" s="1"/>
  <c r="U136" i="1"/>
  <c r="V136" i="1" s="1"/>
  <c r="W136" i="1" s="1"/>
  <c r="R136" i="1"/>
  <c r="S136" i="1" s="1"/>
  <c r="Q136" i="1"/>
  <c r="M136" i="1"/>
  <c r="G136" i="1"/>
  <c r="D136" i="1"/>
  <c r="C136" i="1"/>
  <c r="Z135" i="1"/>
  <c r="AB135" i="1" s="1"/>
  <c r="U135" i="1"/>
  <c r="V135" i="1" s="1"/>
  <c r="W135" i="1" s="1"/>
  <c r="Q135" i="1"/>
  <c r="R135" i="1" s="1"/>
  <c r="S135" i="1" s="1"/>
  <c r="M135" i="1"/>
  <c r="G135" i="1"/>
  <c r="D135" i="1"/>
  <c r="C135" i="1"/>
  <c r="Z134" i="1"/>
  <c r="AB134" i="1" s="1"/>
  <c r="U134" i="1"/>
  <c r="V134" i="1" s="1"/>
  <c r="W134" i="1" s="1"/>
  <c r="Q134" i="1"/>
  <c r="R134" i="1" s="1"/>
  <c r="S134" i="1" s="1"/>
  <c r="M134" i="1"/>
  <c r="G134" i="1"/>
  <c r="D134" i="1"/>
  <c r="C134" i="1"/>
  <c r="Z133" i="1"/>
  <c r="AB133" i="1" s="1"/>
  <c r="U133" i="1"/>
  <c r="V133" i="1" s="1"/>
  <c r="W133" i="1" s="1"/>
  <c r="Q133" i="1"/>
  <c r="R133" i="1" s="1"/>
  <c r="S133" i="1" s="1"/>
  <c r="M133" i="1"/>
  <c r="G133" i="1"/>
  <c r="D133" i="1"/>
  <c r="C133" i="1"/>
  <c r="Z132" i="1"/>
  <c r="AB132" i="1" s="1"/>
  <c r="U132" i="1"/>
  <c r="V132" i="1" s="1"/>
  <c r="W132" i="1" s="1"/>
  <c r="Q132" i="1"/>
  <c r="R132" i="1" s="1"/>
  <c r="S132" i="1" s="1"/>
  <c r="M132" i="1"/>
  <c r="N132" i="1" s="1"/>
  <c r="O132" i="1" s="1"/>
  <c r="G132" i="1"/>
  <c r="D132" i="1"/>
  <c r="C132" i="1"/>
  <c r="Z131" i="1"/>
  <c r="AB131" i="1" s="1"/>
  <c r="U131" i="1"/>
  <c r="V131" i="1" s="1"/>
  <c r="W131" i="1" s="1"/>
  <c r="Q131" i="1"/>
  <c r="R131" i="1" s="1"/>
  <c r="S131" i="1" s="1"/>
  <c r="M131" i="1"/>
  <c r="G131" i="1"/>
  <c r="D131" i="1"/>
  <c r="C131" i="1"/>
  <c r="Z130" i="1"/>
  <c r="AB130" i="1" s="1"/>
  <c r="U130" i="1"/>
  <c r="V130" i="1" s="1"/>
  <c r="W130" i="1" s="1"/>
  <c r="Q130" i="1"/>
  <c r="R130" i="1" s="1"/>
  <c r="S130" i="1" s="1"/>
  <c r="N130" i="1"/>
  <c r="M130" i="1"/>
  <c r="G130" i="1"/>
  <c r="D130" i="1"/>
  <c r="C130" i="1"/>
  <c r="Z129" i="1"/>
  <c r="AB129" i="1" s="1"/>
  <c r="V129" i="1"/>
  <c r="W129" i="1" s="1"/>
  <c r="U129" i="1"/>
  <c r="Q129" i="1"/>
  <c r="R129" i="1" s="1"/>
  <c r="M129" i="1"/>
  <c r="N129" i="1" s="1"/>
  <c r="O129" i="1" s="1"/>
  <c r="G129" i="1"/>
  <c r="D129" i="1"/>
  <c r="C129" i="1"/>
  <c r="Z128" i="1"/>
  <c r="AB128" i="1" s="1"/>
  <c r="U128" i="1"/>
  <c r="V128" i="1" s="1"/>
  <c r="W128" i="1" s="1"/>
  <c r="Q128" i="1"/>
  <c r="R128" i="1" s="1"/>
  <c r="S128" i="1" s="1"/>
  <c r="M128" i="1"/>
  <c r="N128" i="1" s="1"/>
  <c r="O128" i="1" s="1"/>
  <c r="G128" i="1"/>
  <c r="D128" i="1"/>
  <c r="C128" i="1"/>
  <c r="Z127" i="1"/>
  <c r="AB127" i="1" s="1"/>
  <c r="U127" i="1"/>
  <c r="V127" i="1" s="1"/>
  <c r="W127" i="1" s="1"/>
  <c r="Q127" i="1"/>
  <c r="R127" i="1" s="1"/>
  <c r="S127" i="1" s="1"/>
  <c r="M127" i="1"/>
  <c r="N127" i="1" s="1"/>
  <c r="O127" i="1" s="1"/>
  <c r="G127" i="1"/>
  <c r="D127" i="1"/>
  <c r="C127" i="1"/>
  <c r="Z126" i="1"/>
  <c r="AB126" i="1" s="1"/>
  <c r="U126" i="1"/>
  <c r="V126" i="1" s="1"/>
  <c r="W126" i="1" s="1"/>
  <c r="Q126" i="1"/>
  <c r="R126" i="1" s="1"/>
  <c r="S126" i="1" s="1"/>
  <c r="M126" i="1"/>
  <c r="N126" i="1" s="1"/>
  <c r="O126" i="1" s="1"/>
  <c r="G126" i="1"/>
  <c r="D126" i="1"/>
  <c r="C126" i="1"/>
  <c r="Z125" i="1"/>
  <c r="U125" i="1"/>
  <c r="V125" i="1" s="1"/>
  <c r="W125" i="1" s="1"/>
  <c r="Q125" i="1"/>
  <c r="R125" i="1" s="1"/>
  <c r="S125" i="1" s="1"/>
  <c r="M125" i="1"/>
  <c r="N125" i="1" s="1"/>
  <c r="O125" i="1" s="1"/>
  <c r="AA125" i="1" s="1"/>
  <c r="AC125" i="1" s="1"/>
  <c r="G125" i="1"/>
  <c r="D125" i="1"/>
  <c r="C125" i="1"/>
  <c r="Z124" i="1"/>
  <c r="U124" i="1"/>
  <c r="V124" i="1" s="1"/>
  <c r="W124" i="1" s="1"/>
  <c r="R124" i="1"/>
  <c r="S124" i="1" s="1"/>
  <c r="Q124" i="1"/>
  <c r="M124" i="1"/>
  <c r="N124" i="1" s="1"/>
  <c r="O124" i="1" s="1"/>
  <c r="G124" i="1"/>
  <c r="D124" i="1"/>
  <c r="C124" i="1"/>
  <c r="Z123" i="1"/>
  <c r="U123" i="1"/>
  <c r="V123" i="1" s="1"/>
  <c r="W123" i="1" s="1"/>
  <c r="Q123" i="1"/>
  <c r="R123" i="1" s="1"/>
  <c r="S123" i="1" s="1"/>
  <c r="M123" i="1"/>
  <c r="N123" i="1" s="1"/>
  <c r="O123" i="1" s="1"/>
  <c r="G123" i="1"/>
  <c r="D123" i="1"/>
  <c r="C123" i="1"/>
  <c r="Z122" i="1"/>
  <c r="AB122" i="1" s="1"/>
  <c r="U122" i="1"/>
  <c r="V122" i="1" s="1"/>
  <c r="W122" i="1" s="1"/>
  <c r="Q122" i="1"/>
  <c r="R122" i="1" s="1"/>
  <c r="S122" i="1" s="1"/>
  <c r="M122" i="1"/>
  <c r="G122" i="1"/>
  <c r="D122" i="1"/>
  <c r="C122" i="1"/>
  <c r="Z121" i="1"/>
  <c r="AB121" i="1" s="1"/>
  <c r="U121" i="1"/>
  <c r="V121" i="1" s="1"/>
  <c r="W121" i="1" s="1"/>
  <c r="Q121" i="1"/>
  <c r="R121" i="1" s="1"/>
  <c r="S121" i="1" s="1"/>
  <c r="M121" i="1"/>
  <c r="N121" i="1" s="1"/>
  <c r="O121" i="1" s="1"/>
  <c r="G121" i="1"/>
  <c r="D121" i="1"/>
  <c r="C121" i="1"/>
  <c r="Z120" i="1"/>
  <c r="U120" i="1"/>
  <c r="V120" i="1" s="1"/>
  <c r="W120" i="1" s="1"/>
  <c r="Q120" i="1"/>
  <c r="R120" i="1" s="1"/>
  <c r="S120" i="1" s="1"/>
  <c r="M120" i="1"/>
  <c r="N120" i="1" s="1"/>
  <c r="O120" i="1" s="1"/>
  <c r="G120" i="1"/>
  <c r="D120" i="1"/>
  <c r="C120" i="1"/>
  <c r="Z119" i="1"/>
  <c r="AB119" i="1" s="1"/>
  <c r="U119" i="1"/>
  <c r="V119" i="1" s="1"/>
  <c r="W119" i="1" s="1"/>
  <c r="Q119" i="1"/>
  <c r="R119" i="1" s="1"/>
  <c r="S119" i="1" s="1"/>
  <c r="M119" i="1"/>
  <c r="N119" i="1" s="1"/>
  <c r="O119" i="1" s="1"/>
  <c r="G119" i="1"/>
  <c r="D119" i="1"/>
  <c r="C119" i="1"/>
  <c r="Z118" i="1"/>
  <c r="AB118" i="1" s="1"/>
  <c r="U118" i="1"/>
  <c r="V118" i="1" s="1"/>
  <c r="W118" i="1" s="1"/>
  <c r="Q118" i="1"/>
  <c r="R118" i="1" s="1"/>
  <c r="S118" i="1" s="1"/>
  <c r="M118" i="1"/>
  <c r="G118" i="1"/>
  <c r="D118" i="1"/>
  <c r="C118" i="1"/>
  <c r="Z117" i="1"/>
  <c r="U117" i="1"/>
  <c r="V117" i="1" s="1"/>
  <c r="W117" i="1" s="1"/>
  <c r="Q117" i="1"/>
  <c r="R117" i="1" s="1"/>
  <c r="S117" i="1" s="1"/>
  <c r="N117" i="1"/>
  <c r="M117" i="1"/>
  <c r="G117" i="1"/>
  <c r="D117" i="1"/>
  <c r="C117" i="1"/>
  <c r="Z116" i="1"/>
  <c r="U116" i="1"/>
  <c r="V116" i="1" s="1"/>
  <c r="W116" i="1" s="1"/>
  <c r="Q116" i="1"/>
  <c r="R116" i="1" s="1"/>
  <c r="S116" i="1" s="1"/>
  <c r="M116" i="1"/>
  <c r="N116" i="1" s="1"/>
  <c r="O116" i="1" s="1"/>
  <c r="G116" i="1"/>
  <c r="D116" i="1"/>
  <c r="C116" i="1"/>
  <c r="Z115" i="1"/>
  <c r="U115" i="1"/>
  <c r="V115" i="1" s="1"/>
  <c r="Q115" i="1"/>
  <c r="R115" i="1" s="1"/>
  <c r="S115" i="1" s="1"/>
  <c r="N115" i="1"/>
  <c r="O115" i="1" s="1"/>
  <c r="M115" i="1"/>
  <c r="G115" i="1"/>
  <c r="D115" i="1"/>
  <c r="C115" i="1"/>
  <c r="Z114" i="1"/>
  <c r="AB114" i="1" s="1"/>
  <c r="U114" i="1"/>
  <c r="V114" i="1" s="1"/>
  <c r="W114" i="1" s="1"/>
  <c r="Q114" i="1"/>
  <c r="R114" i="1" s="1"/>
  <c r="S114" i="1" s="1"/>
  <c r="M114" i="1"/>
  <c r="N114" i="1" s="1"/>
  <c r="O114" i="1" s="1"/>
  <c r="G114" i="1"/>
  <c r="D114" i="1"/>
  <c r="C114" i="1"/>
  <c r="Z113" i="1"/>
  <c r="U113" i="1"/>
  <c r="V113" i="1" s="1"/>
  <c r="W113" i="1" s="1"/>
  <c r="Q113" i="1"/>
  <c r="R113" i="1" s="1"/>
  <c r="M113" i="1"/>
  <c r="N113" i="1" s="1"/>
  <c r="O113" i="1" s="1"/>
  <c r="G113" i="1"/>
  <c r="D113" i="1"/>
  <c r="C113" i="1"/>
  <c r="Z112" i="1"/>
  <c r="AB112" i="1" s="1"/>
  <c r="U112" i="1"/>
  <c r="V112" i="1" s="1"/>
  <c r="W112" i="1" s="1"/>
  <c r="Q112" i="1"/>
  <c r="R112" i="1" s="1"/>
  <c r="S112" i="1" s="1"/>
  <c r="M112" i="1"/>
  <c r="G112" i="1"/>
  <c r="D112" i="1"/>
  <c r="C112" i="1"/>
  <c r="Z111" i="1"/>
  <c r="AB111" i="1" s="1"/>
  <c r="U111" i="1"/>
  <c r="V111" i="1" s="1"/>
  <c r="W111" i="1" s="1"/>
  <c r="Q111" i="1"/>
  <c r="R111" i="1" s="1"/>
  <c r="S111" i="1" s="1"/>
  <c r="M111" i="1"/>
  <c r="G111" i="1"/>
  <c r="D111" i="1"/>
  <c r="C111" i="1"/>
  <c r="Z110" i="1"/>
  <c r="U110" i="1"/>
  <c r="V110" i="1" s="1"/>
  <c r="W110" i="1" s="1"/>
  <c r="Q110" i="1"/>
  <c r="R110" i="1" s="1"/>
  <c r="S110" i="1" s="1"/>
  <c r="M110" i="1"/>
  <c r="G110" i="1"/>
  <c r="D110" i="1"/>
  <c r="C110" i="1"/>
  <c r="Z109" i="1"/>
  <c r="AB109" i="1" s="1"/>
  <c r="U109" i="1"/>
  <c r="V109" i="1" s="1"/>
  <c r="W109" i="1" s="1"/>
  <c r="Q109" i="1"/>
  <c r="R109" i="1" s="1"/>
  <c r="S109" i="1" s="1"/>
  <c r="M109" i="1"/>
  <c r="N109" i="1" s="1"/>
  <c r="O109" i="1" s="1"/>
  <c r="G109" i="1"/>
  <c r="D109" i="1"/>
  <c r="C109" i="1"/>
  <c r="Z108" i="1"/>
  <c r="AB108" i="1" s="1"/>
  <c r="U108" i="1"/>
  <c r="V108" i="1" s="1"/>
  <c r="W108" i="1" s="1"/>
  <c r="Q108" i="1"/>
  <c r="R108" i="1" s="1"/>
  <c r="S108" i="1" s="1"/>
  <c r="M108" i="1"/>
  <c r="N108" i="1" s="1"/>
  <c r="O108" i="1" s="1"/>
  <c r="G108" i="1"/>
  <c r="D108" i="1"/>
  <c r="C108" i="1"/>
  <c r="Z107" i="1"/>
  <c r="AB107" i="1" s="1"/>
  <c r="U107" i="1"/>
  <c r="V107" i="1" s="1"/>
  <c r="W107" i="1" s="1"/>
  <c r="Q107" i="1"/>
  <c r="R107" i="1" s="1"/>
  <c r="S107" i="1" s="1"/>
  <c r="M107" i="1"/>
  <c r="G107" i="1"/>
  <c r="D107" i="1"/>
  <c r="C107" i="1"/>
  <c r="Z106" i="1"/>
  <c r="AB106" i="1" s="1"/>
  <c r="U106" i="1"/>
  <c r="V106" i="1" s="1"/>
  <c r="W106" i="1" s="1"/>
  <c r="Q106" i="1"/>
  <c r="R106" i="1" s="1"/>
  <c r="S106" i="1" s="1"/>
  <c r="M106" i="1"/>
  <c r="N106" i="1" s="1"/>
  <c r="O106" i="1" s="1"/>
  <c r="G106" i="1"/>
  <c r="D106" i="1"/>
  <c r="C106" i="1"/>
  <c r="Z105" i="1"/>
  <c r="U105" i="1"/>
  <c r="V105" i="1" s="1"/>
  <c r="W105" i="1" s="1"/>
  <c r="Q105" i="1"/>
  <c r="R105" i="1" s="1"/>
  <c r="S105" i="1" s="1"/>
  <c r="M105" i="1"/>
  <c r="N105" i="1" s="1"/>
  <c r="O105" i="1" s="1"/>
  <c r="G105" i="1"/>
  <c r="D105" i="1"/>
  <c r="C105" i="1"/>
  <c r="Z104" i="1"/>
  <c r="AB104" i="1" s="1"/>
  <c r="U104" i="1"/>
  <c r="V104" i="1" s="1"/>
  <c r="W104" i="1" s="1"/>
  <c r="Q104" i="1"/>
  <c r="R104" i="1" s="1"/>
  <c r="S104" i="1" s="1"/>
  <c r="M104" i="1"/>
  <c r="N104" i="1" s="1"/>
  <c r="O104" i="1" s="1"/>
  <c r="G104" i="1"/>
  <c r="D104" i="1"/>
  <c r="C104" i="1"/>
  <c r="Z103" i="1"/>
  <c r="U103" i="1"/>
  <c r="V103" i="1" s="1"/>
  <c r="W103" i="1" s="1"/>
  <c r="R103" i="1"/>
  <c r="S103" i="1" s="1"/>
  <c r="Q103" i="1"/>
  <c r="M103" i="1"/>
  <c r="N103" i="1" s="1"/>
  <c r="O103" i="1" s="1"/>
  <c r="G103" i="1"/>
  <c r="D103" i="1"/>
  <c r="C103" i="1"/>
  <c r="Z102" i="1"/>
  <c r="U102" i="1"/>
  <c r="V102" i="1" s="1"/>
  <c r="W102" i="1" s="1"/>
  <c r="Q102" i="1"/>
  <c r="R102" i="1" s="1"/>
  <c r="S102" i="1" s="1"/>
  <c r="M102" i="1"/>
  <c r="N102" i="1" s="1"/>
  <c r="O102" i="1" s="1"/>
  <c r="AA102" i="1" s="1"/>
  <c r="AC102" i="1" s="1"/>
  <c r="G102" i="1"/>
  <c r="D102" i="1"/>
  <c r="C102" i="1"/>
  <c r="Z101" i="1"/>
  <c r="U101" i="1"/>
  <c r="V101" i="1" s="1"/>
  <c r="W101" i="1" s="1"/>
  <c r="Q101" i="1"/>
  <c r="R101" i="1" s="1"/>
  <c r="S101" i="1" s="1"/>
  <c r="M101" i="1"/>
  <c r="N101" i="1" s="1"/>
  <c r="O101" i="1" s="1"/>
  <c r="G101" i="1"/>
  <c r="D101" i="1"/>
  <c r="C101" i="1"/>
  <c r="Z100" i="1"/>
  <c r="AB100" i="1" s="1"/>
  <c r="U100" i="1"/>
  <c r="V100" i="1" s="1"/>
  <c r="W100" i="1" s="1"/>
  <c r="Q100" i="1"/>
  <c r="R100" i="1" s="1"/>
  <c r="S100" i="1" s="1"/>
  <c r="M100" i="1"/>
  <c r="G100" i="1"/>
  <c r="D100" i="1"/>
  <c r="C100" i="1"/>
  <c r="Z99" i="1"/>
  <c r="U99" i="1"/>
  <c r="V99" i="1" s="1"/>
  <c r="W99" i="1" s="1"/>
  <c r="Q99" i="1"/>
  <c r="R99" i="1" s="1"/>
  <c r="S99" i="1" s="1"/>
  <c r="M99" i="1"/>
  <c r="N99" i="1" s="1"/>
  <c r="O99" i="1" s="1"/>
  <c r="G99" i="1"/>
  <c r="D99" i="1"/>
  <c r="C99" i="1"/>
  <c r="Z98" i="1"/>
  <c r="U98" i="1"/>
  <c r="V98" i="1" s="1"/>
  <c r="W98" i="1" s="1"/>
  <c r="Q98" i="1"/>
  <c r="R98" i="1" s="1"/>
  <c r="S98" i="1" s="1"/>
  <c r="M98" i="1"/>
  <c r="N98" i="1" s="1"/>
  <c r="O98" i="1" s="1"/>
  <c r="G98" i="1"/>
  <c r="D98" i="1"/>
  <c r="C98" i="1"/>
  <c r="Z97" i="1"/>
  <c r="AB97" i="1" s="1"/>
  <c r="U97" i="1"/>
  <c r="V97" i="1" s="1"/>
  <c r="W97" i="1" s="1"/>
  <c r="Q97" i="1"/>
  <c r="R97" i="1" s="1"/>
  <c r="S97" i="1" s="1"/>
  <c r="M97" i="1"/>
  <c r="N97" i="1" s="1"/>
  <c r="O97" i="1" s="1"/>
  <c r="G97" i="1"/>
  <c r="D97" i="1"/>
  <c r="C97" i="1"/>
  <c r="Z96" i="1"/>
  <c r="U96" i="1"/>
  <c r="V96" i="1" s="1"/>
  <c r="W96" i="1" s="1"/>
  <c r="Q96" i="1"/>
  <c r="R96" i="1" s="1"/>
  <c r="S96" i="1" s="1"/>
  <c r="M96" i="1"/>
  <c r="G96" i="1"/>
  <c r="D96" i="1"/>
  <c r="C96" i="1"/>
  <c r="Z95" i="1"/>
  <c r="AB95" i="1" s="1"/>
  <c r="U95" i="1"/>
  <c r="V95" i="1" s="1"/>
  <c r="W95" i="1" s="1"/>
  <c r="Q95" i="1"/>
  <c r="R95" i="1" s="1"/>
  <c r="S95" i="1" s="1"/>
  <c r="M95" i="1"/>
  <c r="G95" i="1"/>
  <c r="D95" i="1"/>
  <c r="C95" i="1"/>
  <c r="Z94" i="1"/>
  <c r="AB94" i="1" s="1"/>
  <c r="U94" i="1"/>
  <c r="V94" i="1" s="1"/>
  <c r="W94" i="1" s="1"/>
  <c r="Q94" i="1"/>
  <c r="R94" i="1" s="1"/>
  <c r="S94" i="1" s="1"/>
  <c r="M94" i="1"/>
  <c r="N94" i="1" s="1"/>
  <c r="O94" i="1" s="1"/>
  <c r="G94" i="1"/>
  <c r="D94" i="1"/>
  <c r="C94" i="1"/>
  <c r="Z93" i="1"/>
  <c r="AB93" i="1" s="1"/>
  <c r="U93" i="1"/>
  <c r="V93" i="1" s="1"/>
  <c r="W93" i="1" s="1"/>
  <c r="Q93" i="1"/>
  <c r="R93" i="1" s="1"/>
  <c r="S93" i="1" s="1"/>
  <c r="M93" i="1"/>
  <c r="G93" i="1"/>
  <c r="D93" i="1"/>
  <c r="C93" i="1"/>
  <c r="Z92" i="1"/>
  <c r="AB92" i="1" s="1"/>
  <c r="U92" i="1"/>
  <c r="V92" i="1" s="1"/>
  <c r="W92" i="1" s="1"/>
  <c r="Q92" i="1"/>
  <c r="R92" i="1" s="1"/>
  <c r="S92" i="1" s="1"/>
  <c r="M92" i="1"/>
  <c r="G92" i="1"/>
  <c r="D92" i="1"/>
  <c r="C92" i="1"/>
  <c r="Z91" i="1"/>
  <c r="AB91" i="1" s="1"/>
  <c r="U91" i="1"/>
  <c r="V91" i="1" s="1"/>
  <c r="W91" i="1" s="1"/>
  <c r="Q91" i="1"/>
  <c r="R91" i="1" s="1"/>
  <c r="S91" i="1" s="1"/>
  <c r="M91" i="1"/>
  <c r="G91" i="1"/>
  <c r="D91" i="1"/>
  <c r="C91" i="1"/>
  <c r="Z90" i="1"/>
  <c r="AB90" i="1" s="1"/>
  <c r="U90" i="1"/>
  <c r="V90" i="1" s="1"/>
  <c r="W90" i="1" s="1"/>
  <c r="Q90" i="1"/>
  <c r="R90" i="1" s="1"/>
  <c r="S90" i="1" s="1"/>
  <c r="M90" i="1"/>
  <c r="N90" i="1" s="1"/>
  <c r="O90" i="1" s="1"/>
  <c r="G90" i="1"/>
  <c r="D90" i="1"/>
  <c r="C90" i="1"/>
  <c r="Z89" i="1"/>
  <c r="AB89" i="1" s="1"/>
  <c r="U89" i="1"/>
  <c r="V89" i="1" s="1"/>
  <c r="W89" i="1" s="1"/>
  <c r="Q89" i="1"/>
  <c r="R89" i="1" s="1"/>
  <c r="S89" i="1" s="1"/>
  <c r="M89" i="1"/>
  <c r="G89" i="1"/>
  <c r="D89" i="1"/>
  <c r="C89" i="1"/>
  <c r="Z88" i="1"/>
  <c r="AB88" i="1" s="1"/>
  <c r="U88" i="1"/>
  <c r="V88" i="1" s="1"/>
  <c r="W88" i="1" s="1"/>
  <c r="Q88" i="1"/>
  <c r="R88" i="1" s="1"/>
  <c r="S88" i="1" s="1"/>
  <c r="M88" i="1"/>
  <c r="N88" i="1" s="1"/>
  <c r="O88" i="1" s="1"/>
  <c r="G88" i="1"/>
  <c r="D88" i="1"/>
  <c r="C88" i="1"/>
  <c r="Z87" i="1"/>
  <c r="AB87" i="1" s="1"/>
  <c r="U87" i="1"/>
  <c r="V87" i="1" s="1"/>
  <c r="W87" i="1" s="1"/>
  <c r="Q87" i="1"/>
  <c r="R87" i="1" s="1"/>
  <c r="S87" i="1" s="1"/>
  <c r="M87" i="1"/>
  <c r="G87" i="1"/>
  <c r="D87" i="1"/>
  <c r="C87" i="1"/>
  <c r="Z86" i="1"/>
  <c r="AB86" i="1" s="1"/>
  <c r="U86" i="1"/>
  <c r="V86" i="1" s="1"/>
  <c r="W86" i="1" s="1"/>
  <c r="Q86" i="1"/>
  <c r="R86" i="1" s="1"/>
  <c r="S86" i="1" s="1"/>
  <c r="M86" i="1"/>
  <c r="N86" i="1" s="1"/>
  <c r="G86" i="1"/>
  <c r="D86" i="1"/>
  <c r="C86" i="1"/>
  <c r="Z85" i="1"/>
  <c r="AB85" i="1" s="1"/>
  <c r="U85" i="1"/>
  <c r="V85" i="1" s="1"/>
  <c r="W85" i="1" s="1"/>
  <c r="Q85" i="1"/>
  <c r="R85" i="1" s="1"/>
  <c r="S85" i="1" s="1"/>
  <c r="M85" i="1"/>
  <c r="N85" i="1" s="1"/>
  <c r="G85" i="1"/>
  <c r="D85" i="1"/>
  <c r="C85" i="1"/>
  <c r="Z84" i="1"/>
  <c r="U84" i="1"/>
  <c r="V84" i="1" s="1"/>
  <c r="W84" i="1" s="1"/>
  <c r="Q84" i="1"/>
  <c r="R84" i="1" s="1"/>
  <c r="S84" i="1" s="1"/>
  <c r="M84" i="1"/>
  <c r="G84" i="1"/>
  <c r="D84" i="1"/>
  <c r="C84" i="1"/>
  <c r="Z83" i="1"/>
  <c r="AB83" i="1" s="1"/>
  <c r="U83" i="1"/>
  <c r="V83" i="1" s="1"/>
  <c r="W83" i="1" s="1"/>
  <c r="Q83" i="1"/>
  <c r="R83" i="1" s="1"/>
  <c r="S83" i="1" s="1"/>
  <c r="M83" i="1"/>
  <c r="N83" i="1" s="1"/>
  <c r="O83" i="1" s="1"/>
  <c r="G83" i="1"/>
  <c r="D83" i="1"/>
  <c r="C83" i="1"/>
  <c r="Z82" i="1"/>
  <c r="U82" i="1"/>
  <c r="V82" i="1" s="1"/>
  <c r="W82" i="1" s="1"/>
  <c r="Q82" i="1"/>
  <c r="R82" i="1" s="1"/>
  <c r="S82" i="1" s="1"/>
  <c r="M82" i="1"/>
  <c r="N82" i="1" s="1"/>
  <c r="O82" i="1" s="1"/>
  <c r="G82" i="1"/>
  <c r="D82" i="1"/>
  <c r="C82" i="1"/>
  <c r="Z81" i="1"/>
  <c r="AB81" i="1" s="1"/>
  <c r="U81" i="1"/>
  <c r="V81" i="1" s="1"/>
  <c r="W81" i="1" s="1"/>
  <c r="Q81" i="1"/>
  <c r="R81" i="1" s="1"/>
  <c r="S81" i="1" s="1"/>
  <c r="M81" i="1"/>
  <c r="N81" i="1" s="1"/>
  <c r="O81" i="1" s="1"/>
  <c r="G81" i="1"/>
  <c r="D81" i="1"/>
  <c r="C81" i="1"/>
  <c r="AB80" i="1"/>
  <c r="Z80" i="1"/>
  <c r="U80" i="1"/>
  <c r="V80" i="1" s="1"/>
  <c r="W80" i="1" s="1"/>
  <c r="R80" i="1"/>
  <c r="S80" i="1" s="1"/>
  <c r="Q80" i="1"/>
  <c r="M80" i="1"/>
  <c r="G80" i="1"/>
  <c r="D80" i="1"/>
  <c r="C80" i="1"/>
  <c r="Z79" i="1"/>
  <c r="U79" i="1"/>
  <c r="V79" i="1" s="1"/>
  <c r="W79" i="1" s="1"/>
  <c r="Q79" i="1"/>
  <c r="R79" i="1" s="1"/>
  <c r="S79" i="1" s="1"/>
  <c r="M79" i="1"/>
  <c r="N79" i="1" s="1"/>
  <c r="O79" i="1" s="1"/>
  <c r="G79" i="1"/>
  <c r="D79" i="1"/>
  <c r="C79" i="1"/>
  <c r="Z78" i="1"/>
  <c r="U78" i="1"/>
  <c r="V78" i="1" s="1"/>
  <c r="W78" i="1" s="1"/>
  <c r="Q78" i="1"/>
  <c r="R78" i="1" s="1"/>
  <c r="S78" i="1" s="1"/>
  <c r="M78" i="1"/>
  <c r="N78" i="1" s="1"/>
  <c r="O78" i="1" s="1"/>
  <c r="G78" i="1"/>
  <c r="D78" i="1"/>
  <c r="C78" i="1"/>
  <c r="Z77" i="1"/>
  <c r="AB77" i="1" s="1"/>
  <c r="U77" i="1"/>
  <c r="V77" i="1" s="1"/>
  <c r="W77" i="1" s="1"/>
  <c r="Q77" i="1"/>
  <c r="R77" i="1" s="1"/>
  <c r="S77" i="1" s="1"/>
  <c r="M77" i="1"/>
  <c r="N77" i="1" s="1"/>
  <c r="O77" i="1" s="1"/>
  <c r="G77" i="1"/>
  <c r="D77" i="1"/>
  <c r="C77" i="1"/>
  <c r="Z76" i="1"/>
  <c r="AB76" i="1" s="1"/>
  <c r="U76" i="1"/>
  <c r="V76" i="1" s="1"/>
  <c r="W76" i="1" s="1"/>
  <c r="Q76" i="1"/>
  <c r="R76" i="1" s="1"/>
  <c r="S76" i="1" s="1"/>
  <c r="M76" i="1"/>
  <c r="G76" i="1"/>
  <c r="D76" i="1"/>
  <c r="C76" i="1"/>
  <c r="Z75" i="1"/>
  <c r="U75" i="1"/>
  <c r="V75" i="1" s="1"/>
  <c r="W75" i="1" s="1"/>
  <c r="Q75" i="1"/>
  <c r="R75" i="1" s="1"/>
  <c r="S75" i="1" s="1"/>
  <c r="M75" i="1"/>
  <c r="N75" i="1" s="1"/>
  <c r="O75" i="1" s="1"/>
  <c r="G75" i="1"/>
  <c r="D75" i="1"/>
  <c r="C75" i="1"/>
  <c r="Z74" i="1"/>
  <c r="AB74" i="1" s="1"/>
  <c r="U74" i="1"/>
  <c r="V74" i="1" s="1"/>
  <c r="W74" i="1" s="1"/>
  <c r="Q74" i="1"/>
  <c r="R74" i="1" s="1"/>
  <c r="S74" i="1" s="1"/>
  <c r="M74" i="1"/>
  <c r="N74" i="1" s="1"/>
  <c r="G74" i="1"/>
  <c r="D74" i="1"/>
  <c r="C74" i="1"/>
  <c r="Z73" i="1"/>
  <c r="AB73" i="1" s="1"/>
  <c r="U73" i="1"/>
  <c r="V73" i="1" s="1"/>
  <c r="W73" i="1" s="1"/>
  <c r="Q73" i="1"/>
  <c r="R73" i="1" s="1"/>
  <c r="S73" i="1" s="1"/>
  <c r="M73" i="1"/>
  <c r="G73" i="1"/>
  <c r="D73" i="1"/>
  <c r="C73" i="1"/>
  <c r="Z72" i="1"/>
  <c r="AB72" i="1" s="1"/>
  <c r="U72" i="1"/>
  <c r="V72" i="1" s="1"/>
  <c r="W72" i="1" s="1"/>
  <c r="Q72" i="1"/>
  <c r="R72" i="1" s="1"/>
  <c r="S72" i="1" s="1"/>
  <c r="M72" i="1"/>
  <c r="N72" i="1" s="1"/>
  <c r="O72" i="1" s="1"/>
  <c r="G72" i="1"/>
  <c r="D72" i="1"/>
  <c r="C72" i="1"/>
  <c r="AB71" i="1"/>
  <c r="Z71" i="1"/>
  <c r="U71" i="1"/>
  <c r="V71" i="1" s="1"/>
  <c r="W71" i="1" s="1"/>
  <c r="Q71" i="1"/>
  <c r="R71" i="1" s="1"/>
  <c r="S71" i="1" s="1"/>
  <c r="M71" i="1"/>
  <c r="G71" i="1"/>
  <c r="D71" i="1"/>
  <c r="C71" i="1"/>
  <c r="Z70" i="1"/>
  <c r="AB70" i="1" s="1"/>
  <c r="U70" i="1"/>
  <c r="V70" i="1" s="1"/>
  <c r="W70" i="1" s="1"/>
  <c r="Q70" i="1"/>
  <c r="R70" i="1" s="1"/>
  <c r="S70" i="1" s="1"/>
  <c r="M70" i="1"/>
  <c r="N70" i="1" s="1"/>
  <c r="G70" i="1"/>
  <c r="D70" i="1"/>
  <c r="C70" i="1"/>
  <c r="Z69" i="1"/>
  <c r="AB69" i="1" s="1"/>
  <c r="U69" i="1"/>
  <c r="V69" i="1" s="1"/>
  <c r="W69" i="1" s="1"/>
  <c r="Q69" i="1"/>
  <c r="R69" i="1" s="1"/>
  <c r="S69" i="1" s="1"/>
  <c r="M69" i="1"/>
  <c r="G69" i="1"/>
  <c r="D69" i="1"/>
  <c r="C69" i="1"/>
  <c r="Z68" i="1"/>
  <c r="AB68" i="1" s="1"/>
  <c r="U68" i="1"/>
  <c r="V68" i="1" s="1"/>
  <c r="W68" i="1" s="1"/>
  <c r="Q68" i="1"/>
  <c r="R68" i="1" s="1"/>
  <c r="S68" i="1" s="1"/>
  <c r="M68" i="1"/>
  <c r="N68" i="1" s="1"/>
  <c r="O68" i="1" s="1"/>
  <c r="G68" i="1"/>
  <c r="D68" i="1"/>
  <c r="C68" i="1"/>
  <c r="Z67" i="1"/>
  <c r="AB67" i="1" s="1"/>
  <c r="U67" i="1"/>
  <c r="V67" i="1" s="1"/>
  <c r="W67" i="1" s="1"/>
  <c r="Q67" i="1"/>
  <c r="R67" i="1" s="1"/>
  <c r="S67" i="1" s="1"/>
  <c r="M67" i="1"/>
  <c r="G67" i="1"/>
  <c r="D67" i="1"/>
  <c r="C67" i="1"/>
  <c r="AB66" i="1"/>
  <c r="Z66" i="1"/>
  <c r="U66" i="1"/>
  <c r="V66" i="1" s="1"/>
  <c r="W66" i="1" s="1"/>
  <c r="Q66" i="1"/>
  <c r="R66" i="1" s="1"/>
  <c r="S66" i="1" s="1"/>
  <c r="M66" i="1"/>
  <c r="G66" i="1"/>
  <c r="D66" i="1"/>
  <c r="C66" i="1"/>
  <c r="Z65" i="1"/>
  <c r="AB65" i="1" s="1"/>
  <c r="U65" i="1"/>
  <c r="V65" i="1" s="1"/>
  <c r="W65" i="1" s="1"/>
  <c r="Q65" i="1"/>
  <c r="R65" i="1" s="1"/>
  <c r="S65" i="1" s="1"/>
  <c r="M65" i="1"/>
  <c r="G65" i="1"/>
  <c r="D65" i="1"/>
  <c r="C65" i="1"/>
  <c r="Z64" i="1"/>
  <c r="AB64" i="1" s="1"/>
  <c r="U64" i="1"/>
  <c r="V64" i="1" s="1"/>
  <c r="W64" i="1" s="1"/>
  <c r="Q64" i="1"/>
  <c r="R64" i="1" s="1"/>
  <c r="S64" i="1" s="1"/>
  <c r="M64" i="1"/>
  <c r="G64" i="1"/>
  <c r="D64" i="1"/>
  <c r="C64" i="1"/>
  <c r="Z63" i="1"/>
  <c r="AB63" i="1" s="1"/>
  <c r="U63" i="1"/>
  <c r="V63" i="1" s="1"/>
  <c r="W63" i="1" s="1"/>
  <c r="Q63" i="1"/>
  <c r="R63" i="1" s="1"/>
  <c r="S63" i="1" s="1"/>
  <c r="M63" i="1"/>
  <c r="N63" i="1" s="1"/>
  <c r="O63" i="1" s="1"/>
  <c r="G63" i="1"/>
  <c r="D63" i="1"/>
  <c r="C63" i="1"/>
  <c r="Z62" i="1"/>
  <c r="AB62" i="1" s="1"/>
  <c r="U62" i="1"/>
  <c r="V62" i="1" s="1"/>
  <c r="W62" i="1" s="1"/>
  <c r="Q62" i="1"/>
  <c r="R62" i="1" s="1"/>
  <c r="S62" i="1" s="1"/>
  <c r="M62" i="1"/>
  <c r="N62" i="1" s="1"/>
  <c r="O62" i="1" s="1"/>
  <c r="G62" i="1"/>
  <c r="D62" i="1"/>
  <c r="C62" i="1"/>
  <c r="AB61" i="1"/>
  <c r="Z61" i="1"/>
  <c r="U61" i="1"/>
  <c r="V61" i="1" s="1"/>
  <c r="W61" i="1" s="1"/>
  <c r="Q61" i="1"/>
  <c r="R61" i="1" s="1"/>
  <c r="S61" i="1" s="1"/>
  <c r="M61" i="1"/>
  <c r="N61" i="1" s="1"/>
  <c r="G61" i="1"/>
  <c r="D61" i="1"/>
  <c r="C61" i="1"/>
  <c r="Z60" i="1"/>
  <c r="AB60" i="1" s="1"/>
  <c r="U60" i="1"/>
  <c r="V60" i="1" s="1"/>
  <c r="W60" i="1" s="1"/>
  <c r="Q60" i="1"/>
  <c r="R60" i="1" s="1"/>
  <c r="S60" i="1" s="1"/>
  <c r="M60" i="1"/>
  <c r="G60" i="1"/>
  <c r="D60" i="1"/>
  <c r="C60" i="1"/>
  <c r="Z59" i="1"/>
  <c r="U59" i="1"/>
  <c r="V59" i="1" s="1"/>
  <c r="W59" i="1" s="1"/>
  <c r="Q59" i="1"/>
  <c r="R59" i="1" s="1"/>
  <c r="S59" i="1" s="1"/>
  <c r="M59" i="1"/>
  <c r="N59" i="1" s="1"/>
  <c r="O59" i="1" s="1"/>
  <c r="G59" i="1"/>
  <c r="D59" i="1"/>
  <c r="C59" i="1"/>
  <c r="Z58" i="1"/>
  <c r="AB58" i="1" s="1"/>
  <c r="U58" i="1"/>
  <c r="V58" i="1" s="1"/>
  <c r="W58" i="1" s="1"/>
  <c r="Q58" i="1"/>
  <c r="R58" i="1" s="1"/>
  <c r="S58" i="1" s="1"/>
  <c r="M58" i="1"/>
  <c r="N58" i="1" s="1"/>
  <c r="O58" i="1" s="1"/>
  <c r="AA58" i="1" s="1"/>
  <c r="G58" i="1"/>
  <c r="D58" i="1"/>
  <c r="C58" i="1"/>
  <c r="Z57" i="1"/>
  <c r="AB57" i="1" s="1"/>
  <c r="U57" i="1"/>
  <c r="V57" i="1" s="1"/>
  <c r="W57" i="1" s="1"/>
  <c r="Q57" i="1"/>
  <c r="R57" i="1" s="1"/>
  <c r="S57" i="1" s="1"/>
  <c r="M57" i="1"/>
  <c r="N57" i="1" s="1"/>
  <c r="O57" i="1" s="1"/>
  <c r="AA57" i="1" s="1"/>
  <c r="AC57" i="1" s="1"/>
  <c r="G57" i="1"/>
  <c r="D57" i="1"/>
  <c r="C57" i="1"/>
  <c r="Z56" i="1"/>
  <c r="AB56" i="1" s="1"/>
  <c r="U56" i="1"/>
  <c r="V56" i="1" s="1"/>
  <c r="W56" i="1" s="1"/>
  <c r="Q56" i="1"/>
  <c r="R56" i="1" s="1"/>
  <c r="S56" i="1" s="1"/>
  <c r="M56" i="1"/>
  <c r="N56" i="1" s="1"/>
  <c r="O56" i="1" s="1"/>
  <c r="G56" i="1"/>
  <c r="D56" i="1"/>
  <c r="C56" i="1"/>
  <c r="Z55" i="1"/>
  <c r="AB55" i="1" s="1"/>
  <c r="U55" i="1"/>
  <c r="V55" i="1" s="1"/>
  <c r="W55" i="1" s="1"/>
  <c r="Q55" i="1"/>
  <c r="R55" i="1" s="1"/>
  <c r="S55" i="1" s="1"/>
  <c r="M55" i="1"/>
  <c r="N55" i="1" s="1"/>
  <c r="O55" i="1" s="1"/>
  <c r="G55" i="1"/>
  <c r="D55" i="1"/>
  <c r="C55" i="1"/>
  <c r="Z54" i="1"/>
  <c r="U54" i="1"/>
  <c r="V54" i="1" s="1"/>
  <c r="W54" i="1" s="1"/>
  <c r="Q54" i="1"/>
  <c r="R54" i="1" s="1"/>
  <c r="S54" i="1" s="1"/>
  <c r="M54" i="1"/>
  <c r="N54" i="1" s="1"/>
  <c r="G54" i="1"/>
  <c r="D54" i="1"/>
  <c r="C54" i="1"/>
  <c r="Z53" i="1"/>
  <c r="U53" i="1"/>
  <c r="V53" i="1" s="1"/>
  <c r="W53" i="1" s="1"/>
  <c r="Q53" i="1"/>
  <c r="R53" i="1" s="1"/>
  <c r="S53" i="1" s="1"/>
  <c r="M53" i="1"/>
  <c r="N53" i="1" s="1"/>
  <c r="O53" i="1" s="1"/>
  <c r="G53" i="1"/>
  <c r="D53" i="1"/>
  <c r="C53" i="1"/>
  <c r="Z52" i="1"/>
  <c r="AB52" i="1" s="1"/>
  <c r="U52" i="1"/>
  <c r="V52" i="1" s="1"/>
  <c r="W52" i="1" s="1"/>
  <c r="Q52" i="1"/>
  <c r="R52" i="1" s="1"/>
  <c r="S52" i="1" s="1"/>
  <c r="M52" i="1"/>
  <c r="N52" i="1" s="1"/>
  <c r="G52" i="1"/>
  <c r="D52" i="1"/>
  <c r="C52" i="1"/>
  <c r="Z51" i="1"/>
  <c r="U51" i="1"/>
  <c r="V51" i="1" s="1"/>
  <c r="W51" i="1" s="1"/>
  <c r="Q51" i="1"/>
  <c r="R51" i="1" s="1"/>
  <c r="S51" i="1" s="1"/>
  <c r="M51" i="1"/>
  <c r="N51" i="1" s="1"/>
  <c r="O51" i="1" s="1"/>
  <c r="G51" i="1"/>
  <c r="D51" i="1"/>
  <c r="C51" i="1"/>
  <c r="Z50" i="1"/>
  <c r="AB50" i="1" s="1"/>
  <c r="U50" i="1"/>
  <c r="V50" i="1" s="1"/>
  <c r="W50" i="1" s="1"/>
  <c r="Q50" i="1"/>
  <c r="R50" i="1" s="1"/>
  <c r="S50" i="1" s="1"/>
  <c r="M50" i="1"/>
  <c r="G50" i="1"/>
  <c r="D50" i="1"/>
  <c r="C50" i="1"/>
  <c r="AB49" i="1"/>
  <c r="Z49" i="1"/>
  <c r="U49" i="1"/>
  <c r="V49" i="1" s="1"/>
  <c r="W49" i="1" s="1"/>
  <c r="Q49" i="1"/>
  <c r="R49" i="1" s="1"/>
  <c r="S49" i="1" s="1"/>
  <c r="M49" i="1"/>
  <c r="G49" i="1"/>
  <c r="D49" i="1"/>
  <c r="C49" i="1"/>
  <c r="Z48" i="1"/>
  <c r="AB48" i="1" s="1"/>
  <c r="U48" i="1"/>
  <c r="V48" i="1" s="1"/>
  <c r="W48" i="1" s="1"/>
  <c r="Q48" i="1"/>
  <c r="R48" i="1" s="1"/>
  <c r="S48" i="1" s="1"/>
  <c r="M48" i="1"/>
  <c r="G48" i="1"/>
  <c r="D48" i="1"/>
  <c r="C48" i="1"/>
  <c r="Z47" i="1"/>
  <c r="AB47" i="1" s="1"/>
  <c r="U47" i="1"/>
  <c r="V47" i="1" s="1"/>
  <c r="W47" i="1" s="1"/>
  <c r="Q47" i="1"/>
  <c r="R47" i="1" s="1"/>
  <c r="S47" i="1" s="1"/>
  <c r="M47" i="1"/>
  <c r="N47" i="1" s="1"/>
  <c r="O47" i="1" s="1"/>
  <c r="G47" i="1"/>
  <c r="D47" i="1"/>
  <c r="C47" i="1"/>
  <c r="Z46" i="1"/>
  <c r="AB46" i="1" s="1"/>
  <c r="U46" i="1"/>
  <c r="V46" i="1" s="1"/>
  <c r="W46" i="1" s="1"/>
  <c r="Q46" i="1"/>
  <c r="R46" i="1" s="1"/>
  <c r="S46" i="1" s="1"/>
  <c r="M46" i="1"/>
  <c r="G46" i="1"/>
  <c r="D46" i="1"/>
  <c r="C46" i="1"/>
  <c r="Z45" i="1"/>
  <c r="AB45" i="1" s="1"/>
  <c r="U45" i="1"/>
  <c r="V45" i="1" s="1"/>
  <c r="W45" i="1" s="1"/>
  <c r="R45" i="1"/>
  <c r="S45" i="1" s="1"/>
  <c r="Q45" i="1"/>
  <c r="M45" i="1"/>
  <c r="G45" i="1"/>
  <c r="D45" i="1"/>
  <c r="C45" i="1"/>
  <c r="Z44" i="1"/>
  <c r="AB44" i="1" s="1"/>
  <c r="U44" i="1"/>
  <c r="V44" i="1" s="1"/>
  <c r="W44" i="1" s="1"/>
  <c r="Q44" i="1"/>
  <c r="R44" i="1" s="1"/>
  <c r="S44" i="1" s="1"/>
  <c r="M44" i="1"/>
  <c r="N44" i="1" s="1"/>
  <c r="O44" i="1" s="1"/>
  <c r="G44" i="1"/>
  <c r="D44" i="1"/>
  <c r="C44" i="1"/>
  <c r="Z43" i="1"/>
  <c r="AB43" i="1" s="1"/>
  <c r="U43" i="1"/>
  <c r="V43" i="1" s="1"/>
  <c r="W43" i="1" s="1"/>
  <c r="Q43" i="1"/>
  <c r="R43" i="1" s="1"/>
  <c r="S43" i="1" s="1"/>
  <c r="M43" i="1"/>
  <c r="N43" i="1" s="1"/>
  <c r="O43" i="1" s="1"/>
  <c r="G43" i="1"/>
  <c r="D43" i="1"/>
  <c r="C43" i="1"/>
  <c r="Z42" i="1"/>
  <c r="AB42" i="1" s="1"/>
  <c r="U42" i="1"/>
  <c r="V42" i="1" s="1"/>
  <c r="W42" i="1" s="1"/>
  <c r="Q42" i="1"/>
  <c r="R42" i="1" s="1"/>
  <c r="S42" i="1" s="1"/>
  <c r="M42" i="1"/>
  <c r="N42" i="1" s="1"/>
  <c r="O42" i="1" s="1"/>
  <c r="G42" i="1"/>
  <c r="D42" i="1"/>
  <c r="C42" i="1"/>
  <c r="Z41" i="1"/>
  <c r="AB41" i="1" s="1"/>
  <c r="U41" i="1"/>
  <c r="V41" i="1" s="1"/>
  <c r="W41" i="1" s="1"/>
  <c r="Q41" i="1"/>
  <c r="R41" i="1" s="1"/>
  <c r="S41" i="1" s="1"/>
  <c r="M41" i="1"/>
  <c r="G41" i="1"/>
  <c r="D41" i="1"/>
  <c r="C41" i="1"/>
  <c r="Z40" i="1"/>
  <c r="AB40" i="1" s="1"/>
  <c r="U40" i="1"/>
  <c r="V40" i="1" s="1"/>
  <c r="W40" i="1" s="1"/>
  <c r="Q40" i="1"/>
  <c r="R40" i="1" s="1"/>
  <c r="S40" i="1" s="1"/>
  <c r="M40" i="1"/>
  <c r="G40" i="1"/>
  <c r="D40" i="1"/>
  <c r="C40" i="1"/>
  <c r="Z39" i="1"/>
  <c r="AB39" i="1" s="1"/>
  <c r="U39" i="1"/>
  <c r="V39" i="1" s="1"/>
  <c r="W39" i="1" s="1"/>
  <c r="Q39" i="1"/>
  <c r="R39" i="1" s="1"/>
  <c r="S39" i="1" s="1"/>
  <c r="M39" i="1"/>
  <c r="G39" i="1"/>
  <c r="D39" i="1"/>
  <c r="C39" i="1"/>
  <c r="Z38" i="1"/>
  <c r="U38" i="1"/>
  <c r="V38" i="1" s="1"/>
  <c r="W38" i="1" s="1"/>
  <c r="Q38" i="1"/>
  <c r="R38" i="1" s="1"/>
  <c r="S38" i="1" s="1"/>
  <c r="M38" i="1"/>
  <c r="G38" i="1"/>
  <c r="D38" i="1"/>
  <c r="C38" i="1"/>
  <c r="Z37" i="1"/>
  <c r="U37" i="1"/>
  <c r="V37" i="1" s="1"/>
  <c r="W37" i="1" s="1"/>
  <c r="Q37" i="1"/>
  <c r="R37" i="1" s="1"/>
  <c r="S37" i="1" s="1"/>
  <c r="M37" i="1"/>
  <c r="G37" i="1"/>
  <c r="D37" i="1"/>
  <c r="C37" i="1"/>
  <c r="Z36" i="1"/>
  <c r="U36" i="1"/>
  <c r="V36" i="1" s="1"/>
  <c r="W36" i="1" s="1"/>
  <c r="Q36" i="1"/>
  <c r="R36" i="1" s="1"/>
  <c r="S36" i="1" s="1"/>
  <c r="M36" i="1"/>
  <c r="G36" i="1"/>
  <c r="D36" i="1"/>
  <c r="C36" i="1"/>
  <c r="Z35" i="1"/>
  <c r="AB35" i="1" s="1"/>
  <c r="U35" i="1"/>
  <c r="V35" i="1" s="1"/>
  <c r="W35" i="1" s="1"/>
  <c r="Q35" i="1"/>
  <c r="R35" i="1" s="1"/>
  <c r="S35" i="1" s="1"/>
  <c r="M35" i="1"/>
  <c r="G35" i="1"/>
  <c r="D35" i="1"/>
  <c r="C35" i="1"/>
  <c r="Z34" i="1"/>
  <c r="AB34" i="1" s="1"/>
  <c r="U34" i="1"/>
  <c r="V34" i="1" s="1"/>
  <c r="W34" i="1" s="1"/>
  <c r="Q34" i="1"/>
  <c r="R34" i="1" s="1"/>
  <c r="S34" i="1" s="1"/>
  <c r="M34" i="1"/>
  <c r="G34" i="1"/>
  <c r="D34" i="1"/>
  <c r="C34" i="1"/>
  <c r="Z33" i="1"/>
  <c r="AB33" i="1" s="1"/>
  <c r="U33" i="1"/>
  <c r="V33" i="1" s="1"/>
  <c r="W33" i="1" s="1"/>
  <c r="Q33" i="1"/>
  <c r="R33" i="1" s="1"/>
  <c r="S33" i="1" s="1"/>
  <c r="M33" i="1"/>
  <c r="N33" i="1" s="1"/>
  <c r="O33" i="1" s="1"/>
  <c r="G33" i="1"/>
  <c r="D33" i="1"/>
  <c r="C33" i="1"/>
  <c r="Z32" i="1"/>
  <c r="AB32" i="1" s="1"/>
  <c r="U32" i="1"/>
  <c r="V32" i="1" s="1"/>
  <c r="W32" i="1" s="1"/>
  <c r="Q32" i="1"/>
  <c r="R32" i="1" s="1"/>
  <c r="S32" i="1" s="1"/>
  <c r="M32" i="1"/>
  <c r="N32" i="1" s="1"/>
  <c r="O32" i="1" s="1"/>
  <c r="G32" i="1"/>
  <c r="D32" i="1"/>
  <c r="C32" i="1"/>
  <c r="Z31" i="1"/>
  <c r="U31" i="1"/>
  <c r="V31" i="1" s="1"/>
  <c r="W31" i="1" s="1"/>
  <c r="Q31" i="1"/>
  <c r="R31" i="1" s="1"/>
  <c r="S31" i="1" s="1"/>
  <c r="M31" i="1"/>
  <c r="N31" i="1" s="1"/>
  <c r="O31" i="1" s="1"/>
  <c r="G31" i="1"/>
  <c r="D31" i="1"/>
  <c r="C31" i="1"/>
  <c r="Z30" i="1"/>
  <c r="AB30" i="1" s="1"/>
  <c r="U30" i="1"/>
  <c r="V30" i="1" s="1"/>
  <c r="W30" i="1" s="1"/>
  <c r="Q30" i="1"/>
  <c r="R30" i="1" s="1"/>
  <c r="S30" i="1" s="1"/>
  <c r="M30" i="1"/>
  <c r="N30" i="1" s="1"/>
  <c r="G30" i="1"/>
  <c r="D30" i="1"/>
  <c r="C30" i="1"/>
  <c r="Z29" i="1"/>
  <c r="U29" i="1"/>
  <c r="V29" i="1" s="1"/>
  <c r="W29" i="1" s="1"/>
  <c r="Q29" i="1"/>
  <c r="R29" i="1" s="1"/>
  <c r="S29" i="1" s="1"/>
  <c r="M29" i="1"/>
  <c r="N29" i="1" s="1"/>
  <c r="O29" i="1" s="1"/>
  <c r="G29" i="1"/>
  <c r="D29" i="1"/>
  <c r="C29" i="1"/>
  <c r="Z28" i="1"/>
  <c r="AB28" i="1" s="1"/>
  <c r="U28" i="1"/>
  <c r="V28" i="1" s="1"/>
  <c r="W28" i="1" s="1"/>
  <c r="Q28" i="1"/>
  <c r="R28" i="1" s="1"/>
  <c r="S28" i="1" s="1"/>
  <c r="M28" i="1"/>
  <c r="N28" i="1" s="1"/>
  <c r="O28" i="1" s="1"/>
  <c r="G28" i="1"/>
  <c r="D28" i="1"/>
  <c r="C28" i="1"/>
  <c r="Z27" i="1"/>
  <c r="U27" i="1"/>
  <c r="V27" i="1" s="1"/>
  <c r="W27" i="1" s="1"/>
  <c r="Q27" i="1"/>
  <c r="R27" i="1" s="1"/>
  <c r="S27" i="1" s="1"/>
  <c r="M27" i="1"/>
  <c r="N27" i="1" s="1"/>
  <c r="O27" i="1" s="1"/>
  <c r="G27" i="1"/>
  <c r="D27" i="1"/>
  <c r="C27" i="1"/>
  <c r="Z26" i="1"/>
  <c r="AB26" i="1" s="1"/>
  <c r="U26" i="1"/>
  <c r="V26" i="1" s="1"/>
  <c r="W26" i="1" s="1"/>
  <c r="Q26" i="1"/>
  <c r="R26" i="1" s="1"/>
  <c r="S26" i="1" s="1"/>
  <c r="M26" i="1"/>
  <c r="N26" i="1" s="1"/>
  <c r="O26" i="1" s="1"/>
  <c r="G26" i="1"/>
  <c r="D26" i="1"/>
  <c r="C26" i="1"/>
  <c r="Z25" i="1"/>
  <c r="U25" i="1"/>
  <c r="V25" i="1" s="1"/>
  <c r="W25" i="1" s="1"/>
  <c r="Q25" i="1"/>
  <c r="R25" i="1" s="1"/>
  <c r="S25" i="1" s="1"/>
  <c r="M25" i="1"/>
  <c r="N25" i="1" s="1"/>
  <c r="O25" i="1" s="1"/>
  <c r="G25" i="1"/>
  <c r="D25" i="1"/>
  <c r="C25" i="1"/>
  <c r="Z24" i="1"/>
  <c r="U24" i="1"/>
  <c r="V24" i="1" s="1"/>
  <c r="W24" i="1" s="1"/>
  <c r="Q24" i="1"/>
  <c r="R24" i="1" s="1"/>
  <c r="S24" i="1" s="1"/>
  <c r="M24" i="1"/>
  <c r="N24" i="1" s="1"/>
  <c r="G24" i="1"/>
  <c r="D24" i="1"/>
  <c r="C24" i="1"/>
  <c r="AB23" i="1"/>
  <c r="Z23" i="1"/>
  <c r="U23" i="1"/>
  <c r="V23" i="1" s="1"/>
  <c r="W23" i="1" s="1"/>
  <c r="R23" i="1"/>
  <c r="S23" i="1" s="1"/>
  <c r="Q23" i="1"/>
  <c r="M23" i="1"/>
  <c r="N23" i="1" s="1"/>
  <c r="O23" i="1" s="1"/>
  <c r="G23" i="1"/>
  <c r="D23" i="1"/>
  <c r="C23" i="1"/>
  <c r="Z22" i="1"/>
  <c r="AB22" i="1" s="1"/>
  <c r="U22" i="1"/>
  <c r="V22" i="1" s="1"/>
  <c r="W22" i="1" s="1"/>
  <c r="Q22" i="1"/>
  <c r="R22" i="1" s="1"/>
  <c r="S22" i="1" s="1"/>
  <c r="M22" i="1"/>
  <c r="N22" i="1" s="1"/>
  <c r="O22" i="1" s="1"/>
  <c r="G22" i="1"/>
  <c r="D22" i="1"/>
  <c r="C22" i="1"/>
  <c r="Z21" i="1"/>
  <c r="AB21" i="1" s="1"/>
  <c r="U21" i="1"/>
  <c r="V21" i="1" s="1"/>
  <c r="W21" i="1" s="1"/>
  <c r="Q21" i="1"/>
  <c r="R21" i="1" s="1"/>
  <c r="S21" i="1" s="1"/>
  <c r="M21" i="1"/>
  <c r="G21" i="1"/>
  <c r="D21" i="1"/>
  <c r="C21" i="1"/>
  <c r="Z20" i="1"/>
  <c r="AB20" i="1" s="1"/>
  <c r="U20" i="1"/>
  <c r="V20" i="1" s="1"/>
  <c r="W20" i="1" s="1"/>
  <c r="Q20" i="1"/>
  <c r="R20" i="1" s="1"/>
  <c r="S20" i="1" s="1"/>
  <c r="M20" i="1"/>
  <c r="N20" i="1" s="1"/>
  <c r="O20" i="1" s="1"/>
  <c r="G20" i="1"/>
  <c r="D20" i="1"/>
  <c r="C20" i="1"/>
  <c r="Z19" i="1"/>
  <c r="AB19" i="1" s="1"/>
  <c r="U19" i="1"/>
  <c r="V19" i="1" s="1"/>
  <c r="W19" i="1" s="1"/>
  <c r="Q19" i="1"/>
  <c r="R19" i="1" s="1"/>
  <c r="S19" i="1" s="1"/>
  <c r="M19" i="1"/>
  <c r="N19" i="1" s="1"/>
  <c r="O19" i="1" s="1"/>
  <c r="G19" i="1"/>
  <c r="D19" i="1"/>
  <c r="C19" i="1"/>
  <c r="Z18" i="1"/>
  <c r="U18" i="1"/>
  <c r="V18" i="1" s="1"/>
  <c r="W18" i="1" s="1"/>
  <c r="Q18" i="1"/>
  <c r="R18" i="1" s="1"/>
  <c r="S18" i="1" s="1"/>
  <c r="M18" i="1"/>
  <c r="N18" i="1" s="1"/>
  <c r="O18" i="1" s="1"/>
  <c r="G18" i="1"/>
  <c r="D18" i="1"/>
  <c r="C18" i="1"/>
  <c r="AB17" i="1"/>
  <c r="Z17" i="1"/>
  <c r="U17" i="1"/>
  <c r="V17" i="1" s="1"/>
  <c r="W17" i="1" s="1"/>
  <c r="Q17" i="1"/>
  <c r="R17" i="1" s="1"/>
  <c r="S17" i="1" s="1"/>
  <c r="M17" i="1"/>
  <c r="N17" i="1" s="1"/>
  <c r="O17" i="1" s="1"/>
  <c r="G17" i="1"/>
  <c r="D17" i="1"/>
  <c r="C17" i="1"/>
  <c r="Z16" i="1"/>
  <c r="AB16" i="1" s="1"/>
  <c r="U16" i="1"/>
  <c r="V16" i="1" s="1"/>
  <c r="W16" i="1" s="1"/>
  <c r="Q16" i="1"/>
  <c r="R16" i="1" s="1"/>
  <c r="S16" i="1" s="1"/>
  <c r="M16" i="1"/>
  <c r="N16" i="1" s="1"/>
  <c r="O16" i="1" s="1"/>
  <c r="G16" i="1"/>
  <c r="D16" i="1"/>
  <c r="C16" i="1"/>
  <c r="Z15" i="1"/>
  <c r="V15" i="1"/>
  <c r="W15" i="1" s="1"/>
  <c r="U15" i="1"/>
  <c r="Q15" i="1"/>
  <c r="R15" i="1" s="1"/>
  <c r="S15" i="1" s="1"/>
  <c r="M15" i="1"/>
  <c r="N15" i="1" s="1"/>
  <c r="O15" i="1" s="1"/>
  <c r="G15" i="1"/>
  <c r="D15" i="1"/>
  <c r="C15" i="1"/>
  <c r="Z14" i="1"/>
  <c r="AB14" i="1" s="1"/>
  <c r="U14" i="1"/>
  <c r="V14" i="1" s="1"/>
  <c r="W14" i="1" s="1"/>
  <c r="Q14" i="1"/>
  <c r="R14" i="1" s="1"/>
  <c r="S14" i="1" s="1"/>
  <c r="M14" i="1"/>
  <c r="N14" i="1" s="1"/>
  <c r="G14" i="1"/>
  <c r="D14" i="1"/>
  <c r="C14" i="1"/>
  <c r="Z13" i="1"/>
  <c r="U13" i="1"/>
  <c r="V13" i="1" s="1"/>
  <c r="W13" i="1" s="1"/>
  <c r="Q13" i="1"/>
  <c r="R13" i="1" s="1"/>
  <c r="S13" i="1" s="1"/>
  <c r="M13" i="1"/>
  <c r="G13" i="1"/>
  <c r="D13" i="1"/>
  <c r="C13" i="1"/>
  <c r="Z12" i="1"/>
  <c r="AB12" i="1" s="1"/>
  <c r="U12" i="1"/>
  <c r="V12" i="1" s="1"/>
  <c r="W12" i="1" s="1"/>
  <c r="Q12" i="1"/>
  <c r="R12" i="1" s="1"/>
  <c r="S12" i="1" s="1"/>
  <c r="M12" i="1"/>
  <c r="N12" i="1" s="1"/>
  <c r="O12" i="1" s="1"/>
  <c r="G12" i="1"/>
  <c r="D12" i="1"/>
  <c r="C12" i="1"/>
  <c r="AA79" i="1" l="1"/>
  <c r="AC79" i="1" s="1"/>
  <c r="AA127" i="1"/>
  <c r="AD127" i="1" s="1"/>
  <c r="AA120" i="2"/>
  <c r="AA148" i="2"/>
  <c r="AC148" i="2" s="1"/>
  <c r="AA30" i="2"/>
  <c r="AA101" i="2"/>
  <c r="AA104" i="1"/>
  <c r="AC104" i="1" s="1"/>
  <c r="AA79" i="2"/>
  <c r="AD79" i="2" s="1"/>
  <c r="AA55" i="2"/>
  <c r="AC55" i="2" s="1"/>
  <c r="AA44" i="2"/>
  <c r="AC44" i="2" s="1"/>
  <c r="AA179" i="1"/>
  <c r="AC179" i="1" s="1"/>
  <c r="AA201" i="1"/>
  <c r="AD201" i="1" s="1"/>
  <c r="AA128" i="1"/>
  <c r="AD128" i="1" s="1"/>
  <c r="N160" i="1"/>
  <c r="O160" i="1" s="1"/>
  <c r="AA166" i="2"/>
  <c r="AC166" i="2" s="1"/>
  <c r="AA103" i="1"/>
  <c r="AC103" i="1" s="1"/>
  <c r="AA152" i="2"/>
  <c r="AC152" i="2" s="1"/>
  <c r="AA59" i="2"/>
  <c r="AC59" i="2" s="1"/>
  <c r="AA63" i="1"/>
  <c r="AD63" i="1" s="1"/>
  <c r="AA12" i="1"/>
  <c r="AC12" i="1" s="1"/>
  <c r="O30" i="1"/>
  <c r="AA30" i="1" s="1"/>
  <c r="AB84" i="1"/>
  <c r="AA142" i="1"/>
  <c r="AC142" i="1" s="1"/>
  <c r="O193" i="1"/>
  <c r="AA193" i="1" s="1"/>
  <c r="AC193" i="1" s="1"/>
  <c r="O31" i="2"/>
  <c r="AA31" i="2"/>
  <c r="AC31" i="2" s="1"/>
  <c r="O154" i="1"/>
  <c r="AA154" i="1"/>
  <c r="AA99" i="1"/>
  <c r="AC99" i="1" s="1"/>
  <c r="AC127" i="1"/>
  <c r="O133" i="2"/>
  <c r="AA133" i="2"/>
  <c r="AC133" i="2" s="1"/>
  <c r="S63" i="2"/>
  <c r="AA63" i="2" s="1"/>
  <c r="AD63" i="2" s="1"/>
  <c r="N13" i="1"/>
  <c r="O13" i="1" s="1"/>
  <c r="AA13" i="1"/>
  <c r="AC13" i="1" s="1"/>
  <c r="AA26" i="1"/>
  <c r="AC26" i="1" s="1"/>
  <c r="W115" i="1"/>
  <c r="AA115" i="1" s="1"/>
  <c r="AA58" i="2"/>
  <c r="AC58" i="2" s="1"/>
  <c r="O85" i="2"/>
  <c r="AA85" i="2"/>
  <c r="AD85" i="2" s="1"/>
  <c r="AA51" i="1"/>
  <c r="AC51" i="1" s="1"/>
  <c r="AC30" i="2"/>
  <c r="AD30" i="2"/>
  <c r="N50" i="1"/>
  <c r="O50" i="1" s="1"/>
  <c r="N46" i="1"/>
  <c r="O46" i="1" s="1"/>
  <c r="AA46" i="1"/>
  <c r="AC46" i="1" s="1"/>
  <c r="N95" i="1"/>
  <c r="O95" i="1" s="1"/>
  <c r="O91" i="2"/>
  <c r="AA91" i="2" s="1"/>
  <c r="N131" i="1"/>
  <c r="O131" i="1" s="1"/>
  <c r="AB51" i="1"/>
  <c r="AA55" i="1"/>
  <c r="AC55" i="1" s="1"/>
  <c r="AA126" i="1"/>
  <c r="AD126" i="1" s="1"/>
  <c r="AA123" i="2"/>
  <c r="AC123" i="2" s="1"/>
  <c r="AA153" i="2"/>
  <c r="AD153" i="2" s="1"/>
  <c r="O54" i="1"/>
  <c r="AA54" i="1" s="1"/>
  <c r="AA116" i="2"/>
  <c r="AD116" i="2" s="1"/>
  <c r="AA112" i="2"/>
  <c r="AC112" i="2" s="1"/>
  <c r="N87" i="1"/>
  <c r="O87" i="1" s="1"/>
  <c r="AA87" i="1"/>
  <c r="AD87" i="1" s="1"/>
  <c r="AA101" i="1"/>
  <c r="AC101" i="1" s="1"/>
  <c r="O72" i="2"/>
  <c r="AA72" i="2" s="1"/>
  <c r="AA105" i="1"/>
  <c r="AC105" i="1" s="1"/>
  <c r="AA25" i="1"/>
  <c r="AC25" i="1" s="1"/>
  <c r="AA106" i="1"/>
  <c r="AC106" i="1" s="1"/>
  <c r="AA124" i="1"/>
  <c r="AC124" i="1" s="1"/>
  <c r="AD125" i="1"/>
  <c r="AA192" i="1"/>
  <c r="AC192" i="1" s="1"/>
  <c r="AA98" i="1"/>
  <c r="AC98" i="1" s="1"/>
  <c r="S161" i="1"/>
  <c r="AA161" i="1" s="1"/>
  <c r="AA90" i="2"/>
  <c r="AC90" i="2" s="1"/>
  <c r="AA129" i="2"/>
  <c r="AC129" i="2" s="1"/>
  <c r="AB115" i="1"/>
  <c r="AA177" i="1"/>
  <c r="AC177" i="1" s="1"/>
  <c r="N84" i="1"/>
  <c r="O84" i="1" s="1"/>
  <c r="AA164" i="2"/>
  <c r="AC164" i="2" s="1"/>
  <c r="AA195" i="1"/>
  <c r="AC195" i="1" s="1"/>
  <c r="AD101" i="1"/>
  <c r="AA166" i="1"/>
  <c r="AD166" i="1" s="1"/>
  <c r="AA197" i="1"/>
  <c r="AC197" i="1" s="1"/>
  <c r="AA54" i="2"/>
  <c r="AC54" i="2" s="1"/>
  <c r="AA135" i="2"/>
  <c r="AC135" i="2" s="1"/>
  <c r="AB25" i="1"/>
  <c r="O165" i="2"/>
  <c r="AA165" i="2" s="1"/>
  <c r="O24" i="1"/>
  <c r="AA24" i="1"/>
  <c r="AC24" i="1" s="1"/>
  <c r="O52" i="1"/>
  <c r="AA52" i="1"/>
  <c r="R158" i="1"/>
  <c r="S158" i="1" s="1"/>
  <c r="AA158" i="1"/>
  <c r="AC158" i="1" s="1"/>
  <c r="N183" i="1"/>
  <c r="O183" i="1" s="1"/>
  <c r="AA28" i="1"/>
  <c r="AC28" i="1" s="1"/>
  <c r="S146" i="1"/>
  <c r="AA146" i="1" s="1"/>
  <c r="AA33" i="1"/>
  <c r="AB110" i="1"/>
  <c r="AA180" i="1"/>
  <c r="AC180" i="1" s="1"/>
  <c r="AA27" i="1"/>
  <c r="AC27" i="1" s="1"/>
  <c r="S129" i="1"/>
  <c r="AA129" i="1" s="1"/>
  <c r="V32" i="2"/>
  <c r="W32" i="2" s="1"/>
  <c r="AD34" i="2"/>
  <c r="AC34" i="2"/>
  <c r="AB103" i="1"/>
  <c r="V181" i="1"/>
  <c r="W181" i="1" s="1"/>
  <c r="AA97" i="1"/>
  <c r="AD116" i="1"/>
  <c r="AB181" i="1"/>
  <c r="N73" i="1"/>
  <c r="O73" i="1" s="1"/>
  <c r="AA62" i="1"/>
  <c r="N164" i="1"/>
  <c r="O164" i="1" s="1"/>
  <c r="AB27" i="1"/>
  <c r="AB37" i="1"/>
  <c r="AA82" i="1"/>
  <c r="AC82" i="1" s="1"/>
  <c r="AD102" i="1"/>
  <c r="O117" i="1"/>
  <c r="AA117" i="1"/>
  <c r="AC117" i="1" s="1"/>
  <c r="O15" i="2"/>
  <c r="AA15" i="2"/>
  <c r="AB59" i="1"/>
  <c r="N89" i="1"/>
  <c r="O89" i="1" s="1"/>
  <c r="N35" i="1"/>
  <c r="O35" i="1" s="1"/>
  <c r="N112" i="1"/>
  <c r="O112" i="1" s="1"/>
  <c r="AA120" i="1"/>
  <c r="AC120" i="1" s="1"/>
  <c r="N39" i="1"/>
  <c r="O39" i="1" s="1"/>
  <c r="N76" i="1"/>
  <c r="O76" i="1" s="1"/>
  <c r="O140" i="1"/>
  <c r="AA140" i="1"/>
  <c r="AB16" i="2"/>
  <c r="AB13" i="1"/>
  <c r="AA15" i="1"/>
  <c r="AC15" i="1" s="1"/>
  <c r="AA20" i="1"/>
  <c r="O70" i="1"/>
  <c r="AA70" i="1" s="1"/>
  <c r="AB82" i="1"/>
  <c r="AA109" i="1"/>
  <c r="AC109" i="1" s="1"/>
  <c r="N136" i="1"/>
  <c r="O136" i="1" s="1"/>
  <c r="AA191" i="1"/>
  <c r="AC191" i="1" s="1"/>
  <c r="AB192" i="1"/>
  <c r="AA29" i="2"/>
  <c r="AC29" i="2" s="1"/>
  <c r="AA17" i="1"/>
  <c r="AC17" i="1" s="1"/>
  <c r="AB18" i="1"/>
  <c r="N45" i="1"/>
  <c r="O45" i="1" s="1"/>
  <c r="AA59" i="1"/>
  <c r="AC59" i="1" s="1"/>
  <c r="N92" i="1"/>
  <c r="O92" i="1" s="1"/>
  <c r="N100" i="1"/>
  <c r="O100" i="1" s="1"/>
  <c r="S113" i="1"/>
  <c r="AA113" i="1" s="1"/>
  <c r="AB125" i="1"/>
  <c r="AB29" i="2"/>
  <c r="AA53" i="1"/>
  <c r="AC53" i="1" s="1"/>
  <c r="AA81" i="1"/>
  <c r="O186" i="1"/>
  <c r="AA186" i="1" s="1"/>
  <c r="N203" i="1"/>
  <c r="O203" i="1" s="1"/>
  <c r="AA26" i="2"/>
  <c r="O103" i="2"/>
  <c r="AA103" i="2" s="1"/>
  <c r="AA16" i="1"/>
  <c r="AA42" i="1"/>
  <c r="N66" i="1"/>
  <c r="O66" i="1" s="1"/>
  <c r="AB78" i="1"/>
  <c r="AB124" i="1"/>
  <c r="AA141" i="1"/>
  <c r="AC141" i="1" s="1"/>
  <c r="AB142" i="1"/>
  <c r="N28" i="2"/>
  <c r="O28" i="2" s="1"/>
  <c r="N49" i="1"/>
  <c r="O49" i="1" s="1"/>
  <c r="AC58" i="1"/>
  <c r="AD58" i="1"/>
  <c r="AB54" i="1"/>
  <c r="N36" i="1"/>
  <c r="O36" i="1" s="1"/>
  <c r="AB113" i="1"/>
  <c r="AA123" i="1"/>
  <c r="AC123" i="1" s="1"/>
  <c r="N133" i="1"/>
  <c r="O133" i="1" s="1"/>
  <c r="AA133" i="1"/>
  <c r="AC133" i="1" s="1"/>
  <c r="AA12" i="2"/>
  <c r="AC12" i="2" s="1"/>
  <c r="AB141" i="1"/>
  <c r="AB144" i="2"/>
  <c r="N135" i="1"/>
  <c r="O135" i="1" s="1"/>
  <c r="AB167" i="1"/>
  <c r="O14" i="1"/>
  <c r="AA14" i="1" s="1"/>
  <c r="AC14" i="1" s="1"/>
  <c r="AB53" i="1"/>
  <c r="AB102" i="1"/>
  <c r="N111" i="1"/>
  <c r="O111" i="1" s="1"/>
  <c r="AD117" i="1"/>
  <c r="W145" i="1"/>
  <c r="AA145" i="1" s="1"/>
  <c r="AB146" i="1"/>
  <c r="N127" i="2"/>
  <c r="O127" i="2" s="1"/>
  <c r="AB24" i="1"/>
  <c r="N34" i="1"/>
  <c r="O34" i="1" s="1"/>
  <c r="N38" i="1"/>
  <c r="O38" i="1" s="1"/>
  <c r="AA44" i="1"/>
  <c r="O61" i="1"/>
  <c r="AA61" i="1" s="1"/>
  <c r="AA75" i="1"/>
  <c r="AC75" i="1" s="1"/>
  <c r="N91" i="1"/>
  <c r="O91" i="1" s="1"/>
  <c r="AA94" i="1"/>
  <c r="AB96" i="1"/>
  <c r="AB101" i="1"/>
  <c r="AA108" i="1"/>
  <c r="AA119" i="1"/>
  <c r="AC119" i="1" s="1"/>
  <c r="AB123" i="1"/>
  <c r="R178" i="1"/>
  <c r="S178" i="1" s="1"/>
  <c r="AD179" i="1"/>
  <c r="AB180" i="1"/>
  <c r="N187" i="1"/>
  <c r="O187" i="1" s="1"/>
  <c r="AA187" i="1"/>
  <c r="AC187" i="1" s="1"/>
  <c r="N190" i="1"/>
  <c r="O190" i="1" s="1"/>
  <c r="O38" i="2"/>
  <c r="AA38" i="2" s="1"/>
  <c r="AC38" i="2" s="1"/>
  <c r="AB39" i="2"/>
  <c r="N41" i="2"/>
  <c r="O41" i="2" s="1"/>
  <c r="O132" i="2"/>
  <c r="AA132" i="2" s="1"/>
  <c r="N69" i="1"/>
  <c r="O69" i="1" s="1"/>
  <c r="AA69" i="1"/>
  <c r="N41" i="1"/>
  <c r="O41" i="1" s="1"/>
  <c r="N65" i="1"/>
  <c r="O65" i="1" s="1"/>
  <c r="AB120" i="1"/>
  <c r="AA139" i="1"/>
  <c r="AC139" i="1" s="1"/>
  <c r="AB159" i="1"/>
  <c r="O169" i="1"/>
  <c r="AA169" i="1" s="1"/>
  <c r="AB191" i="1"/>
  <c r="O25" i="2"/>
  <c r="AA25" i="2" s="1"/>
  <c r="N149" i="2"/>
  <c r="O149" i="2" s="1"/>
  <c r="AB173" i="1"/>
  <c r="AA22" i="1"/>
  <c r="AB36" i="1"/>
  <c r="N64" i="1"/>
  <c r="O64" i="1" s="1"/>
  <c r="AA68" i="1"/>
  <c r="AA72" i="1"/>
  <c r="AC72" i="1" s="1"/>
  <c r="AB117" i="1"/>
  <c r="AA138" i="1"/>
  <c r="AC138" i="1" s="1"/>
  <c r="AA157" i="1"/>
  <c r="AB158" i="1"/>
  <c r="AA11" i="2"/>
  <c r="AC11" i="2" s="1"/>
  <c r="N22" i="2"/>
  <c r="O22" i="2" s="1"/>
  <c r="O175" i="1"/>
  <c r="AA175" i="1"/>
  <c r="AC175" i="1" s="1"/>
  <c r="AA19" i="1"/>
  <c r="AB20" i="2"/>
  <c r="AA18" i="1"/>
  <c r="AC18" i="1" s="1"/>
  <c r="AD57" i="1"/>
  <c r="AA116" i="1"/>
  <c r="AC116" i="1" s="1"/>
  <c r="AA144" i="1"/>
  <c r="AC144" i="1" s="1"/>
  <c r="AA165" i="1"/>
  <c r="AC165" i="1" s="1"/>
  <c r="AA185" i="1"/>
  <c r="AB57" i="2"/>
  <c r="N118" i="2"/>
  <c r="O118" i="2" s="1"/>
  <c r="AA118" i="2"/>
  <c r="AC118" i="2" s="1"/>
  <c r="AC101" i="2"/>
  <c r="AD101" i="2"/>
  <c r="N48" i="1"/>
  <c r="O48" i="1" s="1"/>
  <c r="AA121" i="1"/>
  <c r="AB29" i="1"/>
  <c r="AA78" i="1"/>
  <c r="AC78" i="1" s="1"/>
  <c r="AB99" i="1"/>
  <c r="AB116" i="1"/>
  <c r="AA132" i="1"/>
  <c r="AC132" i="1" s="1"/>
  <c r="N134" i="1"/>
  <c r="O134" i="1" s="1"/>
  <c r="AB178" i="1"/>
  <c r="AB76" i="2"/>
  <c r="AC81" i="2"/>
  <c r="AD81" i="2"/>
  <c r="AB38" i="1"/>
  <c r="N40" i="1"/>
  <c r="O40" i="1" s="1"/>
  <c r="N67" i="1"/>
  <c r="O67" i="1" s="1"/>
  <c r="AB79" i="1"/>
  <c r="AD79" i="1"/>
  <c r="AA43" i="1"/>
  <c r="AA32" i="1"/>
  <c r="AA74" i="1"/>
  <c r="AC74" i="1" s="1"/>
  <c r="AA88" i="1"/>
  <c r="AC88" i="1" s="1"/>
  <c r="N93" i="1"/>
  <c r="O93" i="1" s="1"/>
  <c r="AB105" i="1"/>
  <c r="N107" i="1"/>
  <c r="O107" i="1" s="1"/>
  <c r="N110" i="1"/>
  <c r="O110" i="1" s="1"/>
  <c r="N137" i="1"/>
  <c r="O137" i="1" s="1"/>
  <c r="AA162" i="1"/>
  <c r="AA176" i="1"/>
  <c r="AC176" i="1" s="1"/>
  <c r="N50" i="2"/>
  <c r="O50" i="2" s="1"/>
  <c r="N111" i="2"/>
  <c r="O111" i="2" s="1"/>
  <c r="N122" i="1"/>
  <c r="O122" i="1" s="1"/>
  <c r="AA122" i="1"/>
  <c r="O17" i="2"/>
  <c r="AA17" i="2" s="1"/>
  <c r="AA23" i="1"/>
  <c r="AA196" i="1"/>
  <c r="AC196" i="1" s="1"/>
  <c r="AA29" i="1"/>
  <c r="AC29" i="1" s="1"/>
  <c r="N71" i="1"/>
  <c r="O71" i="1" s="1"/>
  <c r="N21" i="1"/>
  <c r="O21" i="1" s="1"/>
  <c r="N37" i="1"/>
  <c r="O37" i="1" s="1"/>
  <c r="AA31" i="1"/>
  <c r="AC31" i="1" s="1"/>
  <c r="AA47" i="1"/>
  <c r="AA56" i="1"/>
  <c r="O74" i="1"/>
  <c r="AB75" i="1"/>
  <c r="AA77" i="1"/>
  <c r="AC77" i="1" s="1"/>
  <c r="AA83" i="1"/>
  <c r="AA90" i="1"/>
  <c r="AB98" i="1"/>
  <c r="AA143" i="1"/>
  <c r="AC143" i="1" s="1"/>
  <c r="AA156" i="1"/>
  <c r="AC156" i="1" s="1"/>
  <c r="AA170" i="1"/>
  <c r="AB177" i="1"/>
  <c r="AA106" i="2"/>
  <c r="AC106" i="2" s="1"/>
  <c r="AB107" i="2"/>
  <c r="S56" i="2"/>
  <c r="AA56" i="2" s="1"/>
  <c r="AC56" i="2" s="1"/>
  <c r="O64" i="2"/>
  <c r="AA64" i="2" s="1"/>
  <c r="AA52" i="2"/>
  <c r="O85" i="1"/>
  <c r="AA85" i="1" s="1"/>
  <c r="O86" i="1"/>
  <c r="AA86" i="1" s="1"/>
  <c r="N118" i="1"/>
  <c r="O118" i="1" s="1"/>
  <c r="O130" i="1"/>
  <c r="AA130" i="1" s="1"/>
  <c r="N163" i="1"/>
  <c r="O163" i="1" s="1"/>
  <c r="AB165" i="1"/>
  <c r="O174" i="1"/>
  <c r="AA174" i="1" s="1"/>
  <c r="AB11" i="2"/>
  <c r="AB50" i="2"/>
  <c r="AB53" i="2"/>
  <c r="N66" i="2"/>
  <c r="O66" i="2" s="1"/>
  <c r="N100" i="2"/>
  <c r="O100" i="2" s="1"/>
  <c r="AA100" i="2"/>
  <c r="N110" i="2"/>
  <c r="O110" i="2" s="1"/>
  <c r="O145" i="2"/>
  <c r="AA145" i="2" s="1"/>
  <c r="O159" i="2"/>
  <c r="AA159" i="2" s="1"/>
  <c r="O143" i="2"/>
  <c r="AA143" i="2"/>
  <c r="AB196" i="1"/>
  <c r="AA37" i="2"/>
  <c r="AB135" i="2"/>
  <c r="AB15" i="1"/>
  <c r="AB31" i="1"/>
  <c r="N60" i="1"/>
  <c r="O60" i="1" s="1"/>
  <c r="AB138" i="1"/>
  <c r="AB139" i="1"/>
  <c r="AB176" i="1"/>
  <c r="AA189" i="1"/>
  <c r="N198" i="1"/>
  <c r="O198" i="1" s="1"/>
  <c r="AA24" i="2"/>
  <c r="N40" i="2"/>
  <c r="O40" i="2" s="1"/>
  <c r="N43" i="2"/>
  <c r="O43" i="2" s="1"/>
  <c r="AA46" i="2"/>
  <c r="N68" i="2"/>
  <c r="O68" i="2" s="1"/>
  <c r="AB129" i="2"/>
  <c r="AA142" i="2"/>
  <c r="AB164" i="1"/>
  <c r="AA167" i="1"/>
  <c r="AC167" i="1" s="1"/>
  <c r="AB195" i="1"/>
  <c r="AA202" i="1"/>
  <c r="AA16" i="2"/>
  <c r="AC16" i="2" s="1"/>
  <c r="AA33" i="2"/>
  <c r="O36" i="2"/>
  <c r="AA36" i="2" s="1"/>
  <c r="AB86" i="2"/>
  <c r="V89" i="2"/>
  <c r="W89" i="2" s="1"/>
  <c r="W108" i="2"/>
  <c r="AA108" i="2" s="1"/>
  <c r="AB137" i="2"/>
  <c r="AB175" i="1"/>
  <c r="AB31" i="2"/>
  <c r="N60" i="2"/>
  <c r="O60" i="2" s="1"/>
  <c r="AB89" i="2"/>
  <c r="AA137" i="2"/>
  <c r="AC137" i="2" s="1"/>
  <c r="AA173" i="1"/>
  <c r="AC173" i="1" s="1"/>
  <c r="N13" i="2"/>
  <c r="O13" i="2" s="1"/>
  <c r="N27" i="2"/>
  <c r="O27" i="2" s="1"/>
  <c r="O49" i="2"/>
  <c r="AA49" i="2" s="1"/>
  <c r="AC49" i="2" s="1"/>
  <c r="AB98" i="2"/>
  <c r="N80" i="1"/>
  <c r="O80" i="1" s="1"/>
  <c r="AA114" i="1"/>
  <c r="AC114" i="1" s="1"/>
  <c r="N159" i="1"/>
  <c r="O159" i="1" s="1"/>
  <c r="N172" i="1"/>
  <c r="O172" i="1" s="1"/>
  <c r="AA172" i="1" s="1"/>
  <c r="AA42" i="2"/>
  <c r="AC42" i="2" s="1"/>
  <c r="AA121" i="2"/>
  <c r="N188" i="1"/>
  <c r="O188" i="1" s="1"/>
  <c r="AB49" i="2"/>
  <c r="AA57" i="2"/>
  <c r="AC57" i="2" s="1"/>
  <c r="AD58" i="2"/>
  <c r="AB58" i="2"/>
  <c r="AA84" i="2"/>
  <c r="N96" i="2"/>
  <c r="O96" i="2" s="1"/>
  <c r="N96" i="1"/>
  <c r="O96" i="1" s="1"/>
  <c r="N171" i="1"/>
  <c r="O171" i="1" s="1"/>
  <c r="N184" i="1"/>
  <c r="O184" i="1" s="1"/>
  <c r="AA194" i="1"/>
  <c r="AC194" i="1" s="1"/>
  <c r="AB40" i="2"/>
  <c r="AC79" i="2"/>
  <c r="S88" i="2"/>
  <c r="AA88" i="2"/>
  <c r="AA93" i="2"/>
  <c r="AB119" i="2"/>
  <c r="AA136" i="2"/>
  <c r="AA155" i="1"/>
  <c r="N14" i="2"/>
  <c r="O14" i="2" s="1"/>
  <c r="AB38" i="2"/>
  <c r="N139" i="2"/>
  <c r="O139" i="2" s="1"/>
  <c r="AB149" i="2"/>
  <c r="N155" i="1"/>
  <c r="O155" i="1" s="1"/>
  <c r="N21" i="2"/>
  <c r="O21" i="2" s="1"/>
  <c r="AB60" i="2"/>
  <c r="AA65" i="2"/>
  <c r="AB133" i="2"/>
  <c r="O161" i="2"/>
  <c r="AA161" i="2" s="1"/>
  <c r="AB197" i="1"/>
  <c r="N200" i="1"/>
  <c r="O200" i="1" s="1"/>
  <c r="AA48" i="2"/>
  <c r="AC48" i="2" s="1"/>
  <c r="AA51" i="2"/>
  <c r="AA76" i="2"/>
  <c r="AC76" i="2" s="1"/>
  <c r="N83" i="2"/>
  <c r="O83" i="2" s="1"/>
  <c r="AD120" i="2"/>
  <c r="AC120" i="2"/>
  <c r="AB42" i="2"/>
  <c r="N67" i="2"/>
  <c r="O67" i="2" s="1"/>
  <c r="N95" i="2"/>
  <c r="O95" i="2" s="1"/>
  <c r="O113" i="2"/>
  <c r="AA113" i="2" s="1"/>
  <c r="S156" i="2"/>
  <c r="AA156" i="2"/>
  <c r="N20" i="2"/>
  <c r="O20" i="2" s="1"/>
  <c r="AD90" i="2"/>
  <c r="O117" i="2"/>
  <c r="AA117" i="2"/>
  <c r="AB151" i="2"/>
  <c r="N158" i="2"/>
  <c r="O158" i="2" s="1"/>
  <c r="AA39" i="2"/>
  <c r="AC39" i="2" s="1"/>
  <c r="O80" i="2"/>
  <c r="AA80" i="2" s="1"/>
  <c r="N128" i="2"/>
  <c r="O128" i="2" s="1"/>
  <c r="N134" i="2"/>
  <c r="O134" i="2" s="1"/>
  <c r="AA18" i="2"/>
  <c r="AC18" i="2" s="1"/>
  <c r="N19" i="2"/>
  <c r="O19" i="2" s="1"/>
  <c r="AB41" i="2"/>
  <c r="AA47" i="2"/>
  <c r="AB67" i="2"/>
  <c r="AA92" i="2"/>
  <c r="S107" i="2"/>
  <c r="AA107" i="2" s="1"/>
  <c r="N155" i="2"/>
  <c r="O155" i="2" s="1"/>
  <c r="AA155" i="2"/>
  <c r="AC155" i="2" s="1"/>
  <c r="AA168" i="1"/>
  <c r="N182" i="1"/>
  <c r="O182" i="1" s="1"/>
  <c r="N199" i="1"/>
  <c r="O199" i="1" s="1"/>
  <c r="AA23" i="2"/>
  <c r="N70" i="2"/>
  <c r="O70" i="2" s="1"/>
  <c r="AA94" i="2"/>
  <c r="N102" i="2"/>
  <c r="O102" i="2" s="1"/>
  <c r="AB103" i="2"/>
  <c r="AA105" i="2"/>
  <c r="AB128" i="2"/>
  <c r="AB146" i="2"/>
  <c r="AB114" i="2"/>
  <c r="N130" i="2"/>
  <c r="O130" i="2" s="1"/>
  <c r="N86" i="2"/>
  <c r="O86" i="2" s="1"/>
  <c r="AA53" i="2"/>
  <c r="AC53" i="2" s="1"/>
  <c r="AB55" i="2"/>
  <c r="AA69" i="2"/>
  <c r="AB75" i="2"/>
  <c r="AA77" i="2"/>
  <c r="AB80" i="2"/>
  <c r="AB106" i="2"/>
  <c r="AA126" i="2"/>
  <c r="N144" i="2"/>
  <c r="O144" i="2" s="1"/>
  <c r="AA154" i="2"/>
  <c r="AC154" i="2" s="1"/>
  <c r="AA104" i="2"/>
  <c r="AA124" i="2"/>
  <c r="AA140" i="2"/>
  <c r="N147" i="2"/>
  <c r="O147" i="2" s="1"/>
  <c r="N150" i="2"/>
  <c r="O150" i="2" s="1"/>
  <c r="N160" i="2"/>
  <c r="O160" i="2" s="1"/>
  <c r="AA160" i="2"/>
  <c r="AC160" i="2" s="1"/>
  <c r="N82" i="2"/>
  <c r="O82" i="2" s="1"/>
  <c r="AA97" i="2"/>
  <c r="AA119" i="2"/>
  <c r="AC119" i="2" s="1"/>
  <c r="AA122" i="2"/>
  <c r="AC122" i="2" s="1"/>
  <c r="O140" i="2"/>
  <c r="AB141" i="2"/>
  <c r="AA71" i="2"/>
  <c r="AA73" i="2"/>
  <c r="AC73" i="2" s="1"/>
  <c r="AA75" i="2"/>
  <c r="AC75" i="2" s="1"/>
  <c r="AA98" i="2"/>
  <c r="AC98" i="2" s="1"/>
  <c r="AA109" i="2"/>
  <c r="AA125" i="2"/>
  <c r="O45" i="2"/>
  <c r="AA45" i="2" s="1"/>
  <c r="AA61" i="2"/>
  <c r="N62" i="2"/>
  <c r="O62" i="2" s="1"/>
  <c r="AA74" i="2"/>
  <c r="AC74" i="2" s="1"/>
  <c r="N131" i="2"/>
  <c r="O131" i="2" s="1"/>
  <c r="N35" i="2"/>
  <c r="O35" i="2" s="1"/>
  <c r="AB74" i="2"/>
  <c r="AA78" i="2"/>
  <c r="AB122" i="2"/>
  <c r="N138" i="2"/>
  <c r="O138" i="2" s="1"/>
  <c r="AA157" i="2"/>
  <c r="AC157" i="2" s="1"/>
  <c r="O163" i="2"/>
  <c r="AA163" i="2" s="1"/>
  <c r="AB83" i="2"/>
  <c r="AA87" i="2"/>
  <c r="AC87" i="2" s="1"/>
  <c r="AA99" i="2"/>
  <c r="N115" i="2"/>
  <c r="O115" i="2" s="1"/>
  <c r="AA141" i="2"/>
  <c r="AC141" i="2" s="1"/>
  <c r="AA151" i="2"/>
  <c r="AC151" i="2" s="1"/>
  <c r="N114" i="2"/>
  <c r="O114" i="2" s="1"/>
  <c r="AA146" i="2"/>
  <c r="AC146" i="2" s="1"/>
  <c r="AD148" i="2"/>
  <c r="AA162" i="2"/>
  <c r="AB157" i="2"/>
  <c r="AB166" i="2"/>
  <c r="AC87" i="1" l="1"/>
  <c r="AD104" i="1"/>
  <c r="AD46" i="1"/>
  <c r="AC116" i="2"/>
  <c r="AD55" i="2"/>
  <c r="AA118" i="1"/>
  <c r="AC118" i="1" s="1"/>
  <c r="AA139" i="2"/>
  <c r="AC139" i="2" s="1"/>
  <c r="AA134" i="1"/>
  <c r="AD176" i="1"/>
  <c r="AA70" i="2"/>
  <c r="AA128" i="2"/>
  <c r="AC128" i="2" s="1"/>
  <c r="AA96" i="2"/>
  <c r="AC96" i="2" s="1"/>
  <c r="AA43" i="2"/>
  <c r="AC43" i="2" s="1"/>
  <c r="AD177" i="1"/>
  <c r="AA45" i="1"/>
  <c r="AC45" i="1" s="1"/>
  <c r="AD106" i="1"/>
  <c r="AD11" i="2"/>
  <c r="AD152" i="2"/>
  <c r="AC201" i="1"/>
  <c r="AA134" i="2"/>
  <c r="AD31" i="2"/>
  <c r="AA62" i="2"/>
  <c r="AC62" i="2" s="1"/>
  <c r="AD137" i="2"/>
  <c r="AD166" i="2"/>
  <c r="AD44" i="2"/>
  <c r="AC63" i="1"/>
  <c r="AD103" i="1"/>
  <c r="AD112" i="2"/>
  <c r="AD17" i="1"/>
  <c r="AD132" i="1"/>
  <c r="AD109" i="1"/>
  <c r="AD29" i="1"/>
  <c r="AD87" i="2"/>
  <c r="AC128" i="1"/>
  <c r="AD88" i="1"/>
  <c r="AA131" i="1"/>
  <c r="AC72" i="2"/>
  <c r="AD72" i="2"/>
  <c r="AD142" i="1"/>
  <c r="AA39" i="1"/>
  <c r="AD39" i="1" s="1"/>
  <c r="AD76" i="2"/>
  <c r="AD197" i="1"/>
  <c r="AD133" i="2"/>
  <c r="AD187" i="1"/>
  <c r="AA107" i="1"/>
  <c r="AD107" i="1" s="1"/>
  <c r="AA188" i="1"/>
  <c r="AC188" i="1" s="1"/>
  <c r="AA68" i="2"/>
  <c r="AD68" i="2" s="1"/>
  <c r="AD75" i="1"/>
  <c r="AA93" i="1"/>
  <c r="AC93" i="1" s="1"/>
  <c r="AD26" i="1"/>
  <c r="AA40" i="2"/>
  <c r="AD124" i="1"/>
  <c r="AD78" i="1"/>
  <c r="AD12" i="1"/>
  <c r="AD42" i="2"/>
  <c r="AA184" i="1"/>
  <c r="AC184" i="1" s="1"/>
  <c r="AD156" i="1"/>
  <c r="AD165" i="1"/>
  <c r="AC63" i="2"/>
  <c r="AD55" i="1"/>
  <c r="AD154" i="2"/>
  <c r="AD122" i="2"/>
  <c r="AA150" i="2"/>
  <c r="AD150" i="2" s="1"/>
  <c r="AA20" i="2"/>
  <c r="AC20" i="2" s="1"/>
  <c r="AD105" i="1"/>
  <c r="AA38" i="1"/>
  <c r="AC38" i="1" s="1"/>
  <c r="AA190" i="1"/>
  <c r="AC190" i="1" s="1"/>
  <c r="AA110" i="1"/>
  <c r="AC110" i="1" s="1"/>
  <c r="AD164" i="2"/>
  <c r="AA86" i="2"/>
  <c r="AC86" i="2" s="1"/>
  <c r="AD59" i="2"/>
  <c r="AD129" i="2"/>
  <c r="AA49" i="1"/>
  <c r="AD49" i="1" s="1"/>
  <c r="AD25" i="1"/>
  <c r="AA160" i="1"/>
  <c r="AC54" i="1"/>
  <c r="AD54" i="1"/>
  <c r="AC80" i="2"/>
  <c r="AD80" i="2"/>
  <c r="AC91" i="2"/>
  <c r="AD91" i="2"/>
  <c r="AC115" i="1"/>
  <c r="AD115" i="1"/>
  <c r="AC30" i="1"/>
  <c r="AD30" i="1"/>
  <c r="AA178" i="1"/>
  <c r="AA67" i="2"/>
  <c r="AC67" i="2" s="1"/>
  <c r="AD98" i="1"/>
  <c r="AD131" i="1"/>
  <c r="AC131" i="1"/>
  <c r="AC166" i="1"/>
  <c r="AA111" i="1"/>
  <c r="AD111" i="1" s="1"/>
  <c r="AD99" i="1"/>
  <c r="AD146" i="2"/>
  <c r="AA158" i="2"/>
  <c r="AC158" i="2" s="1"/>
  <c r="AD48" i="2"/>
  <c r="AD54" i="2"/>
  <c r="AA22" i="2"/>
  <c r="AD138" i="1"/>
  <c r="AA84" i="1"/>
  <c r="AD135" i="2"/>
  <c r="AC85" i="2"/>
  <c r="AA131" i="2"/>
  <c r="AD131" i="2" s="1"/>
  <c r="AD39" i="2"/>
  <c r="AA115" i="2"/>
  <c r="AC115" i="2" s="1"/>
  <c r="AD123" i="1"/>
  <c r="AD193" i="1"/>
  <c r="AA32" i="2"/>
  <c r="AC32" i="2" s="1"/>
  <c r="AA95" i="1"/>
  <c r="AA80" i="1"/>
  <c r="AC80" i="1" s="1"/>
  <c r="AC154" i="1"/>
  <c r="AD154" i="1"/>
  <c r="AD98" i="2"/>
  <c r="AD123" i="2"/>
  <c r="AD12" i="2"/>
  <c r="AA13" i="2"/>
  <c r="AD13" i="2" s="1"/>
  <c r="AD106" i="2"/>
  <c r="AA37" i="1"/>
  <c r="AC37" i="1" s="1"/>
  <c r="AA21" i="1"/>
  <c r="AD21" i="1" s="1"/>
  <c r="AD120" i="1"/>
  <c r="AD192" i="1"/>
  <c r="AD51" i="1"/>
  <c r="AC153" i="2"/>
  <c r="AA149" i="2"/>
  <c r="AC126" i="1"/>
  <c r="AD151" i="2"/>
  <c r="AA35" i="2"/>
  <c r="AC35" i="2" s="1"/>
  <c r="AD155" i="2"/>
  <c r="AA40" i="1"/>
  <c r="AC40" i="1" s="1"/>
  <c r="AA163" i="1"/>
  <c r="AD163" i="1" s="1"/>
  <c r="AA203" i="1"/>
  <c r="AC203" i="1" s="1"/>
  <c r="AA112" i="1"/>
  <c r="AC112" i="1" s="1"/>
  <c r="AD161" i="1"/>
  <c r="AC161" i="1"/>
  <c r="AA147" i="2"/>
  <c r="AC147" i="2" s="1"/>
  <c r="AA114" i="2"/>
  <c r="AC114" i="2" s="1"/>
  <c r="AD133" i="1"/>
  <c r="AA14" i="2"/>
  <c r="AC14" i="2" s="1"/>
  <c r="AD195" i="1"/>
  <c r="AD15" i="1"/>
  <c r="AA71" i="1"/>
  <c r="AC71" i="1" s="1"/>
  <c r="AD13" i="1"/>
  <c r="AA73" i="1"/>
  <c r="AA181" i="1"/>
  <c r="AA50" i="1"/>
  <c r="AC145" i="1"/>
  <c r="AD145" i="1"/>
  <c r="AC146" i="1"/>
  <c r="AD146" i="1"/>
  <c r="AC108" i="2"/>
  <c r="AD108" i="2"/>
  <c r="AD36" i="2"/>
  <c r="AC36" i="2"/>
  <c r="AD17" i="2"/>
  <c r="AC17" i="2"/>
  <c r="AD132" i="2"/>
  <c r="AC132" i="2"/>
  <c r="AC113" i="1"/>
  <c r="AD113" i="1"/>
  <c r="AC103" i="2"/>
  <c r="AD103" i="2"/>
  <c r="AC161" i="2"/>
  <c r="AD161" i="2"/>
  <c r="AC25" i="2"/>
  <c r="AD25" i="2"/>
  <c r="AC61" i="1"/>
  <c r="AD61" i="1"/>
  <c r="AD86" i="1"/>
  <c r="AC86" i="1"/>
  <c r="AC165" i="2"/>
  <c r="AD165" i="2"/>
  <c r="AC113" i="2"/>
  <c r="AD113" i="2"/>
  <c r="AC174" i="1"/>
  <c r="AD174" i="1"/>
  <c r="AC145" i="2"/>
  <c r="AD145" i="2"/>
  <c r="AC186" i="1"/>
  <c r="AD186" i="1"/>
  <c r="AC64" i="2"/>
  <c r="AD64" i="2"/>
  <c r="AC169" i="1"/>
  <c r="AD169" i="1"/>
  <c r="AD85" i="1"/>
  <c r="AC85" i="1"/>
  <c r="AC107" i="2"/>
  <c r="AD107" i="2"/>
  <c r="AD23" i="2"/>
  <c r="AC23" i="2"/>
  <c r="AD191" i="1"/>
  <c r="AC62" i="1"/>
  <c r="AD62" i="1"/>
  <c r="AC189" i="1"/>
  <c r="AD189" i="1"/>
  <c r="AC108" i="1"/>
  <c r="AD108" i="1"/>
  <c r="AD83" i="1"/>
  <c r="AC83" i="1"/>
  <c r="AA41" i="2"/>
  <c r="AC134" i="2"/>
  <c r="AD134" i="2"/>
  <c r="AD23" i="1"/>
  <c r="AC23" i="1"/>
  <c r="AC134" i="1"/>
  <c r="AD134" i="1"/>
  <c r="AD45" i="1"/>
  <c r="AD93" i="2"/>
  <c r="AC93" i="2"/>
  <c r="AC163" i="2"/>
  <c r="AD163" i="2"/>
  <c r="AD24" i="2"/>
  <c r="AC24" i="2"/>
  <c r="AD130" i="1"/>
  <c r="AC130" i="1"/>
  <c r="AC125" i="2"/>
  <c r="AD125" i="2"/>
  <c r="AA171" i="1"/>
  <c r="AC65" i="2"/>
  <c r="AD65" i="2"/>
  <c r="AA64" i="1"/>
  <c r="AD109" i="2"/>
  <c r="AC109" i="2"/>
  <c r="AD19" i="1"/>
  <c r="AC19" i="1"/>
  <c r="AD18" i="1"/>
  <c r="AA136" i="1"/>
  <c r="AD77" i="2"/>
  <c r="AC77" i="2"/>
  <c r="AC81" i="1"/>
  <c r="AD81" i="1"/>
  <c r="AD52" i="1"/>
  <c r="AC52" i="1"/>
  <c r="AA83" i="2"/>
  <c r="AD121" i="2"/>
  <c r="AC121" i="2"/>
  <c r="AA110" i="2"/>
  <c r="AD22" i="1"/>
  <c r="AC22" i="1"/>
  <c r="AC94" i="1"/>
  <c r="AD94" i="1"/>
  <c r="AC42" i="1"/>
  <c r="AD42" i="1"/>
  <c r="AD82" i="1"/>
  <c r="AD74" i="2"/>
  <c r="AD75" i="2"/>
  <c r="AD105" i="2"/>
  <c r="AC105" i="2"/>
  <c r="AD88" i="2"/>
  <c r="AC88" i="2"/>
  <c r="AD175" i="1"/>
  <c r="AD100" i="2"/>
  <c r="AC100" i="2"/>
  <c r="AD32" i="1"/>
  <c r="AC32" i="1"/>
  <c r="AD114" i="1"/>
  <c r="AC20" i="1"/>
  <c r="AD20" i="1"/>
  <c r="AC97" i="1"/>
  <c r="AD97" i="1"/>
  <c r="AD99" i="2"/>
  <c r="AC99" i="2"/>
  <c r="AA138" i="2"/>
  <c r="AD69" i="2"/>
  <c r="AC69" i="2"/>
  <c r="AD18" i="2"/>
  <c r="AC156" i="2"/>
  <c r="AD156" i="2"/>
  <c r="AC51" i="2"/>
  <c r="AD51" i="2"/>
  <c r="AD84" i="2"/>
  <c r="AC84" i="2"/>
  <c r="AA27" i="2"/>
  <c r="AC142" i="2"/>
  <c r="AD142" i="2"/>
  <c r="AD56" i="1"/>
  <c r="AC56" i="1"/>
  <c r="AD43" i="1"/>
  <c r="AC43" i="1"/>
  <c r="AD173" i="1"/>
  <c r="AA65" i="1"/>
  <c r="AD141" i="1"/>
  <c r="AA36" i="1"/>
  <c r="AA92" i="1"/>
  <c r="AA76" i="1"/>
  <c r="AD24" i="1"/>
  <c r="AD143" i="2"/>
  <c r="AC143" i="2"/>
  <c r="AC126" i="2"/>
  <c r="AD126" i="2"/>
  <c r="AD184" i="1"/>
  <c r="AA127" i="2"/>
  <c r="AD119" i="1"/>
  <c r="AC136" i="2"/>
  <c r="AD136" i="2"/>
  <c r="AA96" i="1"/>
  <c r="AA198" i="1"/>
  <c r="AA66" i="1"/>
  <c r="AD78" i="2"/>
  <c r="AC78" i="2"/>
  <c r="AD119" i="2"/>
  <c r="AA21" i="2"/>
  <c r="AC122" i="1"/>
  <c r="AD122" i="1"/>
  <c r="AC22" i="2"/>
  <c r="AD22" i="2"/>
  <c r="AD162" i="2"/>
  <c r="AC162" i="2"/>
  <c r="AC71" i="2"/>
  <c r="AD71" i="2"/>
  <c r="AA102" i="2"/>
  <c r="AA199" i="1"/>
  <c r="AD73" i="2"/>
  <c r="AD47" i="1"/>
  <c r="AC47" i="1"/>
  <c r="AD144" i="1"/>
  <c r="AD57" i="2"/>
  <c r="AA41" i="1"/>
  <c r="AA91" i="1"/>
  <c r="AD16" i="1"/>
  <c r="AC16" i="1"/>
  <c r="AD29" i="2"/>
  <c r="AD27" i="1"/>
  <c r="AC97" i="2"/>
  <c r="AD97" i="2"/>
  <c r="AD202" i="1"/>
  <c r="AC202" i="1"/>
  <c r="AC90" i="1"/>
  <c r="AD90" i="1"/>
  <c r="AC172" i="1"/>
  <c r="AD172" i="1"/>
  <c r="AA135" i="1"/>
  <c r="AC124" i="2"/>
  <c r="AD124" i="2"/>
  <c r="AC37" i="2"/>
  <c r="AD37" i="2"/>
  <c r="AA111" i="2"/>
  <c r="AD158" i="1"/>
  <c r="AC44" i="1"/>
  <c r="AD44" i="1"/>
  <c r="AA28" i="2"/>
  <c r="AD16" i="2"/>
  <c r="AA35" i="1"/>
  <c r="AC70" i="1"/>
  <c r="AD70" i="1"/>
  <c r="AA183" i="1"/>
  <c r="AC15" i="2"/>
  <c r="AD15" i="2"/>
  <c r="AA82" i="2"/>
  <c r="AA182" i="1"/>
  <c r="AD139" i="2"/>
  <c r="AC69" i="1"/>
  <c r="AD69" i="1"/>
  <c r="AA89" i="2"/>
  <c r="AD59" i="1"/>
  <c r="AD68" i="1"/>
  <c r="AC68" i="1"/>
  <c r="AD157" i="2"/>
  <c r="AC155" i="1"/>
  <c r="AD155" i="1"/>
  <c r="AD129" i="1"/>
  <c r="AC129" i="1"/>
  <c r="AD160" i="2"/>
  <c r="AD94" i="2"/>
  <c r="AC94" i="2"/>
  <c r="AD40" i="1"/>
  <c r="AC92" i="2"/>
  <c r="AD92" i="2"/>
  <c r="AA66" i="2"/>
  <c r="AD77" i="1"/>
  <c r="AD14" i="1"/>
  <c r="AA50" i="2"/>
  <c r="AD141" i="2"/>
  <c r="AC70" i="2"/>
  <c r="AD70" i="2"/>
  <c r="AA19" i="2"/>
  <c r="AA95" i="2"/>
  <c r="AD74" i="1"/>
  <c r="AD196" i="1"/>
  <c r="AD53" i="2"/>
  <c r="AA60" i="1"/>
  <c r="AC170" i="1"/>
  <c r="AD170" i="1"/>
  <c r="AD162" i="1"/>
  <c r="AC162" i="1"/>
  <c r="AA67" i="1"/>
  <c r="AC157" i="1"/>
  <c r="AD157" i="1"/>
  <c r="AD180" i="1"/>
  <c r="AC26" i="2"/>
  <c r="AD26" i="2"/>
  <c r="AA100" i="1"/>
  <c r="AA34" i="1"/>
  <c r="AA89" i="1"/>
  <c r="AD33" i="1"/>
  <c r="AC33" i="1"/>
  <c r="AD53" i="1"/>
  <c r="AD121" i="1"/>
  <c r="AC121" i="1"/>
  <c r="AC117" i="2"/>
  <c r="AD117" i="2"/>
  <c r="AC140" i="2"/>
  <c r="AD140" i="2"/>
  <c r="AC45" i="2"/>
  <c r="AD45" i="2"/>
  <c r="AD86" i="2"/>
  <c r="AD104" i="2"/>
  <c r="AC104" i="2"/>
  <c r="AD49" i="2"/>
  <c r="AD46" i="2"/>
  <c r="AC46" i="2"/>
  <c r="AD118" i="2"/>
  <c r="AC61" i="2"/>
  <c r="AD61" i="2"/>
  <c r="AA130" i="2"/>
  <c r="AD194" i="1"/>
  <c r="AD72" i="1"/>
  <c r="AD143" i="1"/>
  <c r="AD139" i="1"/>
  <c r="AD31" i="1"/>
  <c r="AD167" i="1"/>
  <c r="AC140" i="1"/>
  <c r="AD140" i="1"/>
  <c r="AD159" i="2"/>
  <c r="AC159" i="2"/>
  <c r="AC168" i="1"/>
  <c r="AD168" i="1"/>
  <c r="AA48" i="1"/>
  <c r="AA200" i="1"/>
  <c r="AD28" i="1"/>
  <c r="AD185" i="1"/>
  <c r="AC185" i="1"/>
  <c r="AA144" i="2"/>
  <c r="AD56" i="2"/>
  <c r="AD47" i="2"/>
  <c r="AC47" i="2"/>
  <c r="AD38" i="2"/>
  <c r="AA159" i="1"/>
  <c r="AA60" i="2"/>
  <c r="AC33" i="2"/>
  <c r="AD33" i="2"/>
  <c r="AD52" i="2"/>
  <c r="AC52" i="2"/>
  <c r="AA137" i="1"/>
  <c r="AA164" i="1"/>
  <c r="AD128" i="2" l="1"/>
  <c r="AD20" i="2"/>
  <c r="AD118" i="1"/>
  <c r="AD96" i="2"/>
  <c r="AD62" i="2"/>
  <c r="AC131" i="2"/>
  <c r="AD43" i="2"/>
  <c r="AD32" i="2"/>
  <c r="AD115" i="2"/>
  <c r="AC111" i="1"/>
  <c r="AC68" i="2"/>
  <c r="AC107" i="1"/>
  <c r="AD71" i="1"/>
  <c r="AC150" i="2"/>
  <c r="AD188" i="1"/>
  <c r="AD147" i="2"/>
  <c r="AC40" i="2"/>
  <c r="AD40" i="2"/>
  <c r="AD38" i="1"/>
  <c r="AD158" i="2"/>
  <c r="AC163" i="1"/>
  <c r="AD35" i="2"/>
  <c r="AD93" i="1"/>
  <c r="AC39" i="1"/>
  <c r="AD160" i="1"/>
  <c r="AC160" i="1"/>
  <c r="AD190" i="1"/>
  <c r="AC49" i="1"/>
  <c r="AD203" i="1"/>
  <c r="AD110" i="1"/>
  <c r="AD80" i="1"/>
  <c r="AD50" i="1"/>
  <c r="AC50" i="1"/>
  <c r="AD114" i="2"/>
  <c r="AC21" i="1"/>
  <c r="AC13" i="2"/>
  <c r="AD112" i="1"/>
  <c r="AC181" i="1"/>
  <c r="AD181" i="1"/>
  <c r="AC73" i="1"/>
  <c r="AD73" i="1"/>
  <c r="AD67" i="2"/>
  <c r="AC95" i="1"/>
  <c r="AD95" i="1"/>
  <c r="AC84" i="1"/>
  <c r="AD84" i="1"/>
  <c r="AD37" i="1"/>
  <c r="AC149" i="2"/>
  <c r="AD149" i="2"/>
  <c r="AC178" i="1"/>
  <c r="AD178" i="1"/>
  <c r="AD14" i="2"/>
  <c r="AC21" i="2"/>
  <c r="AD21" i="2"/>
  <c r="AD200" i="1"/>
  <c r="AC200" i="1"/>
  <c r="AD35" i="1"/>
  <c r="AC35" i="1"/>
  <c r="AC19" i="2"/>
  <c r="AD19" i="2"/>
  <c r="AC27" i="2"/>
  <c r="AD27" i="2"/>
  <c r="AD66" i="1"/>
  <c r="AC66" i="1"/>
  <c r="AD34" i="1"/>
  <c r="AC34" i="1"/>
  <c r="AD28" i="2"/>
  <c r="AC28" i="2"/>
  <c r="AD136" i="1"/>
  <c r="AC136" i="1"/>
  <c r="AD95" i="2"/>
  <c r="AC95" i="2"/>
  <c r="AC182" i="1"/>
  <c r="AD182" i="1"/>
  <c r="AD110" i="2"/>
  <c r="AC110" i="2"/>
  <c r="AC89" i="1"/>
  <c r="AD89" i="1"/>
  <c r="AC41" i="2"/>
  <c r="AD41" i="2"/>
  <c r="AC60" i="2"/>
  <c r="AD60" i="2"/>
  <c r="AC198" i="1"/>
  <c r="AD198" i="1"/>
  <c r="AD67" i="1"/>
  <c r="AC67" i="1"/>
  <c r="AD127" i="2"/>
  <c r="AC127" i="2"/>
  <c r="AD137" i="1"/>
  <c r="AC137" i="1"/>
  <c r="AD199" i="1"/>
  <c r="AC199" i="1"/>
  <c r="AD48" i="1"/>
  <c r="AC48" i="1"/>
  <c r="AC102" i="2"/>
  <c r="AD102" i="2"/>
  <c r="AC159" i="1"/>
  <c r="AD159" i="1"/>
  <c r="AC36" i="1"/>
  <c r="AD36" i="1"/>
  <c r="AD111" i="2"/>
  <c r="AC111" i="2"/>
  <c r="AC66" i="2"/>
  <c r="AD66" i="2"/>
  <c r="AD82" i="2"/>
  <c r="AC82" i="2"/>
  <c r="AD91" i="1"/>
  <c r="AC91" i="1"/>
  <c r="AD65" i="1"/>
  <c r="AC65" i="1"/>
  <c r="AC83" i="2"/>
  <c r="AD83" i="2"/>
  <c r="AC130" i="2"/>
  <c r="AD130" i="2"/>
  <c r="AD92" i="1"/>
  <c r="AC92" i="1"/>
  <c r="AD60" i="1"/>
  <c r="AC60" i="1"/>
  <c r="AD135" i="1"/>
  <c r="AC135" i="1"/>
  <c r="AD41" i="1"/>
  <c r="AC41" i="1"/>
  <c r="AD64" i="1"/>
  <c r="AC64" i="1"/>
  <c r="AC171" i="1"/>
  <c r="AD171" i="1"/>
  <c r="AD100" i="1"/>
  <c r="AC100" i="1"/>
  <c r="AC89" i="2"/>
  <c r="AD89" i="2"/>
  <c r="AD76" i="1"/>
  <c r="AC76" i="1"/>
  <c r="AC96" i="1"/>
  <c r="AD96" i="1"/>
  <c r="AC50" i="2"/>
  <c r="AD50" i="2"/>
  <c r="AC164" i="1"/>
  <c r="AD164" i="1"/>
  <c r="AC144" i="2"/>
  <c r="AD144" i="2"/>
  <c r="AC183" i="1"/>
  <c r="AD183" i="1"/>
  <c r="AC138" i="2"/>
  <c r="AD1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9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ID#AAABvZ3hKmo
Diduayan Gomez Vasco    (2026-02-13 18:29:36)
No llego a un evento</t>
        </r>
      </text>
    </comment>
    <comment ref="B199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ID#AAABvej308Y
Diduayan Gomez Vasco    (2026-02-20 20:29:34)
Se dará espera hasta el 28-02-2026</t>
        </r>
      </text>
    </comment>
    <comment ref="B200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ID#AAABvZ3hKmk
Diduayan Gomez Vasco    (2026-02-13 18:28:40)
No llego a un evento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018iE17G4RRUDYwLsvu71lRkwKw=="/>
    </ext>
  </extLst>
</comments>
</file>

<file path=xl/sharedStrings.xml><?xml version="1.0" encoding="utf-8"?>
<sst xmlns="http://schemas.openxmlformats.org/spreadsheetml/2006/main" count="1615" uniqueCount="662">
  <si>
    <t xml:space="preserve">CORPORACION SOCORRISTAS GRUPO DE APOYO </t>
  </si>
  <si>
    <t>FECHA DE REALIZACION : FR</t>
  </si>
  <si>
    <t>Atencion Victimas de Violencia Sexual: AVVS</t>
  </si>
  <si>
    <t>VERIFICACION DEL TALENTO HUMANO</t>
  </si>
  <si>
    <t>Atencion a Victimas de Ataques con Agentes Quimicos: AVAQ</t>
  </si>
  <si>
    <t>Reanimacion Cerebro Cardio Pulmonar : BLS</t>
  </si>
  <si>
    <t>Nº</t>
  </si>
  <si>
    <t>NOMBRES</t>
  </si>
  <si>
    <t>APELLIDOS</t>
  </si>
  <si>
    <t>CONTACTO</t>
  </si>
  <si>
    <t xml:space="preserve">NÚMERO DE IDENTIFICACIÓN                       </t>
  </si>
  <si>
    <t>REGISTRO</t>
  </si>
  <si>
    <t>HOJA DE VIDA</t>
  </si>
  <si>
    <t>RETHUS</t>
  </si>
  <si>
    <t>ACTA O DIPLOMA</t>
  </si>
  <si>
    <t>RESOLUCION / TARJETA PROFESIONAL</t>
  </si>
  <si>
    <t>BLS</t>
  </si>
  <si>
    <t>AVVS</t>
  </si>
  <si>
    <t>AVAQ</t>
  </si>
  <si>
    <t>CUMPLIMIENTO DOCUMENTO</t>
  </si>
  <si>
    <t>DOCUMENTO CERTIFICADO</t>
  </si>
  <si>
    <t>TOTAL CUMPLIMIENTO</t>
  </si>
  <si>
    <t>FR</t>
  </si>
  <si>
    <t>FV</t>
  </si>
  <si>
    <t>Dias</t>
  </si>
  <si>
    <t>Vigente</t>
  </si>
  <si>
    <t>CT</t>
  </si>
  <si>
    <t>VT</t>
  </si>
  <si>
    <t>C</t>
  </si>
  <si>
    <t>V</t>
  </si>
  <si>
    <t>OK</t>
  </si>
  <si>
    <t>YA NO ESTAN ACTIVOS</t>
  </si>
  <si>
    <t>DIPLOBLS</t>
  </si>
  <si>
    <t>NÚMERO DE IDENTIFICACIÓN</t>
  </si>
  <si>
    <t>ANDRES FELIPE</t>
  </si>
  <si>
    <t>OSORIO BUSTAMANTE</t>
  </si>
  <si>
    <t>JOSE MIGUEL</t>
  </si>
  <si>
    <t>FERNANDEZ LANDAETA</t>
  </si>
  <si>
    <t>SAMUEL DAVID</t>
  </si>
  <si>
    <t>CASTILLO CASTELLANOS</t>
  </si>
  <si>
    <t>LUIS EDUARDO</t>
  </si>
  <si>
    <t>RUEDA MURILLO</t>
  </si>
  <si>
    <t>IVAN DARIO</t>
  </si>
  <si>
    <t>VIEIRA PALACIO</t>
  </si>
  <si>
    <t>-</t>
  </si>
  <si>
    <t>NEDIS MARIA</t>
  </si>
  <si>
    <t>SANCHEZ PEREZ</t>
  </si>
  <si>
    <t>LUCIEL</t>
  </si>
  <si>
    <t>ZAPATA ARBOLEDA</t>
  </si>
  <si>
    <t>NATALIA CAROLINA</t>
  </si>
  <si>
    <t>MEJÍA</t>
  </si>
  <si>
    <t>MARIBEL</t>
  </si>
  <si>
    <t>MARTINEZ MADRIGAL</t>
  </si>
  <si>
    <t>ZAYDA JOHANA</t>
  </si>
  <si>
    <t>RODRIGUEZ DE LUQUE</t>
  </si>
  <si>
    <t>SORANY MARIA</t>
  </si>
  <si>
    <t>CARDENAS GOMEZ</t>
  </si>
  <si>
    <t>MARISOL</t>
  </si>
  <si>
    <t>JIMENEZ ARIAS</t>
  </si>
  <si>
    <t>GLORIA MILENA</t>
  </si>
  <si>
    <t>VALENCIA MARIN</t>
  </si>
  <si>
    <t>DIANA MILENA</t>
  </si>
  <si>
    <t>ZEA VELASQUEZ</t>
  </si>
  <si>
    <t>ISABEL CRISTINA</t>
  </si>
  <si>
    <t>POSSO BALDOVINO</t>
  </si>
  <si>
    <t>LINA MARCELA</t>
  </si>
  <si>
    <t>RESTREPO MONTAÑO</t>
  </si>
  <si>
    <t>MARIA SALOME</t>
  </si>
  <si>
    <t>VALENCIA LUNA</t>
  </si>
  <si>
    <t>PENDIENTE</t>
  </si>
  <si>
    <t>PALAY</t>
  </si>
  <si>
    <t>PELAEZ RAMIREZ</t>
  </si>
  <si>
    <t>ANGELA MARIA</t>
  </si>
  <si>
    <t>OLARTE SEPULVEDA</t>
  </si>
  <si>
    <t>NANCY CRISTINA</t>
  </si>
  <si>
    <t>MONSALVE</t>
  </si>
  <si>
    <t>SANDRA EUGENIA</t>
  </si>
  <si>
    <t>VIEIRA MONTOYA</t>
  </si>
  <si>
    <t>SANDRA MILENA</t>
  </si>
  <si>
    <t>FERNANDEZ CORTES</t>
  </si>
  <si>
    <t>MARGARITA MARIA</t>
  </si>
  <si>
    <t>PALACIO BERRIO</t>
  </si>
  <si>
    <t>CAROLINA</t>
  </si>
  <si>
    <t>SAAVEDRA PEREA</t>
  </si>
  <si>
    <t>LILIANA LINETH</t>
  </si>
  <si>
    <t>RODRIGUEZ MARTINEZ</t>
  </si>
  <si>
    <t>ANDREA</t>
  </si>
  <si>
    <t>FONSECA FLOREZ</t>
  </si>
  <si>
    <t>PAOLA</t>
  </si>
  <si>
    <t>ACEVEDO PABON</t>
  </si>
  <si>
    <t>MAYELBE</t>
  </si>
  <si>
    <t>GOMEZ PIAMONTE</t>
  </si>
  <si>
    <t>JUAN CARLOS</t>
  </si>
  <si>
    <t>CARO GIL</t>
  </si>
  <si>
    <t>JHON ALEXANDER</t>
  </si>
  <si>
    <t>TUBERQUIA HENAO</t>
  </si>
  <si>
    <t>JORGE ABAD</t>
  </si>
  <si>
    <t>MARIN MARIN</t>
  </si>
  <si>
    <t xml:space="preserve">SAMUEL </t>
  </si>
  <si>
    <t>DIAZ CAMARGO</t>
  </si>
  <si>
    <t>OSCAR EMILIO</t>
  </si>
  <si>
    <t>CASTAÑO GOMEZ</t>
  </si>
  <si>
    <t>COND</t>
  </si>
  <si>
    <t>JOSE NOLBERTO</t>
  </si>
  <si>
    <t>GRAJALES CORREA</t>
  </si>
  <si>
    <t>FREDY HERNANDO</t>
  </si>
  <si>
    <t>ORTEGON BERMUDEZ</t>
  </si>
  <si>
    <t>OLMER ANTONIO</t>
  </si>
  <si>
    <t>TANGARIFE HIGUITA</t>
  </si>
  <si>
    <t>DUBARIEL DE JESUS</t>
  </si>
  <si>
    <t>SANCHEZ PARRA</t>
  </si>
  <si>
    <t>JOSE ANIBAL</t>
  </si>
  <si>
    <t>VILLADA MORALES</t>
  </si>
  <si>
    <t>JOHN EDISON</t>
  </si>
  <si>
    <t>ESPINAL CORREA</t>
  </si>
  <si>
    <t>JEYKSON</t>
  </si>
  <si>
    <t>BETANCUR MARIN</t>
  </si>
  <si>
    <t>GAVIRIA BUSTAMANTE</t>
  </si>
  <si>
    <t>VALERIA</t>
  </si>
  <si>
    <t>MEJIA BARRIWENTOS</t>
  </si>
  <si>
    <t>LICETH CAROLINA</t>
  </si>
  <si>
    <t>MATIZ VALENCIA</t>
  </si>
  <si>
    <t>ELKIN DARIO</t>
  </si>
  <si>
    <t>CORREA HENAO</t>
  </si>
  <si>
    <t>MANUELA</t>
  </si>
  <si>
    <t>QUINTERO GONZALEZ</t>
  </si>
  <si>
    <t xml:space="preserve">ANGELIN </t>
  </si>
  <si>
    <t>GAVIRIA VANEGAS</t>
  </si>
  <si>
    <t>JUAN JOSE</t>
  </si>
  <si>
    <t>DUARTE PEREZ</t>
  </si>
  <si>
    <t>LAURA ANDREA</t>
  </si>
  <si>
    <t>LLANO CANO</t>
  </si>
  <si>
    <t>MARIANA</t>
  </si>
  <si>
    <t>PATIÑO BEDOYA</t>
  </si>
  <si>
    <t>CRISTIAN FELIPE</t>
  </si>
  <si>
    <t>ALVAREZ MALDONADO</t>
  </si>
  <si>
    <t>JUAN DANIEL</t>
  </si>
  <si>
    <t>ARENAS MAZO</t>
  </si>
  <si>
    <t>SARA</t>
  </si>
  <si>
    <t>HERNADEZ GRISALES</t>
  </si>
  <si>
    <t>LISSETH ANDREA</t>
  </si>
  <si>
    <t>HOLGUIN BARRIENTOS</t>
  </si>
  <si>
    <t>NHYKOLL</t>
  </si>
  <si>
    <t>ATEHORTUA CATAÑO</t>
  </si>
  <si>
    <t>MARIA ISABEL</t>
  </si>
  <si>
    <t>PEREZ PATIÑO</t>
  </si>
  <si>
    <t>MARIA CAMILA</t>
  </si>
  <si>
    <t>MOLINA MUÑETON</t>
  </si>
  <si>
    <t>OCAMPO GONZALEZ</t>
  </si>
  <si>
    <t>SARA PAOLA</t>
  </si>
  <si>
    <t>GIRALDO VALENCIA</t>
  </si>
  <si>
    <t>JUAN PABLO</t>
  </si>
  <si>
    <t>MARTINEZ CARDONA</t>
  </si>
  <si>
    <t>ELIZABETH</t>
  </si>
  <si>
    <t>GALEANO GUERRERO</t>
  </si>
  <si>
    <t>KATTY JULIETH</t>
  </si>
  <si>
    <t>SEPULVEDA HERNANDEZ</t>
  </si>
  <si>
    <t>KAREN TATIANA</t>
  </si>
  <si>
    <t>ARBOLEDA AGUDELO</t>
  </si>
  <si>
    <t>KEVIN ALBERTO</t>
  </si>
  <si>
    <t>GUIRALES ARENAS</t>
  </si>
  <si>
    <t>LIBARDO ALEXIS</t>
  </si>
  <si>
    <t>LIDUEÑAS MANCO</t>
  </si>
  <si>
    <t>ANA MARIA</t>
  </si>
  <si>
    <t>PEREZ NOREÑA</t>
  </si>
  <si>
    <t>YESICA TATIANA</t>
  </si>
  <si>
    <t>DIOSA FLOREZ</t>
  </si>
  <si>
    <t xml:space="preserve">SARA  </t>
  </si>
  <si>
    <t>CASTRO CARDONA</t>
  </si>
  <si>
    <t>KATERINE</t>
  </si>
  <si>
    <t>MUÑOZ CORREA</t>
  </si>
  <si>
    <t>CASTAÑO FLOREZ</t>
  </si>
  <si>
    <t>LAURA</t>
  </si>
  <si>
    <t xml:space="preserve">RIVERA GOMEZ  </t>
  </si>
  <si>
    <t>AREIZA BUSTAMANTE</t>
  </si>
  <si>
    <t>MARIA FERNANDA</t>
  </si>
  <si>
    <t>MONTAÑEZ GIRALDO</t>
  </si>
  <si>
    <t>VANESSA</t>
  </si>
  <si>
    <t>RAMIREZ SEPULVEDA</t>
  </si>
  <si>
    <t>OCAMPO QUIROZ</t>
  </si>
  <si>
    <t>LAURA MARIA</t>
  </si>
  <si>
    <t>PANTOJA MEJIA</t>
  </si>
  <si>
    <t>CAMILA</t>
  </si>
  <si>
    <t>SERNA VALLEJO</t>
  </si>
  <si>
    <t xml:space="preserve">MARIA JOSE </t>
  </si>
  <si>
    <t>MUÑOZ GALLO</t>
  </si>
  <si>
    <t>GOMEZ ARANGO</t>
  </si>
  <si>
    <t>MARIA LIZETH</t>
  </si>
  <si>
    <t>AGUIRRE GOMEZ</t>
  </si>
  <si>
    <t>FRANCK NIKOLAS</t>
  </si>
  <si>
    <t>RODRIGUEZ OLIVEROS</t>
  </si>
  <si>
    <t>ARENAS CAÑAS</t>
  </si>
  <si>
    <t>JUAN FELIPE</t>
  </si>
  <si>
    <t>SEPULVEDA MEJIA</t>
  </si>
  <si>
    <t>LAURA CAMILA</t>
  </si>
  <si>
    <t>CABRERA LEZCANO</t>
  </si>
  <si>
    <t>KELLY JULIANA</t>
  </si>
  <si>
    <t>BETANCUR PATIÑO</t>
  </si>
  <si>
    <t>VALENTINA</t>
  </si>
  <si>
    <t>VILLALOBOS PEÑA</t>
  </si>
  <si>
    <t>BENITEZ BOTERO</t>
  </si>
  <si>
    <t>MIGUEL ANGEL</t>
  </si>
  <si>
    <t>CAMPILLO ATEHORTUA</t>
  </si>
  <si>
    <t>YERLYN</t>
  </si>
  <si>
    <t>VELEZ DUQUE</t>
  </si>
  <si>
    <t>ISMAEL</t>
  </si>
  <si>
    <t>MONTOYA DURANGO</t>
  </si>
  <si>
    <t>ORTEGA PARRA</t>
  </si>
  <si>
    <t>JUAN JOSÉ</t>
  </si>
  <si>
    <t>NARANJO CALDERÓN</t>
  </si>
  <si>
    <t>MELISSA</t>
  </si>
  <si>
    <t>HIDALGO AVENDAÑO</t>
  </si>
  <si>
    <t>DIAZ AGUIRRE</t>
  </si>
  <si>
    <t>CARUPIA NARANJO</t>
  </si>
  <si>
    <t>DIANA SOFIA</t>
  </si>
  <si>
    <t>URIBE CHAVARRIA</t>
  </si>
  <si>
    <t>OMAR ALEXANDER</t>
  </si>
  <si>
    <t>GOMEZ DORADO</t>
  </si>
  <si>
    <t>MATEO</t>
  </si>
  <si>
    <t>HEREDIA VASQUEZ</t>
  </si>
  <si>
    <t>XIMENA ESTEFANIA</t>
  </si>
  <si>
    <t>MISAS MONTOYA</t>
  </si>
  <si>
    <t>LAURA TATIANA</t>
  </si>
  <si>
    <t>TABARES RAMIREZ</t>
  </si>
  <si>
    <t>CARVALAL GUTIERREZ</t>
  </si>
  <si>
    <t>JULIANA</t>
  </si>
  <si>
    <t>GOMEZ ZULUAGA</t>
  </si>
  <si>
    <t>VERONICA</t>
  </si>
  <si>
    <t>GUTIERREZ VASCO</t>
  </si>
  <si>
    <t>NICOLAS</t>
  </si>
  <si>
    <t>RESTREPO OSORIO</t>
  </si>
  <si>
    <t>BRANDON CAMILO</t>
  </si>
  <si>
    <t>MESA BENITEZ</t>
  </si>
  <si>
    <t>OCAMPO MEJÍA</t>
  </si>
  <si>
    <t>YULIANA</t>
  </si>
  <si>
    <t>MONTOYA PEREZ</t>
  </si>
  <si>
    <t>LUISA MARIA</t>
  </si>
  <si>
    <t>ACEVEDO MONTOYA</t>
  </si>
  <si>
    <t>ELIANA</t>
  </si>
  <si>
    <t>ZAPATA TORRES</t>
  </si>
  <si>
    <t>JOHN JAIRO</t>
  </si>
  <si>
    <t>PEREZ MARIN</t>
  </si>
  <si>
    <t>VANESSA ALEXANDRA</t>
  </si>
  <si>
    <t>MISAS HOLGUIN</t>
  </si>
  <si>
    <t>DAVID</t>
  </si>
  <si>
    <t>DURANGO RUIZ</t>
  </si>
  <si>
    <t>ESTEFANIA</t>
  </si>
  <si>
    <t>AMAYA GIRON</t>
  </si>
  <si>
    <t>WILLIAM ALEJANDRO</t>
  </si>
  <si>
    <t>TORRES HENAO</t>
  </si>
  <si>
    <t>TATIANA</t>
  </si>
  <si>
    <t>JIMENEZ MUNERA</t>
  </si>
  <si>
    <t>JOHN ALEJANDRO</t>
  </si>
  <si>
    <t>GOMEZ GIRALDO</t>
  </si>
  <si>
    <t>XIMENA</t>
  </si>
  <si>
    <t>LOPEZ CEBALLOS</t>
  </si>
  <si>
    <t>DUVAN ALFONSO</t>
  </si>
  <si>
    <t>ANGULO GONZALEZ</t>
  </si>
  <si>
    <t>LUIS DAVID</t>
  </si>
  <si>
    <t>PEREZ ROJAS</t>
  </si>
  <si>
    <t>NAILA BRITNEY</t>
  </si>
  <si>
    <t>MESA AGUDELO</t>
  </si>
  <si>
    <t>ENOS CALEB</t>
  </si>
  <si>
    <t>HOYOS DUMET</t>
  </si>
  <si>
    <t>BEYMAR ANDRES</t>
  </si>
  <si>
    <t>DELGADO HERNANDEZ</t>
  </si>
  <si>
    <t>MONTERROSA LUNA</t>
  </si>
  <si>
    <t>HERNANDO</t>
  </si>
  <si>
    <t>MONTOYA GARCIA</t>
  </si>
  <si>
    <t>YAZMIN</t>
  </si>
  <si>
    <t>RANGEL RODRIGUEZ</t>
  </si>
  <si>
    <t>ESTEFANY LUCIA</t>
  </si>
  <si>
    <t>TOUS PRETELT</t>
  </si>
  <si>
    <t>KAROL ALEXANDRA</t>
  </si>
  <si>
    <t>LIEVANO GARCIA</t>
  </si>
  <si>
    <t>ESTEFANY  DAYANA</t>
  </si>
  <si>
    <t>KAREN JULIETH</t>
  </si>
  <si>
    <t>ZABALA GUZMAN</t>
  </si>
  <si>
    <t>KELY JOHANA</t>
  </si>
  <si>
    <t>MARIN DUQUE</t>
  </si>
  <si>
    <t>NARLY PAOLA</t>
  </si>
  <si>
    <t>NARVAEZ CHALA</t>
  </si>
  <si>
    <t>DANIEL</t>
  </si>
  <si>
    <t>HINCAPIE LOPEZ</t>
  </si>
  <si>
    <t>GISEL</t>
  </si>
  <si>
    <t>ORTIZ CHILITO</t>
  </si>
  <si>
    <t>YARILSA ALEXANDRA</t>
  </si>
  <si>
    <t>CRUZ TOLOZA</t>
  </si>
  <si>
    <t>SAHRA NATHALY</t>
  </si>
  <si>
    <t>CASTAÑO LONDOÑO</t>
  </si>
  <si>
    <t>CARDONA OVALLE</t>
  </si>
  <si>
    <t>PALOMINO RIOS</t>
  </si>
  <si>
    <t>SOTO ALVAREZ</t>
  </si>
  <si>
    <t>DIEGO ALEJANDRO</t>
  </si>
  <si>
    <t>ESTRADA CASTAÑEDA</t>
  </si>
  <si>
    <t>MELISA</t>
  </si>
  <si>
    <t>PARRA VALENCIA</t>
  </si>
  <si>
    <t>ANA SOFIA</t>
  </si>
  <si>
    <t>BOTERO GOMEZ</t>
  </si>
  <si>
    <t xml:space="preserve">JULIANA </t>
  </si>
  <si>
    <t>ARCILA BUSTAMANTE</t>
  </si>
  <si>
    <t>CEBALLOS CARDENAS</t>
  </si>
  <si>
    <t>SUAREZ RESTREPO</t>
  </si>
  <si>
    <t>ERIKA YOHANA</t>
  </si>
  <si>
    <t>MARTINEZ ECHAVARRIA</t>
  </si>
  <si>
    <t>LUISA FERNANDA</t>
  </si>
  <si>
    <t>MARIN VASQUEZ</t>
  </si>
  <si>
    <t>MARIA LUISA</t>
  </si>
  <si>
    <t>AGUDELO MELENDEZ</t>
  </si>
  <si>
    <t>GILBERTO ANTONIO</t>
  </si>
  <si>
    <t>ARCHIBOL RIVERA</t>
  </si>
  <si>
    <t>FABIANA MERCED</t>
  </si>
  <si>
    <t>TREJO</t>
  </si>
  <si>
    <t xml:space="preserve">JUAN DANIEL </t>
  </si>
  <si>
    <t>VIDES CASTAÑO</t>
  </si>
  <si>
    <t>MELISSA ALEXANDRA</t>
  </si>
  <si>
    <t>VERGARA SEPULVEDA</t>
  </si>
  <si>
    <t>ELORZA RODRIGUEZ</t>
  </si>
  <si>
    <t>LUNA MISHEL</t>
  </si>
  <si>
    <t>GARCIA SALDARRIAGA</t>
  </si>
  <si>
    <t>CANO OBREGON</t>
  </si>
  <si>
    <t>SALOME</t>
  </si>
  <si>
    <t>NANCLARES ORTIZ</t>
  </si>
  <si>
    <t xml:space="preserve">LAURA </t>
  </si>
  <si>
    <t>DIAZ FRANCO</t>
  </si>
  <si>
    <t>VALENCIA GAVIRIA</t>
  </si>
  <si>
    <t>PAULA ANDREA</t>
  </si>
  <si>
    <t>BETANCUR GRACIANO</t>
  </si>
  <si>
    <t>BARRIENTOS ARAQUE</t>
  </si>
  <si>
    <t>HEIDY PAOLA</t>
  </si>
  <si>
    <t>FIGUEROA CORONELL</t>
  </si>
  <si>
    <t>DAVISON ANDRES</t>
  </si>
  <si>
    <t>RESTREPO GUISAO</t>
  </si>
  <si>
    <t>05-8043-22</t>
  </si>
  <si>
    <t>MORENO ROMERO</t>
  </si>
  <si>
    <t>SANTIAGO</t>
  </si>
  <si>
    <t>PULGARÍN GÓMEZ</t>
  </si>
  <si>
    <t>VANEGAS CASTRO</t>
  </si>
  <si>
    <t>TABARES CARMONA</t>
  </si>
  <si>
    <t>CRISTIAN MAURICIO</t>
  </si>
  <si>
    <t>PEREZ FERREIRA</t>
  </si>
  <si>
    <t>DAVID ESTEBAN</t>
  </si>
  <si>
    <t>GRACIANO DAVID</t>
  </si>
  <si>
    <t>LEIDY JOHANA</t>
  </si>
  <si>
    <t>MESA MESA</t>
  </si>
  <si>
    <t>JENNIFER VANNESA</t>
  </si>
  <si>
    <t>MARULANDA ALDANA</t>
  </si>
  <si>
    <t>LIACELI</t>
  </si>
  <si>
    <t>PIEDRAHITA PARRA</t>
  </si>
  <si>
    <t xml:space="preserve">CATALINA </t>
  </si>
  <si>
    <t>ORREGO PALACIO</t>
  </si>
  <si>
    <t xml:space="preserve">LUIS DANIEL </t>
  </si>
  <si>
    <t>SERNA SUESCUN</t>
  </si>
  <si>
    <t>LONDOÑO QUINTERO</t>
  </si>
  <si>
    <t>DAVID MAURICIO</t>
  </si>
  <si>
    <t>VARGAS ALZATE</t>
  </si>
  <si>
    <t>KAREN JULIANA</t>
  </si>
  <si>
    <t>PRESIGA LOPEZ</t>
  </si>
  <si>
    <t>LIZ MARISOL</t>
  </si>
  <si>
    <t>LOPEZ MENA</t>
  </si>
  <si>
    <t>VERONICA LISETH</t>
  </si>
  <si>
    <t>ARANGO MANCO</t>
  </si>
  <si>
    <t>ANDRES FERNANDO</t>
  </si>
  <si>
    <t>ACEVEDO MUÑOZ</t>
  </si>
  <si>
    <t>JOHAN SANTIAGO</t>
  </si>
  <si>
    <t>DELGADO MUÑOZ</t>
  </si>
  <si>
    <t>GERMAN ALONSO</t>
  </si>
  <si>
    <t>GUAMAN MORALES</t>
  </si>
  <si>
    <t>ALEJANDRA</t>
  </si>
  <si>
    <t>GALLEGO HERNANDEZ</t>
  </si>
  <si>
    <t xml:space="preserve">        RUA ARBOLEDA</t>
  </si>
  <si>
    <t>SARA VALENTINA</t>
  </si>
  <si>
    <t>RUA MENDEZ</t>
  </si>
  <si>
    <t>SANCHEZ SANCHEZ</t>
  </si>
  <si>
    <t>SARA ALEJANDRA</t>
  </si>
  <si>
    <t>BETANCUR ACEVEDO</t>
  </si>
  <si>
    <t>JUAN ESTEBAN</t>
  </si>
  <si>
    <t>RESTREPO GUZMAN</t>
  </si>
  <si>
    <t>GARCÍA LONDOÑO</t>
  </si>
  <si>
    <t>RUA BARRERA</t>
  </si>
  <si>
    <t>MELANY</t>
  </si>
  <si>
    <t>LOPERA CORREA</t>
  </si>
  <si>
    <t>WILSON ANDRES</t>
  </si>
  <si>
    <t>HIGUITA CARDONA</t>
  </si>
  <si>
    <t>LILIANA</t>
  </si>
  <si>
    <t>RESTREPO GUARIN</t>
  </si>
  <si>
    <t>CLARA INES</t>
  </si>
  <si>
    <t>CARDONA ALVAREZ</t>
  </si>
  <si>
    <t>GUIRALES TANGARIFE</t>
  </si>
  <si>
    <t>KATERIN YIRLEY</t>
  </si>
  <si>
    <t>TABORDA CAÑAS</t>
  </si>
  <si>
    <t>JIMENA YULIET</t>
  </si>
  <si>
    <t>CARTAGENA GARCIA</t>
  </si>
  <si>
    <t>NATALY ANDREA</t>
  </si>
  <si>
    <t>ECHEVERRY OSORIO</t>
  </si>
  <si>
    <t>DIDUAYAN</t>
  </si>
  <si>
    <t>GOMEZ VASCO</t>
  </si>
  <si>
    <t>SERGIO ANDRES</t>
  </si>
  <si>
    <t>RUIZ CUERVO</t>
  </si>
  <si>
    <t>CRISTIAN ALEXIS</t>
  </si>
  <si>
    <t>ROJAS LOAIZA</t>
  </si>
  <si>
    <t xml:space="preserve">	MESA CADAVID</t>
  </si>
  <si>
    <t>ANGIE PAOLA</t>
  </si>
  <si>
    <t>GASPAR GONZALEZ</t>
  </si>
  <si>
    <t>NATHALY</t>
  </si>
  <si>
    <t>VANEGAS LÓPEZ</t>
  </si>
  <si>
    <t>ALVAREZ SUAREZ</t>
  </si>
  <si>
    <t>MELINA</t>
  </si>
  <si>
    <t>CUARTAS BOTERO</t>
  </si>
  <si>
    <t>DANIELA</t>
  </si>
  <si>
    <t>URREGO ZAPATA</t>
  </si>
  <si>
    <t>JOSE DAVID</t>
  </si>
  <si>
    <t>PALACIOS GARCIA</t>
  </si>
  <si>
    <t>ISABELA</t>
  </si>
  <si>
    <t>PELAEZ BEDOYA</t>
  </si>
  <si>
    <t>ISABELLA</t>
  </si>
  <si>
    <t>VARGAS CASTAÑEDA</t>
  </si>
  <si>
    <t>HOYOS LONDOÑO</t>
  </si>
  <si>
    <t>MANUELA SAMARA</t>
  </si>
  <si>
    <t>GIRALDO AGUDELO</t>
  </si>
  <si>
    <t>HEIDY VALERIA</t>
  </si>
  <si>
    <t>GARCES VALENCIA</t>
  </si>
  <si>
    <t>KAREN YAZMIN</t>
  </si>
  <si>
    <t>AGUDELO BUILES</t>
  </si>
  <si>
    <t>NICOLE</t>
  </si>
  <si>
    <t>VILLA GONZALEZ</t>
  </si>
  <si>
    <t>ANDRES CAMILO</t>
  </si>
  <si>
    <t>ALVAREZ CADAVID</t>
  </si>
  <si>
    <t>MARIA VALENTINA</t>
  </si>
  <si>
    <t>GIRALDO LLANO</t>
  </si>
  <si>
    <t>JARAMILLO MONTOYA</t>
  </si>
  <si>
    <t>PUERTA BUITRAGO</t>
  </si>
  <si>
    <t>DARLIX XILENA</t>
  </si>
  <si>
    <t>JIMENEZ FLOREZ</t>
  </si>
  <si>
    <t xml:space="preserve">LEIDY JOHANA </t>
  </si>
  <si>
    <t>MORENO GUERRA</t>
  </si>
  <si>
    <t>JULIAN STEVEN</t>
  </si>
  <si>
    <t>ECHAVARRIA LOPERA</t>
  </si>
  <si>
    <t>CEBALLO VALDERRAMA</t>
  </si>
  <si>
    <t>JAIRO DE JESUS</t>
  </si>
  <si>
    <t>VARGAS RUEDA</t>
  </si>
  <si>
    <t>HELEN VANESSA</t>
  </si>
  <si>
    <t>VARGAS PEREZ</t>
  </si>
  <si>
    <t>LINA LUCIA</t>
  </si>
  <si>
    <t>BARRETO HERNANDEZ</t>
  </si>
  <si>
    <t>MACHADO CAÑAS</t>
  </si>
  <si>
    <t>FRANCO CARDONA</t>
  </si>
  <si>
    <t>BORJA LOPERA</t>
  </si>
  <si>
    <t>KEVIN FABIAN</t>
  </si>
  <si>
    <t>PIAMBA BORJA</t>
  </si>
  <si>
    <t>TORO ALVAREZ</t>
  </si>
  <si>
    <t>MARSHALL</t>
  </si>
  <si>
    <t>MOLINA RAMÍREZ</t>
  </si>
  <si>
    <t>JHON FREDY</t>
  </si>
  <si>
    <t>GUZMAN DAVID</t>
  </si>
  <si>
    <t>NORELA</t>
  </si>
  <si>
    <t>MONSALVE BRAN</t>
  </si>
  <si>
    <t>SHIRLEY</t>
  </si>
  <si>
    <t>VIANA VALBUENA</t>
  </si>
  <si>
    <t>ARISTIZABAL FRANCO</t>
  </si>
  <si>
    <t>ALZATE CASTAÑEDA</t>
  </si>
  <si>
    <t>ADRIANA</t>
  </si>
  <si>
    <t>GUERRA QUINTERO</t>
  </si>
  <si>
    <t>MARIA PAULINA</t>
  </si>
  <si>
    <t>GIRALDO JARAMILLO</t>
  </si>
  <si>
    <t>ALVAREZ SANTAMARIA</t>
  </si>
  <si>
    <t>JOHNNATHAN</t>
  </si>
  <si>
    <t>GIRALDO PULGARIN</t>
  </si>
  <si>
    <t>TORRES GOMEZ</t>
  </si>
  <si>
    <t>LOPEZ GONZALEZ</t>
  </si>
  <si>
    <t>LEYDY TATIANA</t>
  </si>
  <si>
    <t>SALDARRIAGA QUINTERO</t>
  </si>
  <si>
    <t>ALVAREZ BRAN</t>
  </si>
  <si>
    <t>JUAN DIEGO</t>
  </si>
  <si>
    <t>ESTRADA GUTIERREZ</t>
  </si>
  <si>
    <t>MARYORI ALEJANDRA</t>
  </si>
  <si>
    <t>FRANCO RIOS</t>
  </si>
  <si>
    <t>ZULETA CHAVARRIA</t>
  </si>
  <si>
    <t>NATALY</t>
  </si>
  <si>
    <t>MONTOYA GOMEZ</t>
  </si>
  <si>
    <t>JENNY PAOLA</t>
  </si>
  <si>
    <t>DURANGO JARAMILLO</t>
  </si>
  <si>
    <t>ALEJANDRA JULIETH</t>
  </si>
  <si>
    <t>ORREGO PEREZ</t>
  </si>
  <si>
    <t>SONIA ANDREA</t>
  </si>
  <si>
    <t>GARCIA GUARIN</t>
  </si>
  <si>
    <t>YURLEY ANDREA</t>
  </si>
  <si>
    <t>ORTIZ PEREZ</t>
  </si>
  <si>
    <t>MARIA ALEJANDRA</t>
  </si>
  <si>
    <t>VEGA POSADA</t>
  </si>
  <si>
    <t>CRISTIAN CAMILO</t>
  </si>
  <si>
    <t>GONZALEZ GONZALEZ</t>
  </si>
  <si>
    <t>DANNA VERONICA</t>
  </si>
  <si>
    <t>GIRALDO GONZALEZ</t>
  </si>
  <si>
    <t>GALLO TOBON</t>
  </si>
  <si>
    <t>OTALVARO PATIÑO</t>
  </si>
  <si>
    <t>SEBASTIAN</t>
  </si>
  <si>
    <t>SUAREZ GUZMAN</t>
  </si>
  <si>
    <t>ZAPATA RESTREPO</t>
  </si>
  <si>
    <t>YADERLY</t>
  </si>
  <si>
    <t>LONDOÑO AMAYA</t>
  </si>
  <si>
    <t>ERIKA LILIANA</t>
  </si>
  <si>
    <t>CASAS TORO</t>
  </si>
  <si>
    <t>DANNA</t>
  </si>
  <si>
    <t>SERNA LOPERA</t>
  </si>
  <si>
    <t>NATALIA ANDREA</t>
  </si>
  <si>
    <t>GAVIRIA ACOSTA</t>
  </si>
  <si>
    <t>IBARRA CORREA</t>
  </si>
  <si>
    <t>ORIANA MARIA</t>
  </si>
  <si>
    <t>DAVID MARULANDA</t>
  </si>
  <si>
    <t>EDWAR MAURICIO</t>
  </si>
  <si>
    <t>BORJA USUGA</t>
  </si>
  <si>
    <t>HERNÁNDEZ MEDINA</t>
  </si>
  <si>
    <t>TOLOZA MENA</t>
  </si>
  <si>
    <t>MANUEL ALEJANDRO</t>
  </si>
  <si>
    <t>SALAZAR LOPEZ</t>
  </si>
  <si>
    <t>JUAN ALEJANDRO</t>
  </si>
  <si>
    <t>STIVEN</t>
  </si>
  <si>
    <t>RAMOS CORTES</t>
  </si>
  <si>
    <t>MARIA CRISTINA</t>
  </si>
  <si>
    <t>MESA OCHOA</t>
  </si>
  <si>
    <t>RUIZ VILLA</t>
  </si>
  <si>
    <t xml:space="preserve">JUAN PABLO </t>
  </si>
  <si>
    <t>MUÑOZ GOMEZ</t>
  </si>
  <si>
    <t>YENIFER YULIETH</t>
  </si>
  <si>
    <t>ZAPATA ESCOBAR</t>
  </si>
  <si>
    <t>05-4409-14</t>
  </si>
  <si>
    <t>AURA CAMILA</t>
  </si>
  <si>
    <t>BASTIDAS NARVAEZ</t>
  </si>
  <si>
    <t>23-1186-13</t>
  </si>
  <si>
    <t>CANO CHAVARRIAGA</t>
  </si>
  <si>
    <t>LUIS FERNANDO</t>
  </si>
  <si>
    <t>MORALES FLOREZ</t>
  </si>
  <si>
    <t>VALERY JHOANA</t>
  </si>
  <si>
    <t>POSADA TORO</t>
  </si>
  <si>
    <t>WENDY ESTEFANY</t>
  </si>
  <si>
    <t>RUIZ CORREA</t>
  </si>
  <si>
    <t>LEISY YOHANA</t>
  </si>
  <si>
    <t>MURILLO ARTEAGA</t>
  </si>
  <si>
    <t>LEIDY CAROLINA</t>
  </si>
  <si>
    <t>MONSALVE JARAMILLO</t>
  </si>
  <si>
    <t>LEIDY MELISA</t>
  </si>
  <si>
    <t>RENDON MARIN</t>
  </si>
  <si>
    <t>DAYELI</t>
  </si>
  <si>
    <t>PATERNINA MARTINEZ</t>
  </si>
  <si>
    <t>JULIO CESAR</t>
  </si>
  <si>
    <t>MISAS USUGA</t>
  </si>
  <si>
    <t>LEIDY ALEXANDRA</t>
  </si>
  <si>
    <t>CASTRO MONTOYA</t>
  </si>
  <si>
    <t>LEIDY YULIETH</t>
  </si>
  <si>
    <t>SIERRA BEDOYA</t>
  </si>
  <si>
    <t>HEIDYS</t>
  </si>
  <si>
    <t>NARVAEZ FLOREZ</t>
  </si>
  <si>
    <t>ADRIANA MARCELA</t>
  </si>
  <si>
    <t>OSPINA OSPINA</t>
  </si>
  <si>
    <t>ANDRES MIGUEL</t>
  </si>
  <si>
    <t>ALMANZA PARRA</t>
  </si>
  <si>
    <t>JOHAN ANDRES</t>
  </si>
  <si>
    <t>PEÑA ORJUELA</t>
  </si>
  <si>
    <t>CONTRERAS DIAZ</t>
  </si>
  <si>
    <t>SAMMY LAURETH</t>
  </si>
  <si>
    <t>MOJOMBOY QUINTERO</t>
  </si>
  <si>
    <t>JESUS MANUEL</t>
  </si>
  <si>
    <t>CUADRADO FUENTES</t>
  </si>
  <si>
    <t>OSWALDO</t>
  </si>
  <si>
    <t>ARIZA ALVAREZ</t>
  </si>
  <si>
    <t>IVAN DANILO</t>
  </si>
  <si>
    <t>ALPALA ALPALA</t>
  </si>
  <si>
    <t>LUNA ISABELA</t>
  </si>
  <si>
    <t>PÁRAMO TÉLLEZ</t>
  </si>
  <si>
    <t>ARVEY</t>
  </si>
  <si>
    <t>AGUIRRE GUTIERREZ</t>
  </si>
  <si>
    <t>JESSY JULIETH</t>
  </si>
  <si>
    <t>VILLAREAL PONCE</t>
  </si>
  <si>
    <t>JOSE REINEL</t>
  </si>
  <si>
    <t>PEÑA PALOMARES</t>
  </si>
  <si>
    <t xml:space="preserve">MAICOL ENRRIQUE </t>
  </si>
  <si>
    <t>PALOMA TORRES</t>
  </si>
  <si>
    <t>LEON LOPEZ</t>
  </si>
  <si>
    <t>DAVID STIVEN</t>
  </si>
  <si>
    <t>APONTE TOLEDO</t>
  </si>
  <si>
    <t>KEVIN LEANDRO</t>
  </si>
  <si>
    <t>CAICEDO IJAJID</t>
  </si>
  <si>
    <t>CLAUDIA XIMENA</t>
  </si>
  <si>
    <t>CASTAÑO BARRADA</t>
  </si>
  <si>
    <t>ROBERT ESMITH</t>
  </si>
  <si>
    <t>OSORIO MOLINA</t>
  </si>
  <si>
    <t>YUNEIDY</t>
  </si>
  <si>
    <t>ANGULO ASCENCIO</t>
  </si>
  <si>
    <t>BETSY ALEJANDRA</t>
  </si>
  <si>
    <t>MONOGA CASTRO</t>
  </si>
  <si>
    <t>LEIDER MISAEL</t>
  </si>
  <si>
    <t>GUALDRON HERNANDEZ</t>
  </si>
  <si>
    <t>ARIEL ANTONIO</t>
  </si>
  <si>
    <t>ZORRO VACCA</t>
  </si>
  <si>
    <t>REYVEN</t>
  </si>
  <si>
    <t>AVILA BARRAGAN</t>
  </si>
  <si>
    <t>KAREN NATALIA</t>
  </si>
  <si>
    <t>RODRIGUEZ INFUS</t>
  </si>
  <si>
    <t>GUATAVO LORENZO</t>
  </si>
  <si>
    <t>CAMARGO SOLANO</t>
  </si>
  <si>
    <t>RAMIREZ RODRIGUEZ</t>
  </si>
  <si>
    <t>ILSSY ESTEFANIA</t>
  </si>
  <si>
    <t>GUERRA VALENCIA</t>
  </si>
  <si>
    <t>DAMARIS</t>
  </si>
  <si>
    <t>FLOREZ ALVAREZ</t>
  </si>
  <si>
    <t>MAYA PEREZ</t>
  </si>
  <si>
    <t>MARIO ANDRES</t>
  </si>
  <si>
    <t>GRISALES CORREA</t>
  </si>
  <si>
    <t>GOMEZ MARIN</t>
  </si>
  <si>
    <t>BLANDON PUERTA</t>
  </si>
  <si>
    <t>ACEVEDO ARROYAVE</t>
  </si>
  <si>
    <t>LINDA VANESSA</t>
  </si>
  <si>
    <t>PEREZ ESTRADA</t>
  </si>
  <si>
    <t>HAROLD</t>
  </si>
  <si>
    <t>ESCALANTE RAMIREZ</t>
  </si>
  <si>
    <t>ALISON DAHIAN</t>
  </si>
  <si>
    <t>CORRALES LEZCANO</t>
  </si>
  <si>
    <t>KEVIN HARBEY</t>
  </si>
  <si>
    <t>PINO CARDONA</t>
  </si>
  <si>
    <t>JEFERSON</t>
  </si>
  <si>
    <t>GUTIERREZ GUTIERREZ</t>
  </si>
  <si>
    <t>LUIS DAN SIRILO</t>
  </si>
  <si>
    <t>GONZALEZ SANDOVAL</t>
  </si>
  <si>
    <t>ALEJANDRO</t>
  </si>
  <si>
    <t>ALVAREZ AGUDELO</t>
  </si>
  <si>
    <t>PEREZ GALLEGO</t>
  </si>
  <si>
    <t>MONSALVE CASTILLO</t>
  </si>
  <si>
    <t>ANGIE LAURA</t>
  </si>
  <si>
    <t>AYALA ARANGO</t>
  </si>
  <si>
    <t>DARLIN YOMARA</t>
  </si>
  <si>
    <t>MARTINEZ GIRALDO</t>
  </si>
  <si>
    <t>YAIRETH LORENA</t>
  </si>
  <si>
    <t>RAMOS TOBIAS</t>
  </si>
  <si>
    <t>ISAAC</t>
  </si>
  <si>
    <t>RAMIREZ AVILA</t>
  </si>
  <si>
    <t>JHON ANDREY</t>
  </si>
  <si>
    <t>ACEVEDO SEPULVEDA</t>
  </si>
  <si>
    <t>YEFERSON</t>
  </si>
  <si>
    <t>SANTOS PEREZ</t>
  </si>
  <si>
    <t>SARA LICETH</t>
  </si>
  <si>
    <t>DIN GULFO</t>
  </si>
  <si>
    <t>JOHAN SEBASTIAN</t>
  </si>
  <si>
    <t>LOBO JARAMILLO</t>
  </si>
  <si>
    <t>ALVAREZ OBANDO</t>
  </si>
  <si>
    <t>ANGELICA</t>
  </si>
  <si>
    <t>LOPEZ TABORDA</t>
  </si>
  <si>
    <t xml:space="preserve">LORENA </t>
  </si>
  <si>
    <t>VARGAS VALENCIA</t>
  </si>
  <si>
    <t>DEISY</t>
  </si>
  <si>
    <t>CUADRADO HERNANEZ</t>
  </si>
  <si>
    <t>VERONICA ANDREA</t>
  </si>
  <si>
    <t>AGUDELO ROMERO</t>
  </si>
  <si>
    <t>ROBINSON</t>
  </si>
  <si>
    <t>SANCHEZ LONDOÑO</t>
  </si>
  <si>
    <t>JUAN SEBASTIAN</t>
  </si>
  <si>
    <t>MOSQUERA CORDOBA</t>
  </si>
  <si>
    <t>FRANCO CIRO</t>
  </si>
  <si>
    <t>LEIDY YOHANA</t>
  </si>
  <si>
    <t>JORGE</t>
  </si>
  <si>
    <t>GALINDO BARRAGAN</t>
  </si>
  <si>
    <t>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</si>
</sst>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/mm/yyyy"/>
    <numFmt numFmtId="166" formatCode="dd\-mm\-yyyy"/>
  </numFmts>
  <fonts count="21" x14ac:knownFonts="1">
    <font>
      <sz val="11"/>
      <color theme="1"/>
      <name val="Calibri"/>
      <scheme val="minor"/>
    </font>
    <font>
      <sz val="12"/>
      <color rgb="FF000000"/>
      <name val="Arial"/>
    </font>
    <font>
      <sz val="10"/>
      <color theme="1"/>
      <name val="Arial"/>
    </font>
    <font>
      <sz val="8"/>
      <color theme="1"/>
      <name val="Arial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0"/>
      <color theme="1"/>
      <name val="Arial"/>
    </font>
    <font>
      <sz val="11"/>
      <name val="Calibri"/>
    </font>
    <font>
      <b/>
      <sz val="8"/>
      <color theme="1"/>
      <name val="Arial"/>
    </font>
    <font>
      <sz val="10"/>
      <color theme="1"/>
      <name val="Calibri"/>
    </font>
    <font>
      <b/>
      <sz val="10"/>
      <color theme="1"/>
      <name val="Calibri"/>
    </font>
    <font>
      <sz val="10"/>
      <color theme="1"/>
      <name val="Calibri"/>
      <scheme val="minor"/>
    </font>
    <font>
      <sz val="9"/>
      <color theme="1"/>
      <name val="Arial"/>
    </font>
    <font>
      <b/>
      <sz val="9"/>
      <color theme="1"/>
      <name val="Arial"/>
    </font>
    <font>
      <b/>
      <i/>
      <sz val="9"/>
      <color theme="1"/>
      <name val="Arial"/>
    </font>
    <font>
      <sz val="8"/>
      <color theme="1"/>
      <name val="Calibri"/>
    </font>
    <font>
      <sz val="9"/>
      <color theme="1"/>
      <name val="Calibri"/>
    </font>
    <font>
      <b/>
      <sz val="9"/>
      <color theme="1"/>
      <name val="Calibri"/>
    </font>
    <font>
      <sz val="9"/>
      <color theme="1"/>
      <name val="Calibri"/>
      <scheme val="minor"/>
    </font>
    <font>
      <sz val="12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2D050"/>
        <bgColor rgb="FF92D05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8" fillId="0" borderId="18" xfId="0" applyFont="1" applyBorder="1"/>
    <xf numFmtId="0" fontId="9" fillId="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9" fontId="14" fillId="2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164" fontId="13" fillId="2" borderId="1" xfId="0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1" fontId="13" fillId="4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164" fontId="13" fillId="6" borderId="1" xfId="0" applyNumberFormat="1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164" fontId="13" fillId="9" borderId="1" xfId="0" applyNumberFormat="1" applyFont="1" applyFill="1" applyBorder="1" applyAlignment="1">
      <alignment horizontal="center" vertical="center" wrapText="1"/>
    </xf>
    <xf numFmtId="164" fontId="13" fillId="10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17" fillId="0" borderId="0" xfId="0" applyNumberFormat="1" applyFont="1" applyAlignment="1">
      <alignment horizontal="center" vertical="center"/>
    </xf>
    <xf numFmtId="9" fontId="18" fillId="2" borderId="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6" fontId="13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/>
    </xf>
    <xf numFmtId="9" fontId="5" fillId="2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/>
    </xf>
    <xf numFmtId="1" fontId="20" fillId="4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20" fillId="4" borderId="19" xfId="0" applyFont="1" applyFill="1" applyBorder="1" applyAlignment="1">
      <alignment horizontal="center" vertical="center"/>
    </xf>
    <xf numFmtId="1" fontId="20" fillId="4" borderId="19" xfId="0" applyNumberFormat="1" applyFont="1" applyFill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1" fontId="20" fillId="4" borderId="20" xfId="0" applyNumberFormat="1" applyFont="1" applyFill="1" applyBorder="1" applyAlignment="1">
      <alignment horizontal="center" vertical="center"/>
    </xf>
    <xf numFmtId="1" fontId="20" fillId="4" borderId="21" xfId="0" applyNumberFormat="1" applyFont="1" applyFill="1" applyBorder="1" applyAlignment="1">
      <alignment horizontal="center" vertical="center"/>
    </xf>
    <xf numFmtId="1" fontId="20" fillId="0" borderId="21" xfId="0" applyNumberFormat="1" applyFont="1" applyBorder="1" applyAlignment="1">
      <alignment horizontal="center" vertical="center"/>
    </xf>
    <xf numFmtId="1" fontId="20" fillId="4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8" fillId="0" borderId="14" xfId="0" applyFont="1" applyBorder="1"/>
    <xf numFmtId="0" fontId="8" fillId="0" borderId="18" xfId="0" applyFont="1" applyBorder="1"/>
    <xf numFmtId="0" fontId="7" fillId="0" borderId="5" xfId="0" applyFont="1" applyBorder="1" applyAlignment="1">
      <alignment horizontal="center" vertical="center" wrapText="1"/>
    </xf>
    <xf numFmtId="0" fontId="8" fillId="0" borderId="6" xfId="0" applyFont="1" applyBorder="1"/>
    <xf numFmtId="0" fontId="8" fillId="0" borderId="7" xfId="0" applyFont="1" applyBorder="1"/>
    <xf numFmtId="0" fontId="7" fillId="3" borderId="11" xfId="0" applyFont="1" applyFill="1" applyBorder="1" applyAlignment="1">
      <alignment horizontal="center" vertical="center" wrapText="1"/>
    </xf>
    <xf numFmtId="0" fontId="8" fillId="0" borderId="12" xfId="0" applyFont="1" applyBorder="1"/>
    <xf numFmtId="0" fontId="8" fillId="0" borderId="13" xfId="0" applyFont="1" applyBorder="1"/>
    <xf numFmtId="0" fontId="10" fillId="0" borderId="10" xfId="0" applyFont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/>
    <xf numFmtId="0" fontId="8" fillId="0" borderId="8" xfId="0" applyFont="1" applyBorder="1"/>
    <xf numFmtId="0" fontId="8" fillId="0" borderId="9" xfId="0" applyFont="1" applyBorder="1"/>
    <xf numFmtId="0" fontId="7" fillId="0" borderId="5" xfId="0" applyFont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/>
    <xf numFmtId="0" fontId="8" fillId="0" borderId="2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</cellXfs>
  <cellStyles count="1">
    <cellStyle name="Normal" xfId="0" builtinId="0"/>
  </cellStyles>
  <dxfs count="26">
    <dxf>
      <fill>
        <patternFill patternType="solid">
          <fgColor rgb="FFFFFF00"/>
          <bgColor rgb="FFFFFF00"/>
        </patternFill>
      </fill>
    </dxf>
    <dxf>
      <font>
        <b/>
        <strike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strike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strike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strike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strike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strike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ont>
        <b/>
        <strike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strike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strike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strike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strike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strike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43"/>
  <sheetViews>
    <sheetView tabSelected="1" workbookViewId="0">
      <pane ySplit="9" topLeftCell="A124" activePane="bottomLeft" state="frozen"/>
      <selection pane="bottomLeft" activeCell="C149" sqref="C149"/>
    </sheetView>
  </sheetViews>
  <sheetFormatPr baseColWidth="10" defaultColWidth="14.44140625" defaultRowHeight="15" customHeight="1" x14ac:dyDescent="0.3"/>
  <cols>
    <col min="1" max="1" width="2.109375" customWidth="1"/>
    <col min="2" max="2" width="3.88671875" customWidth="1"/>
    <col min="3" max="3" width="20" customWidth="1"/>
    <col min="4" max="4" width="22.88671875" customWidth="1"/>
    <col min="5" max="5" width="11.6640625" customWidth="1"/>
    <col min="6" max="6" width="16.5546875" customWidth="1"/>
    <col min="7" max="7" width="13.5546875" customWidth="1"/>
    <col min="8" max="8" width="6.44140625" customWidth="1"/>
    <col min="9" max="9" width="9" customWidth="1"/>
    <col min="10" max="10" width="9.88671875" customWidth="1"/>
    <col min="11" max="11" width="13.5546875" customWidth="1"/>
    <col min="12" max="12" width="9.88671875" customWidth="1"/>
    <col min="13" max="13" width="9.6640625" customWidth="1"/>
    <col min="14" max="14" width="5.109375" hidden="1" customWidth="1"/>
    <col min="15" max="15" width="11.44140625" customWidth="1"/>
    <col min="16" max="17" width="9.6640625" customWidth="1"/>
    <col min="18" max="18" width="5.109375" hidden="1" customWidth="1"/>
    <col min="19" max="19" width="11.44140625" customWidth="1"/>
    <col min="20" max="21" width="9.6640625" customWidth="1"/>
    <col min="22" max="22" width="5.109375" hidden="1" customWidth="1"/>
    <col min="23" max="23" width="11.44140625" customWidth="1"/>
    <col min="24" max="25" width="3.109375" hidden="1" customWidth="1"/>
    <col min="26" max="27" width="2.109375" hidden="1" customWidth="1"/>
    <col min="28" max="28" width="26.5546875" hidden="1" customWidth="1"/>
    <col min="29" max="29" width="24" hidden="1" customWidth="1"/>
    <col min="30" max="30" width="15.109375" customWidth="1"/>
  </cols>
  <sheetData>
    <row r="1" spans="1:34" ht="12.75" customHeight="1" x14ac:dyDescent="0.3">
      <c r="A1" s="1"/>
      <c r="B1" s="2"/>
      <c r="C1" s="3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"/>
      <c r="AA1" s="4"/>
      <c r="AB1" s="4"/>
      <c r="AC1" s="4"/>
      <c r="AD1" s="5"/>
      <c r="AE1" s="6"/>
      <c r="AF1" s="6"/>
      <c r="AG1" s="6"/>
      <c r="AH1" s="6"/>
    </row>
    <row r="2" spans="1:34" ht="12.75" customHeight="1" x14ac:dyDescent="0.3">
      <c r="A2" s="2"/>
      <c r="B2" s="81" t="s">
        <v>0</v>
      </c>
      <c r="C2" s="82"/>
      <c r="D2" s="82"/>
      <c r="E2" s="82"/>
      <c r="F2" s="82"/>
      <c r="G2" s="82"/>
      <c r="H2" s="82"/>
      <c r="I2" s="82"/>
      <c r="J2" s="82"/>
      <c r="K2" s="85" t="s">
        <v>1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5"/>
      <c r="X2" s="4"/>
      <c r="Y2" s="2"/>
      <c r="Z2" s="4"/>
      <c r="AA2" s="4"/>
      <c r="AB2" s="4"/>
      <c r="AC2" s="4"/>
      <c r="AD2" s="5"/>
      <c r="AE2" s="6"/>
      <c r="AF2" s="6"/>
      <c r="AG2" s="6"/>
      <c r="AH2" s="6"/>
    </row>
    <row r="3" spans="1:34" ht="12.75" customHeight="1" x14ac:dyDescent="0.3">
      <c r="A3" s="2"/>
      <c r="B3" s="83"/>
      <c r="C3" s="84"/>
      <c r="D3" s="84"/>
      <c r="E3" s="84"/>
      <c r="F3" s="84"/>
      <c r="G3" s="84"/>
      <c r="H3" s="84"/>
      <c r="I3" s="84"/>
      <c r="J3" s="84"/>
      <c r="K3" s="73" t="s">
        <v>2</v>
      </c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5"/>
      <c r="X3" s="4"/>
      <c r="Y3" s="2"/>
      <c r="Z3" s="4"/>
      <c r="AA3" s="4"/>
      <c r="AB3" s="4"/>
      <c r="AC3" s="4"/>
      <c r="AD3" s="5"/>
      <c r="AE3" s="6"/>
      <c r="AF3" s="6"/>
      <c r="AG3" s="6"/>
      <c r="AH3" s="6"/>
    </row>
    <row r="4" spans="1:34" ht="12.75" customHeight="1" x14ac:dyDescent="0.3">
      <c r="A4" s="2"/>
      <c r="B4" s="81" t="s">
        <v>3</v>
      </c>
      <c r="C4" s="82"/>
      <c r="D4" s="82"/>
      <c r="E4" s="82"/>
      <c r="F4" s="82"/>
      <c r="G4" s="82"/>
      <c r="H4" s="82"/>
      <c r="I4" s="82"/>
      <c r="J4" s="82"/>
      <c r="K4" s="73" t="s">
        <v>4</v>
      </c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5"/>
      <c r="X4" s="4"/>
      <c r="Y4" s="2"/>
      <c r="Z4" s="4"/>
      <c r="AA4" s="4"/>
      <c r="AB4" s="4"/>
      <c r="AC4" s="4"/>
      <c r="AD4" s="5"/>
      <c r="AE4" s="6"/>
      <c r="AF4" s="6"/>
      <c r="AG4" s="6"/>
      <c r="AH4" s="6"/>
    </row>
    <row r="5" spans="1:34" ht="12.7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73" t="s">
        <v>5</v>
      </c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5"/>
      <c r="X5" s="4"/>
      <c r="Y5" s="2"/>
      <c r="Z5" s="4"/>
      <c r="AA5" s="4"/>
      <c r="AB5" s="4"/>
      <c r="AC5" s="4"/>
      <c r="AD5" s="5"/>
      <c r="AE5" s="6"/>
      <c r="AF5" s="6"/>
      <c r="AG5" s="6"/>
      <c r="AH5" s="6"/>
    </row>
    <row r="6" spans="1:34" ht="14.4" x14ac:dyDescent="0.3">
      <c r="A6" s="2"/>
      <c r="B6" s="70" t="s">
        <v>6</v>
      </c>
      <c r="C6" s="70" t="s">
        <v>7</v>
      </c>
      <c r="D6" s="70" t="s">
        <v>8</v>
      </c>
      <c r="E6" s="70" t="s">
        <v>9</v>
      </c>
      <c r="F6" s="70" t="s">
        <v>10</v>
      </c>
      <c r="G6" s="70" t="s">
        <v>11</v>
      </c>
      <c r="H6" s="70" t="s">
        <v>12</v>
      </c>
      <c r="I6" s="70" t="s">
        <v>13</v>
      </c>
      <c r="J6" s="70" t="s">
        <v>14</v>
      </c>
      <c r="K6" s="86" t="s">
        <v>15</v>
      </c>
      <c r="L6" s="76" t="s">
        <v>16</v>
      </c>
      <c r="M6" s="77"/>
      <c r="N6" s="77"/>
      <c r="O6" s="78"/>
      <c r="P6" s="76" t="s">
        <v>17</v>
      </c>
      <c r="Q6" s="77"/>
      <c r="R6" s="77"/>
      <c r="S6" s="78"/>
      <c r="T6" s="76" t="s">
        <v>18</v>
      </c>
      <c r="U6" s="77"/>
      <c r="V6" s="77"/>
      <c r="W6" s="78"/>
      <c r="X6" s="7"/>
      <c r="Y6" s="2"/>
      <c r="Z6" s="7"/>
      <c r="AA6" s="7"/>
      <c r="AB6" s="79" t="s">
        <v>19</v>
      </c>
      <c r="AC6" s="79" t="s">
        <v>20</v>
      </c>
      <c r="AD6" s="80" t="s">
        <v>21</v>
      </c>
      <c r="AE6" s="8"/>
      <c r="AF6" s="8"/>
      <c r="AG6" s="8"/>
      <c r="AH6" s="8"/>
    </row>
    <row r="7" spans="1:34" ht="12.75" hidden="1" customHeight="1" x14ac:dyDescent="0.3">
      <c r="A7" s="2"/>
      <c r="B7" s="71"/>
      <c r="C7" s="71"/>
      <c r="D7" s="71"/>
      <c r="E7" s="71"/>
      <c r="F7" s="71"/>
      <c r="G7" s="71"/>
      <c r="H7" s="71"/>
      <c r="I7" s="71"/>
      <c r="J7" s="71"/>
      <c r="K7" s="71"/>
      <c r="L7" s="9"/>
      <c r="M7" s="4"/>
      <c r="N7" s="4"/>
      <c r="O7" s="10"/>
      <c r="P7" s="9"/>
      <c r="Q7" s="4"/>
      <c r="R7" s="4"/>
      <c r="S7" s="10"/>
      <c r="T7" s="9"/>
      <c r="U7" s="4"/>
      <c r="V7" s="4"/>
      <c r="W7" s="10"/>
      <c r="X7" s="4"/>
      <c r="Y7" s="2"/>
      <c r="Z7" s="4"/>
      <c r="AA7" s="4"/>
      <c r="AB7" s="71"/>
      <c r="AC7" s="71"/>
      <c r="AD7" s="71"/>
      <c r="AE7" s="6"/>
      <c r="AF7" s="6"/>
      <c r="AG7" s="6"/>
      <c r="AH7" s="6"/>
    </row>
    <row r="8" spans="1:34" ht="14.4" hidden="1" x14ac:dyDescent="0.3">
      <c r="A8" s="2"/>
      <c r="B8" s="71"/>
      <c r="C8" s="71"/>
      <c r="D8" s="71"/>
      <c r="E8" s="71"/>
      <c r="F8" s="71"/>
      <c r="G8" s="71"/>
      <c r="H8" s="71"/>
      <c r="I8" s="71"/>
      <c r="J8" s="71"/>
      <c r="K8" s="71"/>
      <c r="L8" s="11"/>
      <c r="M8" s="12"/>
      <c r="N8" s="12"/>
      <c r="O8" s="13"/>
      <c r="P8" s="11"/>
      <c r="Q8" s="12"/>
      <c r="R8" s="12"/>
      <c r="S8" s="13"/>
      <c r="T8" s="11"/>
      <c r="U8" s="12"/>
      <c r="V8" s="12"/>
      <c r="W8" s="13"/>
      <c r="X8" s="4"/>
      <c r="Y8" s="2"/>
      <c r="Z8" s="4"/>
      <c r="AA8" s="4"/>
      <c r="AB8" s="72"/>
      <c r="AC8" s="72"/>
      <c r="AD8" s="72"/>
      <c r="AE8" s="6"/>
      <c r="AF8" s="6"/>
      <c r="AG8" s="6"/>
      <c r="AH8" s="6"/>
    </row>
    <row r="9" spans="1:34" ht="14.4" x14ac:dyDescent="0.3">
      <c r="A9" s="2"/>
      <c r="B9" s="72"/>
      <c r="C9" s="72"/>
      <c r="D9" s="72"/>
      <c r="E9" s="72"/>
      <c r="F9" s="72"/>
      <c r="G9" s="72"/>
      <c r="H9" s="72"/>
      <c r="I9" s="72"/>
      <c r="J9" s="72"/>
      <c r="K9" s="72"/>
      <c r="L9" s="15" t="s">
        <v>22</v>
      </c>
      <c r="M9" s="15" t="s">
        <v>23</v>
      </c>
      <c r="N9" s="15" t="s">
        <v>24</v>
      </c>
      <c r="O9" s="15" t="s">
        <v>25</v>
      </c>
      <c r="P9" s="15" t="s">
        <v>22</v>
      </c>
      <c r="Q9" s="15" t="s">
        <v>23</v>
      </c>
      <c r="R9" s="15" t="s">
        <v>24</v>
      </c>
      <c r="S9" s="15" t="s">
        <v>25</v>
      </c>
      <c r="T9" s="15" t="s">
        <v>22</v>
      </c>
      <c r="U9" s="15" t="s">
        <v>23</v>
      </c>
      <c r="V9" s="15" t="s">
        <v>24</v>
      </c>
      <c r="W9" s="15" t="s">
        <v>25</v>
      </c>
      <c r="X9" s="4" t="s">
        <v>26</v>
      </c>
      <c r="Y9" s="4" t="s">
        <v>27</v>
      </c>
      <c r="Z9" s="4" t="s">
        <v>28</v>
      </c>
      <c r="AA9" s="4" t="s">
        <v>29</v>
      </c>
      <c r="AB9" s="4"/>
      <c r="AC9" s="4"/>
      <c r="AD9" s="5"/>
      <c r="AE9" s="6"/>
      <c r="AF9" s="6"/>
      <c r="AG9" s="6"/>
      <c r="AH9" s="6"/>
    </row>
    <row r="10" spans="1:34" ht="14.4" x14ac:dyDescent="0.3">
      <c r="A10" s="2"/>
      <c r="B10" s="14"/>
      <c r="C10" s="89" t="s">
        <v>661</v>
      </c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1"/>
      <c r="X10" s="4"/>
      <c r="Y10" s="4"/>
      <c r="Z10" s="4"/>
      <c r="AA10" s="4"/>
      <c r="AB10" s="4"/>
      <c r="AC10" s="4"/>
      <c r="AD10" s="5"/>
      <c r="AE10" s="6"/>
      <c r="AF10" s="6"/>
      <c r="AG10" s="6"/>
      <c r="AH10" s="6"/>
    </row>
    <row r="11" spans="1:34" ht="14.4" x14ac:dyDescent="0.3">
      <c r="A11" s="16"/>
      <c r="B11" s="17"/>
      <c r="C11" s="18"/>
      <c r="D11" s="18"/>
      <c r="E11" s="18"/>
      <c r="F11" s="18"/>
      <c r="G11" s="18"/>
      <c r="H11" s="19"/>
      <c r="I11" s="19"/>
      <c r="J11" s="19"/>
      <c r="K11" s="19"/>
      <c r="L11" s="20"/>
      <c r="M11" s="20"/>
      <c r="N11" s="21"/>
      <c r="O11" s="22"/>
      <c r="P11" s="20"/>
      <c r="Q11" s="20"/>
      <c r="R11" s="21"/>
      <c r="S11" s="22"/>
      <c r="T11" s="20"/>
      <c r="U11" s="20"/>
      <c r="V11" s="21"/>
      <c r="W11" s="22"/>
      <c r="X11" s="23"/>
      <c r="Y11" s="23"/>
      <c r="Z11" s="23"/>
      <c r="AA11" s="23"/>
      <c r="AB11" s="24"/>
      <c r="AC11" s="24"/>
      <c r="AD11" s="25"/>
      <c r="AE11" s="23"/>
      <c r="AF11" s="23"/>
      <c r="AG11" s="23"/>
      <c r="AH11" s="23"/>
    </row>
    <row r="12" spans="1:34" ht="14.4" x14ac:dyDescent="0.3">
      <c r="A12" s="26"/>
      <c r="B12" s="27"/>
      <c r="C12" s="18" t="str">
        <f>LOOKUP(F12,BD!C:C,BD!A:A)</f>
        <v>ADRIANA</v>
      </c>
      <c r="D12" s="18" t="str">
        <f>LOOKUP(F12,BD!C:C,BD!B:B)</f>
        <v>GUERRA QUINTERO</v>
      </c>
      <c r="E12" s="18">
        <v>3024066094</v>
      </c>
      <c r="F12" s="18">
        <v>1035920680</v>
      </c>
      <c r="G12" s="18">
        <f>LOOKUP(F12,BD!C:C,BD!D:D)</f>
        <v>5546622</v>
      </c>
      <c r="H12" s="19" t="s">
        <v>30</v>
      </c>
      <c r="I12" s="19" t="s">
        <v>30</v>
      </c>
      <c r="J12" s="19" t="s">
        <v>30</v>
      </c>
      <c r="K12" s="19" t="s">
        <v>30</v>
      </c>
      <c r="L12" s="20">
        <v>45738</v>
      </c>
      <c r="M12" s="20">
        <f>L12+730</f>
        <v>46468</v>
      </c>
      <c r="N12" s="21">
        <f t="shared" ref="N12:N146" ca="1" si="0">M12-NOW()</f>
        <v>246.49944016203517</v>
      </c>
      <c r="O12" s="22" t="str">
        <f t="shared" ref="O12:O77" ca="1" si="1">IF(N12&lt;=1,"NO CUMPLE",IF(N12&gt;=2,"VIGENTE"))</f>
        <v>VIGENTE</v>
      </c>
      <c r="P12" s="20">
        <v>45751</v>
      </c>
      <c r="Q12" s="20">
        <f>P12+730</f>
        <v>46481</v>
      </c>
      <c r="R12" s="21">
        <f t="shared" ref="R12:R146" ca="1" si="2">Q12-NOW()</f>
        <v>259.49944016203517</v>
      </c>
      <c r="S12" s="22" t="str">
        <f t="shared" ref="S12:S77" ca="1" si="3">IF(R12&lt;=1,"NO CUMPLE",IF(R12&gt;=2,"VIGENTE"))</f>
        <v>VIGENTE</v>
      </c>
      <c r="T12" s="20">
        <v>45749</v>
      </c>
      <c r="U12" s="20">
        <f>T12+730</f>
        <v>46479</v>
      </c>
      <c r="V12" s="21">
        <f t="shared" ref="V12:V146" ca="1" si="4">U12-NOW()</f>
        <v>257.49944016203517</v>
      </c>
      <c r="W12" s="22" t="str">
        <f t="shared" ref="W12:W77" ca="1" si="5">IF(V12&lt;=1,"NO CUMPLE",IF(V12&gt;=2,"VIGENTE"))</f>
        <v>VIGENTE</v>
      </c>
      <c r="X12" s="23">
        <v>4</v>
      </c>
      <c r="Y12" s="23">
        <v>3</v>
      </c>
      <c r="Z12" s="23">
        <f t="shared" ref="Z12:Z146" si="6">COUNTIF(H12:K12,"OK")</f>
        <v>4</v>
      </c>
      <c r="AA12" s="23">
        <f t="shared" ref="AA12:AA146" ca="1" si="7">COUNTIF(L12:W12,"VIGENTE")</f>
        <v>3</v>
      </c>
      <c r="AB12" s="24">
        <f t="shared" ref="AB12:AC12" si="8">Z12/X12</f>
        <v>1</v>
      </c>
      <c r="AC12" s="24">
        <f t="shared" ca="1" si="8"/>
        <v>1</v>
      </c>
      <c r="AD12" s="25">
        <f ca="1">(Z12+AA12)/7</f>
        <v>1</v>
      </c>
      <c r="AE12" s="23"/>
      <c r="AF12" s="23"/>
      <c r="AG12" s="23"/>
      <c r="AH12" s="23"/>
    </row>
    <row r="13" spans="1:34" ht="14.4" x14ac:dyDescent="0.3">
      <c r="A13" s="26"/>
      <c r="B13" s="27"/>
      <c r="C13" s="18" t="str">
        <f>LOOKUP(F13,BD!C:C,BD!A:A)</f>
        <v>ALEJANDRA</v>
      </c>
      <c r="D13" s="18" t="str">
        <f>LOOKUP(F13,BD!C:C,BD!B:B)</f>
        <v>GALLEGO HERNANDEZ</v>
      </c>
      <c r="E13" s="18">
        <v>3126301067</v>
      </c>
      <c r="F13" s="18">
        <v>1017256315</v>
      </c>
      <c r="G13" s="18">
        <f>LOOKUP(F13,BD!C:C,BD!D:D)</f>
        <v>25060172567</v>
      </c>
      <c r="H13" s="19" t="s">
        <v>30</v>
      </c>
      <c r="I13" s="19" t="s">
        <v>30</v>
      </c>
      <c r="J13" s="19" t="s">
        <v>30</v>
      </c>
      <c r="K13" s="19" t="s">
        <v>30</v>
      </c>
      <c r="L13" s="28">
        <v>45597</v>
      </c>
      <c r="M13" s="20">
        <f>L13+730</f>
        <v>46327</v>
      </c>
      <c r="N13" s="21">
        <f t="shared" ca="1" si="0"/>
        <v>105.49944016203517</v>
      </c>
      <c r="O13" s="22" t="str">
        <f t="shared" ca="1" si="1"/>
        <v>VIGENTE</v>
      </c>
      <c r="P13" s="28">
        <v>45846</v>
      </c>
      <c r="Q13" s="20">
        <f>P13+365</f>
        <v>46211</v>
      </c>
      <c r="R13" s="21">
        <f t="shared" ca="1" si="2"/>
        <v>-10.500559837964829</v>
      </c>
      <c r="S13" s="22" t="str">
        <f t="shared" ca="1" si="3"/>
        <v>NO CUMPLE</v>
      </c>
      <c r="T13" s="28">
        <v>45846</v>
      </c>
      <c r="U13" s="20">
        <f>T13+365</f>
        <v>46211</v>
      </c>
      <c r="V13" s="21">
        <f t="shared" ca="1" si="4"/>
        <v>-10.500559837964829</v>
      </c>
      <c r="W13" s="22" t="str">
        <f t="shared" ca="1" si="5"/>
        <v>NO CUMPLE</v>
      </c>
      <c r="X13" s="23">
        <v>4</v>
      </c>
      <c r="Y13" s="23">
        <v>3</v>
      </c>
      <c r="Z13" s="23">
        <f t="shared" si="6"/>
        <v>4</v>
      </c>
      <c r="AA13" s="23">
        <f t="shared" ca="1" si="7"/>
        <v>1</v>
      </c>
      <c r="AB13" s="24">
        <f t="shared" ref="AB13:AC13" si="9">Z13/X13</f>
        <v>1</v>
      </c>
      <c r="AC13" s="24">
        <f t="shared" ca="1" si="9"/>
        <v>0.33333333333333331</v>
      </c>
      <c r="AD13" s="25">
        <f ca="1">(Z13+AA13)/7</f>
        <v>0.7142857142857143</v>
      </c>
      <c r="AE13" s="23"/>
      <c r="AF13" s="23"/>
      <c r="AG13" s="23"/>
      <c r="AH13" s="23"/>
    </row>
    <row r="14" spans="1:34" ht="14.4" x14ac:dyDescent="0.3">
      <c r="A14" s="26"/>
      <c r="B14" s="27"/>
      <c r="C14" s="18" t="str">
        <f>LOOKUP(F14,BD!C:C,BD!A:A)</f>
        <v>ANA MARIA</v>
      </c>
      <c r="D14" s="18" t="str">
        <f>LOOKUP(F14,BD!C:C,BD!B:B)</f>
        <v>ARENAS CAÑAS</v>
      </c>
      <c r="E14" s="18">
        <v>3225836324</v>
      </c>
      <c r="F14" s="18">
        <v>1000756090</v>
      </c>
      <c r="G14" s="18">
        <f>LOOKUP(F14,BD!C:C,BD!D:D)</f>
        <v>5645223</v>
      </c>
      <c r="H14" s="19" t="s">
        <v>30</v>
      </c>
      <c r="I14" s="19" t="s">
        <v>30</v>
      </c>
      <c r="J14" s="19" t="s">
        <v>30</v>
      </c>
      <c r="K14" s="19" t="s">
        <v>30</v>
      </c>
      <c r="L14" s="20">
        <v>45882</v>
      </c>
      <c r="M14" s="20">
        <f t="shared" ref="M14:M15" si="10">L14+730</f>
        <v>46612</v>
      </c>
      <c r="N14" s="21">
        <f t="shared" ca="1" si="0"/>
        <v>390.49944016203517</v>
      </c>
      <c r="O14" s="22" t="str">
        <f t="shared" ca="1" si="1"/>
        <v>VIGENTE</v>
      </c>
      <c r="P14" s="20">
        <v>45882</v>
      </c>
      <c r="Q14" s="20">
        <f>P14+730</f>
        <v>46612</v>
      </c>
      <c r="R14" s="21">
        <f t="shared" ca="1" si="2"/>
        <v>390.49944016203517</v>
      </c>
      <c r="S14" s="22" t="str">
        <f t="shared" ca="1" si="3"/>
        <v>VIGENTE</v>
      </c>
      <c r="T14" s="20">
        <v>45882</v>
      </c>
      <c r="U14" s="20">
        <f>T14+730</f>
        <v>46612</v>
      </c>
      <c r="V14" s="21">
        <f t="shared" ca="1" si="4"/>
        <v>390.49944016203517</v>
      </c>
      <c r="W14" s="22" t="str">
        <f t="shared" ca="1" si="5"/>
        <v>VIGENTE</v>
      </c>
      <c r="X14" s="23">
        <v>4</v>
      </c>
      <c r="Y14" s="23">
        <v>3</v>
      </c>
      <c r="Z14" s="23">
        <f t="shared" si="6"/>
        <v>4</v>
      </c>
      <c r="AA14" s="23">
        <f t="shared" ca="1" si="7"/>
        <v>3</v>
      </c>
      <c r="AB14" s="24">
        <f t="shared" ref="AB14:AC14" si="11">Z14/X14</f>
        <v>1</v>
      </c>
      <c r="AC14" s="24">
        <f t="shared" ca="1" si="11"/>
        <v>1</v>
      </c>
      <c r="AD14" s="25">
        <f t="shared" ref="AD14:AD17" ca="1" si="12">(Z14+AA14)/7</f>
        <v>1</v>
      </c>
      <c r="AE14" s="23"/>
      <c r="AF14" s="23"/>
      <c r="AG14" s="23"/>
      <c r="AH14" s="23"/>
    </row>
    <row r="15" spans="1:34" ht="14.4" x14ac:dyDescent="0.3">
      <c r="A15" s="29"/>
      <c r="B15" s="27"/>
      <c r="C15" s="18" t="str">
        <f>LOOKUP(F15,BD!C:C,BD!A:A)</f>
        <v>ANA MARIA</v>
      </c>
      <c r="D15" s="18" t="str">
        <f>LOOKUP(F15,BD!C:C,BD!B:B)</f>
        <v>PALOMINO RIOS</v>
      </c>
      <c r="E15" s="18">
        <v>3218787093</v>
      </c>
      <c r="F15" s="18">
        <v>1007240502</v>
      </c>
      <c r="G15" s="18">
        <f>LOOKUP(F15,BD!C:C,BD!D:D)</f>
        <v>5454319</v>
      </c>
      <c r="H15" s="19" t="s">
        <v>30</v>
      </c>
      <c r="I15" s="19" t="s">
        <v>30</v>
      </c>
      <c r="J15" s="19" t="s">
        <v>30</v>
      </c>
      <c r="K15" s="19" t="s">
        <v>30</v>
      </c>
      <c r="L15" s="20">
        <v>45541</v>
      </c>
      <c r="M15" s="20">
        <f t="shared" si="10"/>
        <v>46271</v>
      </c>
      <c r="N15" s="21">
        <f t="shared" ca="1" si="0"/>
        <v>49.499440162035171</v>
      </c>
      <c r="O15" s="22" t="str">
        <f t="shared" ca="1" si="1"/>
        <v>VIGENTE</v>
      </c>
      <c r="P15" s="20">
        <v>45906</v>
      </c>
      <c r="Q15" s="20">
        <f>P15+365</f>
        <v>46271</v>
      </c>
      <c r="R15" s="21">
        <f t="shared" ca="1" si="2"/>
        <v>49.499440162035171</v>
      </c>
      <c r="S15" s="22" t="str">
        <f t="shared" ca="1" si="3"/>
        <v>VIGENTE</v>
      </c>
      <c r="T15" s="20">
        <v>45906</v>
      </c>
      <c r="U15" s="20">
        <f>T15+365</f>
        <v>46271</v>
      </c>
      <c r="V15" s="21">
        <f t="shared" ca="1" si="4"/>
        <v>49.499440162035171</v>
      </c>
      <c r="W15" s="22" t="str">
        <f t="shared" ca="1" si="5"/>
        <v>VIGENTE</v>
      </c>
      <c r="X15" s="23">
        <v>4</v>
      </c>
      <c r="Y15" s="23">
        <v>3</v>
      </c>
      <c r="Z15" s="23">
        <f t="shared" si="6"/>
        <v>4</v>
      </c>
      <c r="AA15" s="23">
        <f t="shared" ca="1" si="7"/>
        <v>3</v>
      </c>
      <c r="AB15" s="24">
        <f t="shared" ref="AB15:AC15" si="13">Z15/X15</f>
        <v>1</v>
      </c>
      <c r="AC15" s="24">
        <f t="shared" ca="1" si="13"/>
        <v>1</v>
      </c>
      <c r="AD15" s="25">
        <f t="shared" ca="1" si="12"/>
        <v>1</v>
      </c>
      <c r="AE15" s="23"/>
      <c r="AF15" s="23"/>
      <c r="AG15" s="23"/>
      <c r="AH15" s="23"/>
    </row>
    <row r="16" spans="1:34" ht="14.4" x14ac:dyDescent="0.3">
      <c r="A16" s="26"/>
      <c r="B16" s="27"/>
      <c r="C16" s="18" t="str">
        <f>LOOKUP(F16,BD!C:C,BD!A:A)</f>
        <v>ANA MARIA</v>
      </c>
      <c r="D16" s="18" t="str">
        <f>LOOKUP(F16,BD!C:C,BD!B:B)</f>
        <v>TORRES GOMEZ</v>
      </c>
      <c r="E16" s="18">
        <v>3235038560</v>
      </c>
      <c r="F16" s="18">
        <v>1036448594</v>
      </c>
      <c r="G16" s="18">
        <f>LOOKUP(F16,BD!C:C,BD!D:D)</f>
        <v>25061557315</v>
      </c>
      <c r="H16" s="19" t="s">
        <v>30</v>
      </c>
      <c r="I16" s="19" t="s">
        <v>30</v>
      </c>
      <c r="J16" s="19" t="s">
        <v>30</v>
      </c>
      <c r="K16" s="19" t="s">
        <v>30</v>
      </c>
      <c r="L16" s="20">
        <v>46065</v>
      </c>
      <c r="M16" s="20">
        <f>L16+365</f>
        <v>46430</v>
      </c>
      <c r="N16" s="21">
        <f t="shared" ca="1" si="0"/>
        <v>208.49944016203517</v>
      </c>
      <c r="O16" s="22" t="str">
        <f t="shared" ca="1" si="1"/>
        <v>VIGENTE</v>
      </c>
      <c r="P16" s="20">
        <v>46067</v>
      </c>
      <c r="Q16" s="20">
        <f t="shared" ref="Q16:Q17" si="14">P16+730</f>
        <v>46797</v>
      </c>
      <c r="R16" s="21">
        <f t="shared" ca="1" si="2"/>
        <v>575.49944016203517</v>
      </c>
      <c r="S16" s="22" t="str">
        <f t="shared" ca="1" si="3"/>
        <v>VIGENTE</v>
      </c>
      <c r="T16" s="20">
        <v>46066</v>
      </c>
      <c r="U16" s="20">
        <f>T16+730</f>
        <v>46796</v>
      </c>
      <c r="V16" s="21">
        <f t="shared" ca="1" si="4"/>
        <v>574.49944016203517</v>
      </c>
      <c r="W16" s="22" t="str">
        <f t="shared" ca="1" si="5"/>
        <v>VIGENTE</v>
      </c>
      <c r="X16" s="23">
        <v>4</v>
      </c>
      <c r="Y16" s="23">
        <v>3</v>
      </c>
      <c r="Z16" s="23">
        <f t="shared" si="6"/>
        <v>4</v>
      </c>
      <c r="AA16" s="23">
        <f t="shared" ca="1" si="7"/>
        <v>3</v>
      </c>
      <c r="AB16" s="24">
        <f t="shared" ref="AB16:AC16" si="15">Z16/X16</f>
        <v>1</v>
      </c>
      <c r="AC16" s="24">
        <f t="shared" ca="1" si="15"/>
        <v>1</v>
      </c>
      <c r="AD16" s="25">
        <f t="shared" ca="1" si="12"/>
        <v>1</v>
      </c>
      <c r="AE16" s="23"/>
      <c r="AF16" s="23"/>
      <c r="AG16" s="23"/>
      <c r="AH16" s="23"/>
    </row>
    <row r="17" spans="1:34" ht="14.4" x14ac:dyDescent="0.3">
      <c r="A17" s="26"/>
      <c r="B17" s="27"/>
      <c r="C17" s="18" t="str">
        <f>LOOKUP(F17,BD!C:C,BD!A:A)</f>
        <v>BETSY ALEJANDRA</v>
      </c>
      <c r="D17" s="18" t="str">
        <f>LOOKUP(F17,BD!C:C,BD!B:B)</f>
        <v>MONOGA CASTRO</v>
      </c>
      <c r="E17" s="18">
        <v>3153854371</v>
      </c>
      <c r="F17" s="18">
        <v>1118559091</v>
      </c>
      <c r="G17" s="18">
        <f>LOOKUP(F17,BD!C:C,BD!D:D)</f>
        <v>547719</v>
      </c>
      <c r="H17" s="19" t="s">
        <v>30</v>
      </c>
      <c r="I17" s="19" t="s">
        <v>30</v>
      </c>
      <c r="J17" s="19" t="s">
        <v>30</v>
      </c>
      <c r="K17" s="19" t="s">
        <v>30</v>
      </c>
      <c r="L17" s="20">
        <v>46087</v>
      </c>
      <c r="M17" s="20">
        <f>L17+730</f>
        <v>46817</v>
      </c>
      <c r="N17" s="21">
        <f t="shared" ca="1" si="0"/>
        <v>595.49944016203517</v>
      </c>
      <c r="O17" s="22" t="str">
        <f t="shared" ca="1" si="1"/>
        <v>VIGENTE</v>
      </c>
      <c r="P17" s="20">
        <v>45842</v>
      </c>
      <c r="Q17" s="20">
        <f t="shared" si="14"/>
        <v>46572</v>
      </c>
      <c r="R17" s="21">
        <f t="shared" ca="1" si="2"/>
        <v>350.49944016203517</v>
      </c>
      <c r="S17" s="22" t="str">
        <f t="shared" ca="1" si="3"/>
        <v>VIGENTE</v>
      </c>
      <c r="T17" s="20">
        <v>45954</v>
      </c>
      <c r="U17" s="20">
        <f t="shared" ref="U17:U20" si="16">T17+365</f>
        <v>46319</v>
      </c>
      <c r="V17" s="21">
        <f t="shared" ca="1" si="4"/>
        <v>97.499440162035171</v>
      </c>
      <c r="W17" s="22" t="str">
        <f t="shared" ca="1" si="5"/>
        <v>VIGENTE</v>
      </c>
      <c r="X17" s="23">
        <v>4</v>
      </c>
      <c r="Y17" s="23">
        <v>3</v>
      </c>
      <c r="Z17" s="23">
        <f t="shared" si="6"/>
        <v>4</v>
      </c>
      <c r="AA17" s="23">
        <f t="shared" ca="1" si="7"/>
        <v>3</v>
      </c>
      <c r="AB17" s="24">
        <f t="shared" ref="AB17:AC17" si="17">Z17/X17</f>
        <v>1</v>
      </c>
      <c r="AC17" s="24">
        <f t="shared" ca="1" si="17"/>
        <v>1</v>
      </c>
      <c r="AD17" s="25">
        <f t="shared" ca="1" si="12"/>
        <v>1</v>
      </c>
      <c r="AE17" s="23"/>
      <c r="AF17" s="23"/>
      <c r="AG17" s="23"/>
      <c r="AH17" s="23"/>
    </row>
    <row r="18" spans="1:34" ht="14.4" x14ac:dyDescent="0.3">
      <c r="A18" s="26"/>
      <c r="B18" s="27"/>
      <c r="C18" s="18" t="str">
        <f>LOOKUP(F18,BD!C:C,BD!A:A)</f>
        <v>CAROLINA</v>
      </c>
      <c r="D18" s="18" t="str">
        <f>LOOKUP(F18,BD!C:C,BD!B:B)</f>
        <v>OCAMPO GONZALEZ</v>
      </c>
      <c r="E18" s="18">
        <v>3113816736</v>
      </c>
      <c r="F18" s="18">
        <v>1000295495</v>
      </c>
      <c r="G18" s="18">
        <f>LOOKUP(F18,BD!C:C,BD!D:D)</f>
        <v>5323423</v>
      </c>
      <c r="H18" s="19" t="s">
        <v>30</v>
      </c>
      <c r="I18" s="19" t="s">
        <v>30</v>
      </c>
      <c r="J18" s="19" t="s">
        <v>30</v>
      </c>
      <c r="K18" s="19" t="s">
        <v>30</v>
      </c>
      <c r="L18" s="20">
        <v>46120</v>
      </c>
      <c r="M18" s="20">
        <f>L18+730</f>
        <v>46850</v>
      </c>
      <c r="N18" s="21">
        <f t="shared" ca="1" si="0"/>
        <v>628.49944016203517</v>
      </c>
      <c r="O18" s="22" t="str">
        <f t="shared" ca="1" si="1"/>
        <v>VIGENTE</v>
      </c>
      <c r="P18" s="20">
        <v>46120</v>
      </c>
      <c r="Q18" s="20">
        <f t="shared" ref="Q18:Q20" si="18">P18+365</f>
        <v>46485</v>
      </c>
      <c r="R18" s="21">
        <f t="shared" ca="1" si="2"/>
        <v>263.49944016203517</v>
      </c>
      <c r="S18" s="22" t="str">
        <f t="shared" ca="1" si="3"/>
        <v>VIGENTE</v>
      </c>
      <c r="T18" s="20">
        <v>46120</v>
      </c>
      <c r="U18" s="20">
        <f t="shared" si="16"/>
        <v>46485</v>
      </c>
      <c r="V18" s="21">
        <f t="shared" ca="1" si="4"/>
        <v>263.49944016203517</v>
      </c>
      <c r="W18" s="22" t="str">
        <f t="shared" ca="1" si="5"/>
        <v>VIGENTE</v>
      </c>
      <c r="X18" s="23">
        <v>4</v>
      </c>
      <c r="Y18" s="23">
        <v>3</v>
      </c>
      <c r="Z18" s="23">
        <f t="shared" si="6"/>
        <v>4</v>
      </c>
      <c r="AA18" s="23">
        <f t="shared" ca="1" si="7"/>
        <v>3</v>
      </c>
      <c r="AB18" s="24">
        <f t="shared" ref="AB18:AC18" si="19">Z18/X18</f>
        <v>1</v>
      </c>
      <c r="AC18" s="24">
        <f t="shared" ca="1" si="19"/>
        <v>1</v>
      </c>
      <c r="AD18" s="25">
        <f ca="1">(Z18+AA18)/7</f>
        <v>1</v>
      </c>
      <c r="AE18" s="23"/>
      <c r="AF18" s="23"/>
      <c r="AG18" s="23"/>
      <c r="AH18" s="23"/>
    </row>
    <row r="19" spans="1:34" ht="14.4" x14ac:dyDescent="0.3">
      <c r="A19" s="26"/>
      <c r="B19" s="27"/>
      <c r="C19" s="18" t="str">
        <f>LOOKUP(F19,BD!C:C,BD!A:A)</f>
        <v>CLARA INES</v>
      </c>
      <c r="D19" s="18" t="str">
        <f>LOOKUP(F19,BD!C:C,BD!B:B)</f>
        <v>CARDONA ALVAREZ</v>
      </c>
      <c r="E19" s="18">
        <v>3014324032</v>
      </c>
      <c r="F19" s="18">
        <v>1020400543</v>
      </c>
      <c r="G19" s="18">
        <f>LOOKUP(F19,BD!C:C,BD!D:D)</f>
        <v>5353921</v>
      </c>
      <c r="H19" s="19" t="s">
        <v>30</v>
      </c>
      <c r="I19" s="19" t="s">
        <v>30</v>
      </c>
      <c r="J19" s="19" t="s">
        <v>30</v>
      </c>
      <c r="K19" s="19" t="s">
        <v>30</v>
      </c>
      <c r="L19" s="20">
        <v>45880</v>
      </c>
      <c r="M19" s="20">
        <f t="shared" ref="M19:M25" si="20">L19+730</f>
        <v>46610</v>
      </c>
      <c r="N19" s="21">
        <f t="shared" ca="1" si="0"/>
        <v>388.49944016203517</v>
      </c>
      <c r="O19" s="22" t="str">
        <f t="shared" ca="1" si="1"/>
        <v>VIGENTE</v>
      </c>
      <c r="P19" s="20">
        <v>45874</v>
      </c>
      <c r="Q19" s="20">
        <f t="shared" si="18"/>
        <v>46239</v>
      </c>
      <c r="R19" s="21">
        <f t="shared" ca="1" si="2"/>
        <v>17.499440162035171</v>
      </c>
      <c r="S19" s="22" t="str">
        <f t="shared" ca="1" si="3"/>
        <v>VIGENTE</v>
      </c>
      <c r="T19" s="20">
        <v>45909</v>
      </c>
      <c r="U19" s="20">
        <f t="shared" si="16"/>
        <v>46274</v>
      </c>
      <c r="V19" s="21">
        <f t="shared" ca="1" si="4"/>
        <v>52.499440162035171</v>
      </c>
      <c r="W19" s="22" t="str">
        <f t="shared" ca="1" si="5"/>
        <v>VIGENTE</v>
      </c>
      <c r="X19" s="23">
        <v>4</v>
      </c>
      <c r="Y19" s="23">
        <v>3</v>
      </c>
      <c r="Z19" s="23">
        <f t="shared" si="6"/>
        <v>4</v>
      </c>
      <c r="AA19" s="23">
        <f t="shared" ca="1" si="7"/>
        <v>3</v>
      </c>
      <c r="AB19" s="24">
        <f t="shared" ref="AB19:AC19" si="21">Z19/X19</f>
        <v>1</v>
      </c>
      <c r="AC19" s="24">
        <f t="shared" ca="1" si="21"/>
        <v>1</v>
      </c>
      <c r="AD19" s="25">
        <f t="shared" ref="AD19:AD25" ca="1" si="22">(Z19+AA19)/7</f>
        <v>1</v>
      </c>
      <c r="AE19" s="23"/>
      <c r="AF19" s="23"/>
      <c r="AG19" s="23"/>
      <c r="AH19" s="23"/>
    </row>
    <row r="20" spans="1:34" ht="14.4" x14ac:dyDescent="0.3">
      <c r="A20" s="26"/>
      <c r="B20" s="27"/>
      <c r="C20" s="18" t="str">
        <f>LOOKUP(F20,BD!C:C,BD!A:A)</f>
        <v>CLAUDIA XIMENA</v>
      </c>
      <c r="D20" s="18" t="str">
        <f>LOOKUP(F20,BD!C:C,BD!B:B)</f>
        <v>CASTAÑO BARRADA</v>
      </c>
      <c r="E20" s="18">
        <v>3186455863</v>
      </c>
      <c r="F20" s="18">
        <v>1115070893</v>
      </c>
      <c r="G20" s="18">
        <f>LOOKUP(F20,BD!C:C,BD!D:D)</f>
        <v>7640032016</v>
      </c>
      <c r="H20" s="19" t="s">
        <v>30</v>
      </c>
      <c r="I20" s="19" t="s">
        <v>30</v>
      </c>
      <c r="J20" s="19" t="s">
        <v>30</v>
      </c>
      <c r="K20" s="19" t="s">
        <v>30</v>
      </c>
      <c r="L20" s="20">
        <v>45873</v>
      </c>
      <c r="M20" s="20">
        <f t="shared" si="20"/>
        <v>46603</v>
      </c>
      <c r="N20" s="21">
        <f t="shared" ca="1" si="0"/>
        <v>381.49944016203517</v>
      </c>
      <c r="O20" s="22" t="str">
        <f t="shared" ca="1" si="1"/>
        <v>VIGENTE</v>
      </c>
      <c r="P20" s="20">
        <v>45871</v>
      </c>
      <c r="Q20" s="20">
        <f t="shared" si="18"/>
        <v>46236</v>
      </c>
      <c r="R20" s="21">
        <f t="shared" ca="1" si="2"/>
        <v>14.499440162035171</v>
      </c>
      <c r="S20" s="22" t="str">
        <f t="shared" ca="1" si="3"/>
        <v>VIGENTE</v>
      </c>
      <c r="T20" s="20">
        <v>45870</v>
      </c>
      <c r="U20" s="20">
        <f t="shared" si="16"/>
        <v>46235</v>
      </c>
      <c r="V20" s="21">
        <f t="shared" ca="1" si="4"/>
        <v>13.499440162035171</v>
      </c>
      <c r="W20" s="22" t="str">
        <f t="shared" ca="1" si="5"/>
        <v>VIGENTE</v>
      </c>
      <c r="X20" s="23">
        <v>4</v>
      </c>
      <c r="Y20" s="23">
        <v>3</v>
      </c>
      <c r="Z20" s="23">
        <f t="shared" si="6"/>
        <v>4</v>
      </c>
      <c r="AA20" s="23">
        <f t="shared" ca="1" si="7"/>
        <v>3</v>
      </c>
      <c r="AB20" s="24">
        <f t="shared" ref="AB20:AC20" si="23">Z20/X20</f>
        <v>1</v>
      </c>
      <c r="AC20" s="24">
        <f t="shared" ca="1" si="23"/>
        <v>1</v>
      </c>
      <c r="AD20" s="25">
        <f t="shared" ca="1" si="22"/>
        <v>1</v>
      </c>
      <c r="AE20" s="23"/>
      <c r="AF20" s="23"/>
      <c r="AG20" s="23"/>
      <c r="AH20" s="23"/>
    </row>
    <row r="21" spans="1:34" ht="14.4" x14ac:dyDescent="0.3">
      <c r="A21" s="26"/>
      <c r="B21" s="27"/>
      <c r="C21" s="18" t="str">
        <f>LOOKUP(F21,BD!C:C,BD!A:A)</f>
        <v>CRISTIAN FELIPE</v>
      </c>
      <c r="D21" s="18" t="str">
        <f>LOOKUP(F21,BD!C:C,BD!B:B)</f>
        <v>ALVAREZ MALDONADO</v>
      </c>
      <c r="E21" s="18">
        <v>3207358413</v>
      </c>
      <c r="F21" s="18">
        <v>1000204371</v>
      </c>
      <c r="G21" s="18">
        <f>LOOKUP(F21,BD!C:C,BD!D:D)</f>
        <v>26060001495</v>
      </c>
      <c r="H21" s="19" t="s">
        <v>30</v>
      </c>
      <c r="I21" s="19" t="s">
        <v>30</v>
      </c>
      <c r="J21" s="19" t="s">
        <v>30</v>
      </c>
      <c r="K21" s="19" t="s">
        <v>30</v>
      </c>
      <c r="L21" s="28">
        <v>45895</v>
      </c>
      <c r="M21" s="20">
        <f t="shared" si="20"/>
        <v>46625</v>
      </c>
      <c r="N21" s="21">
        <f t="shared" ca="1" si="0"/>
        <v>403.49944016203517</v>
      </c>
      <c r="O21" s="22" t="str">
        <f t="shared" ca="1" si="1"/>
        <v>VIGENTE</v>
      </c>
      <c r="P21" s="28">
        <v>46071</v>
      </c>
      <c r="Q21" s="20">
        <f t="shared" ref="Q21:Q22" si="24">P21+730</f>
        <v>46801</v>
      </c>
      <c r="R21" s="21">
        <f t="shared" ca="1" si="2"/>
        <v>579.49944016203517</v>
      </c>
      <c r="S21" s="22" t="str">
        <f t="shared" ca="1" si="3"/>
        <v>VIGENTE</v>
      </c>
      <c r="T21" s="28">
        <v>46155</v>
      </c>
      <c r="U21" s="20">
        <f>T21+730</f>
        <v>46885</v>
      </c>
      <c r="V21" s="21">
        <f t="shared" ca="1" si="4"/>
        <v>663.49944016203517</v>
      </c>
      <c r="W21" s="22" t="str">
        <f t="shared" ca="1" si="5"/>
        <v>VIGENTE</v>
      </c>
      <c r="X21" s="23">
        <v>4</v>
      </c>
      <c r="Y21" s="23">
        <v>3</v>
      </c>
      <c r="Z21" s="23">
        <f t="shared" si="6"/>
        <v>4</v>
      </c>
      <c r="AA21" s="23">
        <f t="shared" ca="1" si="7"/>
        <v>3</v>
      </c>
      <c r="AB21" s="24">
        <f t="shared" ref="AB21:AC21" si="25">Z21/X21</f>
        <v>1</v>
      </c>
      <c r="AC21" s="24">
        <f t="shared" ca="1" si="25"/>
        <v>1</v>
      </c>
      <c r="AD21" s="25">
        <f t="shared" ca="1" si="22"/>
        <v>1</v>
      </c>
      <c r="AE21" s="23"/>
      <c r="AF21" s="23"/>
      <c r="AG21" s="23"/>
      <c r="AH21" s="23"/>
    </row>
    <row r="22" spans="1:34" ht="14.4" x14ac:dyDescent="0.3">
      <c r="A22" s="26"/>
      <c r="B22" s="27"/>
      <c r="C22" s="18" t="str">
        <f>LOOKUP(F22,BD!C:C,BD!A:A)</f>
        <v>DAMARIS</v>
      </c>
      <c r="D22" s="18" t="str">
        <f>LOOKUP(F22,BD!C:C,BD!B:B)</f>
        <v>FLOREZ ALVAREZ</v>
      </c>
      <c r="E22" s="18">
        <v>3215552880</v>
      </c>
      <c r="F22" s="18">
        <v>1128419525</v>
      </c>
      <c r="G22" s="18">
        <f>LOOKUP(F22,BD!C:C,BD!D:D)</f>
        <v>5180921</v>
      </c>
      <c r="H22" s="19" t="s">
        <v>30</v>
      </c>
      <c r="I22" s="19" t="s">
        <v>30</v>
      </c>
      <c r="J22" s="19" t="s">
        <v>30</v>
      </c>
      <c r="K22" s="19" t="s">
        <v>30</v>
      </c>
      <c r="L22" s="20">
        <v>45713</v>
      </c>
      <c r="M22" s="20">
        <f t="shared" si="20"/>
        <v>46443</v>
      </c>
      <c r="N22" s="21">
        <f t="shared" ca="1" si="0"/>
        <v>221.49944016203517</v>
      </c>
      <c r="O22" s="22" t="str">
        <f t="shared" ca="1" si="1"/>
        <v>VIGENTE</v>
      </c>
      <c r="P22" s="20">
        <v>45873</v>
      </c>
      <c r="Q22" s="20">
        <f t="shared" si="24"/>
        <v>46603</v>
      </c>
      <c r="R22" s="21">
        <f t="shared" ca="1" si="2"/>
        <v>381.49944016203517</v>
      </c>
      <c r="S22" s="22" t="str">
        <f t="shared" ca="1" si="3"/>
        <v>VIGENTE</v>
      </c>
      <c r="T22" s="20">
        <v>46190</v>
      </c>
      <c r="U22" s="20">
        <f t="shared" ref="U22:U25" si="26">T22+365</f>
        <v>46555</v>
      </c>
      <c r="V22" s="21">
        <f t="shared" ca="1" si="4"/>
        <v>333.49944016203517</v>
      </c>
      <c r="W22" s="22" t="str">
        <f t="shared" ca="1" si="5"/>
        <v>VIGENTE</v>
      </c>
      <c r="X22" s="23">
        <v>4</v>
      </c>
      <c r="Y22" s="23">
        <v>3</v>
      </c>
      <c r="Z22" s="23">
        <f t="shared" si="6"/>
        <v>4</v>
      </c>
      <c r="AA22" s="23">
        <f t="shared" ca="1" si="7"/>
        <v>3</v>
      </c>
      <c r="AB22" s="24">
        <f t="shared" ref="AB22:AC22" si="27">Z22/X22</f>
        <v>1</v>
      </c>
      <c r="AC22" s="24">
        <f t="shared" ca="1" si="27"/>
        <v>1</v>
      </c>
      <c r="AD22" s="25">
        <f t="shared" ca="1" si="22"/>
        <v>1</v>
      </c>
      <c r="AE22" s="23"/>
      <c r="AF22" s="23"/>
      <c r="AG22" s="23"/>
      <c r="AH22" s="23"/>
    </row>
    <row r="23" spans="1:34" ht="14.4" x14ac:dyDescent="0.3">
      <c r="A23" s="29"/>
      <c r="B23" s="27"/>
      <c r="C23" s="18" t="str">
        <f>LOOKUP(F23,BD!C:C,BD!A:A)</f>
        <v>DANIELA</v>
      </c>
      <c r="D23" s="18" t="str">
        <f>LOOKUP(F23,BD!C:C,BD!B:B)</f>
        <v>ARISTIZABAL FRANCO</v>
      </c>
      <c r="E23" s="18">
        <v>3022736854</v>
      </c>
      <c r="F23" s="18">
        <v>1035877140</v>
      </c>
      <c r="G23" s="18">
        <f>LOOKUP(F23,BD!C:C,BD!D:D)</f>
        <v>5578923</v>
      </c>
      <c r="H23" s="19" t="s">
        <v>30</v>
      </c>
      <c r="I23" s="19" t="s">
        <v>30</v>
      </c>
      <c r="J23" s="19" t="s">
        <v>30</v>
      </c>
      <c r="K23" s="19" t="s">
        <v>30</v>
      </c>
      <c r="L23" s="20">
        <v>46019</v>
      </c>
      <c r="M23" s="20">
        <f t="shared" si="20"/>
        <v>46749</v>
      </c>
      <c r="N23" s="21">
        <f t="shared" ca="1" si="0"/>
        <v>527.49944016203517</v>
      </c>
      <c r="O23" s="22" t="str">
        <f t="shared" ca="1" si="1"/>
        <v>VIGENTE</v>
      </c>
      <c r="P23" s="20">
        <v>46019</v>
      </c>
      <c r="Q23" s="20">
        <f t="shared" ref="Q23:Q25" si="28">P23+365</f>
        <v>46384</v>
      </c>
      <c r="R23" s="21">
        <f t="shared" ca="1" si="2"/>
        <v>162.49944016203517</v>
      </c>
      <c r="S23" s="22" t="str">
        <f t="shared" ca="1" si="3"/>
        <v>VIGENTE</v>
      </c>
      <c r="T23" s="20">
        <v>46019</v>
      </c>
      <c r="U23" s="20">
        <f t="shared" si="26"/>
        <v>46384</v>
      </c>
      <c r="V23" s="21">
        <f t="shared" ca="1" si="4"/>
        <v>162.49944016203517</v>
      </c>
      <c r="W23" s="22" t="str">
        <f t="shared" ca="1" si="5"/>
        <v>VIGENTE</v>
      </c>
      <c r="X23" s="23">
        <v>4</v>
      </c>
      <c r="Y23" s="23">
        <v>3</v>
      </c>
      <c r="Z23" s="23">
        <f t="shared" si="6"/>
        <v>4</v>
      </c>
      <c r="AA23" s="23">
        <f t="shared" ca="1" si="7"/>
        <v>3</v>
      </c>
      <c r="AB23" s="24">
        <f t="shared" ref="AB23:AC23" si="29">Z23/X23</f>
        <v>1</v>
      </c>
      <c r="AC23" s="24">
        <f t="shared" ca="1" si="29"/>
        <v>1</v>
      </c>
      <c r="AD23" s="25">
        <f t="shared" ca="1" si="22"/>
        <v>1</v>
      </c>
      <c r="AE23" s="23"/>
      <c r="AF23" s="23"/>
      <c r="AG23" s="23"/>
      <c r="AH23" s="23"/>
    </row>
    <row r="24" spans="1:34" ht="14.4" x14ac:dyDescent="0.3">
      <c r="A24" s="26"/>
      <c r="B24" s="27"/>
      <c r="C24" s="18" t="str">
        <f>LOOKUP(F24,BD!C:C,BD!A:A)</f>
        <v>DAVID ESTEBAN</v>
      </c>
      <c r="D24" s="18" t="str">
        <f>LOOKUP(F24,BD!C:C,BD!B:B)</f>
        <v>GRACIANO DAVID</v>
      </c>
      <c r="E24" s="18">
        <v>3122198227</v>
      </c>
      <c r="F24" s="18">
        <v>1017130302</v>
      </c>
      <c r="G24" s="18">
        <f>LOOKUP(F24,BD!C:C,BD!D:D)</f>
        <v>5025007</v>
      </c>
      <c r="H24" s="19" t="s">
        <v>30</v>
      </c>
      <c r="I24" s="19" t="s">
        <v>30</v>
      </c>
      <c r="J24" s="19" t="s">
        <v>30</v>
      </c>
      <c r="K24" s="19" t="s">
        <v>30</v>
      </c>
      <c r="L24" s="20">
        <v>45771</v>
      </c>
      <c r="M24" s="20">
        <f t="shared" si="20"/>
        <v>46501</v>
      </c>
      <c r="N24" s="21">
        <f t="shared" ca="1" si="0"/>
        <v>279.49944016203517</v>
      </c>
      <c r="O24" s="22" t="str">
        <f t="shared" ca="1" si="1"/>
        <v>VIGENTE</v>
      </c>
      <c r="P24" s="20">
        <v>46058</v>
      </c>
      <c r="Q24" s="20">
        <f t="shared" si="28"/>
        <v>46423</v>
      </c>
      <c r="R24" s="21">
        <f t="shared" ca="1" si="2"/>
        <v>201.49944016203517</v>
      </c>
      <c r="S24" s="22" t="str">
        <f t="shared" ca="1" si="3"/>
        <v>VIGENTE</v>
      </c>
      <c r="T24" s="20">
        <v>46058</v>
      </c>
      <c r="U24" s="20">
        <f t="shared" si="26"/>
        <v>46423</v>
      </c>
      <c r="V24" s="21">
        <f t="shared" ca="1" si="4"/>
        <v>201.49944016203517</v>
      </c>
      <c r="W24" s="22" t="str">
        <f t="shared" ca="1" si="5"/>
        <v>VIGENTE</v>
      </c>
      <c r="X24" s="23">
        <v>4</v>
      </c>
      <c r="Y24" s="23">
        <v>3</v>
      </c>
      <c r="Z24" s="23">
        <f t="shared" si="6"/>
        <v>4</v>
      </c>
      <c r="AA24" s="23">
        <f t="shared" ca="1" si="7"/>
        <v>3</v>
      </c>
      <c r="AB24" s="24">
        <f t="shared" ref="AB24:AC24" si="30">Z24/X24</f>
        <v>1</v>
      </c>
      <c r="AC24" s="24">
        <f t="shared" ca="1" si="30"/>
        <v>1</v>
      </c>
      <c r="AD24" s="25">
        <f t="shared" ca="1" si="22"/>
        <v>1</v>
      </c>
      <c r="AE24" s="23"/>
      <c r="AF24" s="23"/>
      <c r="AG24" s="23"/>
      <c r="AH24" s="23"/>
    </row>
    <row r="25" spans="1:34" ht="14.4" x14ac:dyDescent="0.3">
      <c r="A25" s="16"/>
      <c r="B25" s="27"/>
      <c r="C25" s="18" t="str">
        <f>LOOKUP(F25,BD!C:C,BD!A:A)</f>
        <v>DAVID MAURICIO</v>
      </c>
      <c r="D25" s="18" t="str">
        <f>LOOKUP(F25,BD!C:C,BD!B:B)</f>
        <v>VARGAS ALZATE</v>
      </c>
      <c r="E25" s="18">
        <v>3118326648</v>
      </c>
      <c r="F25" s="18">
        <v>1017206880</v>
      </c>
      <c r="G25" s="18">
        <f>LOOKUP(F25,BD!C:C,BD!D:D)</f>
        <v>5198721</v>
      </c>
      <c r="H25" s="19" t="s">
        <v>30</v>
      </c>
      <c r="I25" s="19" t="s">
        <v>30</v>
      </c>
      <c r="J25" s="19" t="s">
        <v>30</v>
      </c>
      <c r="K25" s="19" t="s">
        <v>30</v>
      </c>
      <c r="L25" s="20">
        <v>46080</v>
      </c>
      <c r="M25" s="20">
        <f t="shared" si="20"/>
        <v>46810</v>
      </c>
      <c r="N25" s="21">
        <f t="shared" ca="1" si="0"/>
        <v>588.49944016203517</v>
      </c>
      <c r="O25" s="22" t="str">
        <f t="shared" ca="1" si="1"/>
        <v>VIGENTE</v>
      </c>
      <c r="P25" s="20">
        <v>46083</v>
      </c>
      <c r="Q25" s="20">
        <f t="shared" si="28"/>
        <v>46448</v>
      </c>
      <c r="R25" s="21">
        <f t="shared" ca="1" si="2"/>
        <v>226.49944016203517</v>
      </c>
      <c r="S25" s="22" t="str">
        <f t="shared" ca="1" si="3"/>
        <v>VIGENTE</v>
      </c>
      <c r="T25" s="20">
        <v>46081</v>
      </c>
      <c r="U25" s="20">
        <f t="shared" si="26"/>
        <v>46446</v>
      </c>
      <c r="V25" s="21">
        <f t="shared" ca="1" si="4"/>
        <v>224.49944016203517</v>
      </c>
      <c r="W25" s="22" t="str">
        <f t="shared" ca="1" si="5"/>
        <v>VIGENTE</v>
      </c>
      <c r="X25" s="23">
        <v>4</v>
      </c>
      <c r="Y25" s="23">
        <v>3</v>
      </c>
      <c r="Z25" s="23">
        <f t="shared" si="6"/>
        <v>4</v>
      </c>
      <c r="AA25" s="23">
        <f t="shared" ca="1" si="7"/>
        <v>3</v>
      </c>
      <c r="AB25" s="24">
        <f t="shared" ref="AB25:AC25" si="31">Z25/X25</f>
        <v>1</v>
      </c>
      <c r="AC25" s="24">
        <f t="shared" ca="1" si="31"/>
        <v>1</v>
      </c>
      <c r="AD25" s="25">
        <f t="shared" ca="1" si="22"/>
        <v>1</v>
      </c>
      <c r="AE25" s="23"/>
      <c r="AF25" s="23"/>
      <c r="AG25" s="23"/>
      <c r="AH25" s="23"/>
    </row>
    <row r="26" spans="1:34" ht="14.4" x14ac:dyDescent="0.3">
      <c r="A26" s="30"/>
      <c r="B26" s="27"/>
      <c r="C26" s="18" t="str">
        <f>LOOKUP(F26,BD!C:C,BD!A:A)</f>
        <v>DIANA MILENA</v>
      </c>
      <c r="D26" s="18" t="str">
        <f>LOOKUP(F26,BD!C:C,BD!B:B)</f>
        <v>ZEA VELASQUEZ</v>
      </c>
      <c r="E26" s="18">
        <v>3023710054</v>
      </c>
      <c r="F26" s="18">
        <v>43209905</v>
      </c>
      <c r="G26" s="18">
        <f>LOOKUP(F26,BD!C:C,BD!D:D)</f>
        <v>5067220</v>
      </c>
      <c r="H26" s="19" t="s">
        <v>30</v>
      </c>
      <c r="I26" s="19" t="s">
        <v>30</v>
      </c>
      <c r="J26" s="19" t="s">
        <v>30</v>
      </c>
      <c r="K26" s="19" t="s">
        <v>30</v>
      </c>
      <c r="L26" s="28">
        <v>46153</v>
      </c>
      <c r="M26" s="20">
        <f t="shared" ref="M26:M27" si="32">L26+730</f>
        <v>46883</v>
      </c>
      <c r="N26" s="21">
        <f t="shared" ca="1" si="0"/>
        <v>661.49944016203517</v>
      </c>
      <c r="O26" s="22" t="str">
        <f t="shared" ca="1" si="1"/>
        <v>VIGENTE</v>
      </c>
      <c r="P26" s="28">
        <v>46162</v>
      </c>
      <c r="Q26" s="20">
        <f t="shared" ref="Q26:Q27" si="33">P26+730</f>
        <v>46892</v>
      </c>
      <c r="R26" s="21">
        <f t="shared" ca="1" si="2"/>
        <v>670.49944016203517</v>
      </c>
      <c r="S26" s="22" t="str">
        <f t="shared" ca="1" si="3"/>
        <v>VIGENTE</v>
      </c>
      <c r="T26" s="28">
        <v>46153</v>
      </c>
      <c r="U26" s="20">
        <f t="shared" ref="U26:U27" si="34">T26+730</f>
        <v>46883</v>
      </c>
      <c r="V26" s="21">
        <f t="shared" ca="1" si="4"/>
        <v>661.49944016203517</v>
      </c>
      <c r="W26" s="22" t="str">
        <f t="shared" ca="1" si="5"/>
        <v>VIGENTE</v>
      </c>
      <c r="X26" s="23">
        <v>4</v>
      </c>
      <c r="Y26" s="23">
        <v>3</v>
      </c>
      <c r="Z26" s="23">
        <f t="shared" si="6"/>
        <v>4</v>
      </c>
      <c r="AA26" s="23">
        <f t="shared" ca="1" si="7"/>
        <v>3</v>
      </c>
      <c r="AB26" s="24">
        <f t="shared" ref="AB26:AC26" si="35">Z26/X26</f>
        <v>1</v>
      </c>
      <c r="AC26" s="24">
        <f t="shared" ca="1" si="35"/>
        <v>1</v>
      </c>
      <c r="AD26" s="25">
        <f t="shared" ref="AD26:AD27" ca="1" si="36">(Z26+AA26)/7</f>
        <v>1</v>
      </c>
      <c r="AE26" s="23"/>
      <c r="AF26" s="23"/>
      <c r="AG26" s="23"/>
      <c r="AH26" s="23"/>
    </row>
    <row r="27" spans="1:34" ht="14.4" x14ac:dyDescent="0.3">
      <c r="A27" s="30"/>
      <c r="B27" s="27"/>
      <c r="C27" s="18" t="str">
        <f>LOOKUP(F27,BD!C:C,BD!A:A)</f>
        <v>DIEGO ALEJANDRO</v>
      </c>
      <c r="D27" s="18" t="str">
        <f>LOOKUP(F27,BD!C:C,BD!B:B)</f>
        <v>GUIRALES TANGARIFE</v>
      </c>
      <c r="E27" s="18">
        <v>3013284893</v>
      </c>
      <c r="F27" s="18">
        <v>1020430557</v>
      </c>
      <c r="G27" s="18">
        <f>LOOKUP(F27,BD!C:C,BD!D:D)</f>
        <v>5511823</v>
      </c>
      <c r="H27" s="19" t="s">
        <v>30</v>
      </c>
      <c r="I27" s="19" t="s">
        <v>30</v>
      </c>
      <c r="J27" s="19" t="s">
        <v>30</v>
      </c>
      <c r="K27" s="19" t="s">
        <v>30</v>
      </c>
      <c r="L27" s="28">
        <v>45795</v>
      </c>
      <c r="M27" s="20">
        <f t="shared" si="32"/>
        <v>46525</v>
      </c>
      <c r="N27" s="21">
        <f t="shared" ca="1" si="0"/>
        <v>303.49944016203517</v>
      </c>
      <c r="O27" s="22" t="str">
        <f t="shared" ca="1" si="1"/>
        <v>VIGENTE</v>
      </c>
      <c r="P27" s="28">
        <v>45795</v>
      </c>
      <c r="Q27" s="20">
        <f t="shared" si="33"/>
        <v>46525</v>
      </c>
      <c r="R27" s="21">
        <f t="shared" ca="1" si="2"/>
        <v>303.49944016203517</v>
      </c>
      <c r="S27" s="22" t="str">
        <f t="shared" ca="1" si="3"/>
        <v>VIGENTE</v>
      </c>
      <c r="T27" s="28">
        <v>45795</v>
      </c>
      <c r="U27" s="20">
        <f t="shared" si="34"/>
        <v>46525</v>
      </c>
      <c r="V27" s="21">
        <f t="shared" ca="1" si="4"/>
        <v>303.49944016203517</v>
      </c>
      <c r="W27" s="22" t="str">
        <f t="shared" ca="1" si="5"/>
        <v>VIGENTE</v>
      </c>
      <c r="X27" s="23">
        <v>4</v>
      </c>
      <c r="Y27" s="23">
        <v>3</v>
      </c>
      <c r="Z27" s="23">
        <f t="shared" si="6"/>
        <v>4</v>
      </c>
      <c r="AA27" s="23">
        <f t="shared" ca="1" si="7"/>
        <v>3</v>
      </c>
      <c r="AB27" s="24">
        <f t="shared" ref="AB27:AC27" si="37">Z27/X27</f>
        <v>1</v>
      </c>
      <c r="AC27" s="24">
        <f t="shared" ca="1" si="37"/>
        <v>1</v>
      </c>
      <c r="AD27" s="25">
        <f t="shared" ca="1" si="36"/>
        <v>1</v>
      </c>
      <c r="AE27" s="23"/>
      <c r="AF27" s="23"/>
      <c r="AG27" s="23"/>
      <c r="AH27" s="23"/>
    </row>
    <row r="28" spans="1:34" ht="14.4" x14ac:dyDescent="0.3">
      <c r="A28" s="30"/>
      <c r="B28" s="27"/>
      <c r="C28" s="18" t="str">
        <f>LOOKUP(F28,BD!C:C,BD!A:A)</f>
        <v>EDWAR MAURICIO</v>
      </c>
      <c r="D28" s="18" t="str">
        <f>LOOKUP(F28,BD!C:C,BD!B:B)</f>
        <v>BORJA USUGA</v>
      </c>
      <c r="E28" s="18">
        <v>3184079433</v>
      </c>
      <c r="F28" s="18">
        <v>1038803821</v>
      </c>
      <c r="G28" s="18">
        <f>LOOKUP(F28,BD!C:C,BD!D:D)</f>
        <v>8058</v>
      </c>
      <c r="H28" s="19" t="s">
        <v>30</v>
      </c>
      <c r="I28" s="19" t="s">
        <v>30</v>
      </c>
      <c r="J28" s="19" t="s">
        <v>30</v>
      </c>
      <c r="K28" s="19" t="s">
        <v>30</v>
      </c>
      <c r="L28" s="20">
        <v>45492</v>
      </c>
      <c r="M28" s="20">
        <f t="shared" ref="M28:M30" si="38">L28+730</f>
        <v>46222</v>
      </c>
      <c r="N28" s="21">
        <f t="shared" ca="1" si="0"/>
        <v>0.49944016203517094</v>
      </c>
      <c r="O28" s="22" t="str">
        <f t="shared" ca="1" si="1"/>
        <v>NO CUMPLE</v>
      </c>
      <c r="P28" s="20">
        <v>46122</v>
      </c>
      <c r="Q28" s="20">
        <f>P28+365</f>
        <v>46487</v>
      </c>
      <c r="R28" s="21">
        <f t="shared" ca="1" si="2"/>
        <v>265.49944016203517</v>
      </c>
      <c r="S28" s="22" t="str">
        <f t="shared" ca="1" si="3"/>
        <v>VIGENTE</v>
      </c>
      <c r="T28" s="20">
        <v>46072</v>
      </c>
      <c r="U28" s="20">
        <f>T28+365</f>
        <v>46437</v>
      </c>
      <c r="V28" s="21">
        <f t="shared" ca="1" si="4"/>
        <v>215.49944016203517</v>
      </c>
      <c r="W28" s="22" t="str">
        <f t="shared" ca="1" si="5"/>
        <v>VIGENTE</v>
      </c>
      <c r="X28" s="23">
        <v>4</v>
      </c>
      <c r="Y28" s="23">
        <v>3</v>
      </c>
      <c r="Z28" s="23">
        <f t="shared" si="6"/>
        <v>4</v>
      </c>
      <c r="AA28" s="23">
        <f t="shared" ca="1" si="7"/>
        <v>2</v>
      </c>
      <c r="AB28" s="24">
        <f t="shared" ref="AB28:AC28" si="39">Z28/X28</f>
        <v>1</v>
      </c>
      <c r="AC28" s="24">
        <f t="shared" ca="1" si="39"/>
        <v>0.66666666666666663</v>
      </c>
      <c r="AD28" s="25">
        <f t="shared" ref="AD28:AD30" ca="1" si="40">(Z28+AA28)/7</f>
        <v>0.8571428571428571</v>
      </c>
      <c r="AE28" s="23"/>
      <c r="AF28" s="23"/>
      <c r="AG28" s="23"/>
      <c r="AH28" s="23"/>
    </row>
    <row r="29" spans="1:34" ht="14.4" x14ac:dyDescent="0.3">
      <c r="A29" s="30"/>
      <c r="B29" s="27"/>
      <c r="C29" s="18" t="str">
        <f>LOOKUP(F29,BD!C:C,BD!A:A)</f>
        <v>ELIANA</v>
      </c>
      <c r="D29" s="18" t="str">
        <f>LOOKUP(F29,BD!C:C,BD!B:B)</f>
        <v>ZAPATA TORRES</v>
      </c>
      <c r="E29" s="18">
        <v>3015946639</v>
      </c>
      <c r="F29" s="18">
        <v>1001463828</v>
      </c>
      <c r="G29" s="18">
        <f>LOOKUP(F29,BD!C:C,BD!D:D)</f>
        <v>25060005710</v>
      </c>
      <c r="H29" s="19" t="s">
        <v>30</v>
      </c>
      <c r="I29" s="19" t="s">
        <v>30</v>
      </c>
      <c r="J29" s="19" t="s">
        <v>30</v>
      </c>
      <c r="K29" s="19" t="s">
        <v>30</v>
      </c>
      <c r="L29" s="20">
        <v>46022</v>
      </c>
      <c r="M29" s="20">
        <f t="shared" si="38"/>
        <v>46752</v>
      </c>
      <c r="N29" s="21">
        <f t="shared" ca="1" si="0"/>
        <v>530.49944016203517</v>
      </c>
      <c r="O29" s="22" t="str">
        <f t="shared" ca="1" si="1"/>
        <v>VIGENTE</v>
      </c>
      <c r="P29" s="20">
        <v>45732</v>
      </c>
      <c r="Q29" s="20">
        <f t="shared" ref="Q29:Q30" si="41">P29+730</f>
        <v>46462</v>
      </c>
      <c r="R29" s="21">
        <f t="shared" ca="1" si="2"/>
        <v>240.49944016203517</v>
      </c>
      <c r="S29" s="22" t="str">
        <f t="shared" ca="1" si="3"/>
        <v>VIGENTE</v>
      </c>
      <c r="T29" s="20">
        <v>45732</v>
      </c>
      <c r="U29" s="20">
        <f>T29+730</f>
        <v>46462</v>
      </c>
      <c r="V29" s="21">
        <f t="shared" ca="1" si="4"/>
        <v>240.49944016203517</v>
      </c>
      <c r="W29" s="22" t="str">
        <f t="shared" ca="1" si="5"/>
        <v>VIGENTE</v>
      </c>
      <c r="X29" s="23">
        <v>4</v>
      </c>
      <c r="Y29" s="23">
        <v>3</v>
      </c>
      <c r="Z29" s="23">
        <f t="shared" si="6"/>
        <v>4</v>
      </c>
      <c r="AA29" s="23">
        <f t="shared" ca="1" si="7"/>
        <v>3</v>
      </c>
      <c r="AB29" s="24">
        <f t="shared" ref="AB29:AC29" si="42">Z29/X29</f>
        <v>1</v>
      </c>
      <c r="AC29" s="24">
        <f t="shared" ca="1" si="42"/>
        <v>1</v>
      </c>
      <c r="AD29" s="25">
        <f t="shared" ca="1" si="40"/>
        <v>1</v>
      </c>
      <c r="AE29" s="23"/>
      <c r="AF29" s="23"/>
      <c r="AG29" s="23"/>
      <c r="AH29" s="23"/>
    </row>
    <row r="30" spans="1:34" ht="14.4" x14ac:dyDescent="0.3">
      <c r="A30" s="30"/>
      <c r="B30" s="27"/>
      <c r="C30" s="18" t="str">
        <f>LOOKUP(F30,BD!C:C,BD!A:A)</f>
        <v>ELIZABETH</v>
      </c>
      <c r="D30" s="18" t="str">
        <f>LOOKUP(F30,BD!C:C,BD!B:B)</f>
        <v>GALEANO GUERRERO</v>
      </c>
      <c r="E30" s="18">
        <v>3107359109</v>
      </c>
      <c r="F30" s="18">
        <v>1000395063</v>
      </c>
      <c r="G30" s="18">
        <f>LOOKUP(F30,BD!C:C,BD!D:D)</f>
        <v>5371218</v>
      </c>
      <c r="H30" s="19" t="s">
        <v>30</v>
      </c>
      <c r="I30" s="19" t="s">
        <v>30</v>
      </c>
      <c r="J30" s="19" t="s">
        <v>30</v>
      </c>
      <c r="K30" s="19" t="s">
        <v>30</v>
      </c>
      <c r="L30" s="20">
        <v>45849</v>
      </c>
      <c r="M30" s="20">
        <f t="shared" si="38"/>
        <v>46579</v>
      </c>
      <c r="N30" s="21">
        <f t="shared" ca="1" si="0"/>
        <v>357.49944016203517</v>
      </c>
      <c r="O30" s="22" t="str">
        <f t="shared" ca="1" si="1"/>
        <v>VIGENTE</v>
      </c>
      <c r="P30" s="20">
        <v>46017</v>
      </c>
      <c r="Q30" s="20">
        <f t="shared" si="41"/>
        <v>46747</v>
      </c>
      <c r="R30" s="21">
        <f t="shared" ca="1" si="2"/>
        <v>525.49944016203517</v>
      </c>
      <c r="S30" s="22" t="str">
        <f t="shared" ca="1" si="3"/>
        <v>VIGENTE</v>
      </c>
      <c r="T30" s="20">
        <v>46043</v>
      </c>
      <c r="U30" s="20">
        <f>T30+365</f>
        <v>46408</v>
      </c>
      <c r="V30" s="21">
        <f t="shared" ca="1" si="4"/>
        <v>186.49944016203517</v>
      </c>
      <c r="W30" s="22" t="str">
        <f t="shared" ca="1" si="5"/>
        <v>VIGENTE</v>
      </c>
      <c r="X30" s="23">
        <v>4</v>
      </c>
      <c r="Y30" s="23">
        <v>3</v>
      </c>
      <c r="Z30" s="23">
        <f t="shared" si="6"/>
        <v>4</v>
      </c>
      <c r="AA30" s="23">
        <f t="shared" ca="1" si="7"/>
        <v>3</v>
      </c>
      <c r="AB30" s="24">
        <f t="shared" ref="AB30:AC30" si="43">Z30/X30</f>
        <v>1</v>
      </c>
      <c r="AC30" s="24">
        <f t="shared" ca="1" si="43"/>
        <v>1</v>
      </c>
      <c r="AD30" s="25">
        <f t="shared" ca="1" si="40"/>
        <v>1</v>
      </c>
      <c r="AE30" s="23"/>
      <c r="AF30" s="23"/>
      <c r="AG30" s="23"/>
      <c r="AH30" s="23"/>
    </row>
    <row r="31" spans="1:34" ht="14.4" x14ac:dyDescent="0.3">
      <c r="A31" s="30"/>
      <c r="B31" s="27"/>
      <c r="C31" s="18" t="str">
        <f>LOOKUP(F31,BD!C:C,BD!A:A)</f>
        <v>ERIKA YOHANA</v>
      </c>
      <c r="D31" s="18" t="str">
        <f>LOOKUP(F31,BD!C:C,BD!B:B)</f>
        <v>MARTINEZ ECHAVARRIA</v>
      </c>
      <c r="E31" s="18">
        <v>3113647180</v>
      </c>
      <c r="F31" s="18">
        <v>1007387903</v>
      </c>
      <c r="G31" s="18">
        <f>LOOKUP(F31,BD!C:C,BD!D:D)</f>
        <v>5185522</v>
      </c>
      <c r="H31" s="19" t="s">
        <v>30</v>
      </c>
      <c r="I31" s="19" t="s">
        <v>30</v>
      </c>
      <c r="J31" s="19" t="s">
        <v>30</v>
      </c>
      <c r="K31" s="19" t="s">
        <v>30</v>
      </c>
      <c r="L31" s="28">
        <v>45467</v>
      </c>
      <c r="M31" s="20">
        <f t="shared" ref="M31:M33" si="44">L31+730</f>
        <v>46197</v>
      </c>
      <c r="N31" s="21">
        <f t="shared" ca="1" si="0"/>
        <v>-24.500559837964829</v>
      </c>
      <c r="O31" s="22" t="str">
        <f t="shared" ca="1" si="1"/>
        <v>NO CUMPLE</v>
      </c>
      <c r="P31" s="28">
        <v>45811</v>
      </c>
      <c r="Q31" s="20">
        <f t="shared" ref="Q31:Q33" si="45">P31+730</f>
        <v>46541</v>
      </c>
      <c r="R31" s="21">
        <f t="shared" ca="1" si="2"/>
        <v>319.49944016203517</v>
      </c>
      <c r="S31" s="22" t="str">
        <f t="shared" ca="1" si="3"/>
        <v>VIGENTE</v>
      </c>
      <c r="T31" s="28">
        <v>46135</v>
      </c>
      <c r="U31" s="20">
        <f>T31+730</f>
        <v>46865</v>
      </c>
      <c r="V31" s="21">
        <f t="shared" ca="1" si="4"/>
        <v>643.49944016203517</v>
      </c>
      <c r="W31" s="22" t="str">
        <f t="shared" ca="1" si="5"/>
        <v>VIGENTE</v>
      </c>
      <c r="X31" s="23">
        <v>4</v>
      </c>
      <c r="Y31" s="23">
        <v>3</v>
      </c>
      <c r="Z31" s="23">
        <f t="shared" si="6"/>
        <v>4</v>
      </c>
      <c r="AA31" s="23">
        <f t="shared" ca="1" si="7"/>
        <v>2</v>
      </c>
      <c r="AB31" s="24">
        <f t="shared" ref="AB31:AC31" si="46">Z31/X31</f>
        <v>1</v>
      </c>
      <c r="AC31" s="24">
        <f t="shared" ca="1" si="46"/>
        <v>0.66666666666666663</v>
      </c>
      <c r="AD31" s="25">
        <f t="shared" ref="AD31:AD37" ca="1" si="47">(Z31+AA31)/7</f>
        <v>0.8571428571428571</v>
      </c>
      <c r="AE31" s="23"/>
      <c r="AF31" s="23"/>
      <c r="AG31" s="23"/>
      <c r="AH31" s="23"/>
    </row>
    <row r="32" spans="1:34" ht="14.4" x14ac:dyDescent="0.3">
      <c r="A32" s="30"/>
      <c r="B32" s="27"/>
      <c r="C32" s="18" t="str">
        <f>LOOKUP(F32,BD!C:C,BD!A:A)</f>
        <v>FABIANA MERCED</v>
      </c>
      <c r="D32" s="18" t="str">
        <f>LOOKUP(F32,BD!C:C,BD!B:B)</f>
        <v>TREJO</v>
      </c>
      <c r="E32" s="18">
        <v>3215949046</v>
      </c>
      <c r="F32" s="18">
        <v>1007768304</v>
      </c>
      <c r="G32" s="18">
        <f>LOOKUP(F32,BD!C:C,BD!D:D)</f>
        <v>5613621</v>
      </c>
      <c r="H32" s="19" t="s">
        <v>30</v>
      </c>
      <c r="I32" s="19" t="s">
        <v>30</v>
      </c>
      <c r="J32" s="19" t="s">
        <v>30</v>
      </c>
      <c r="K32" s="19" t="s">
        <v>30</v>
      </c>
      <c r="L32" s="20">
        <v>45849</v>
      </c>
      <c r="M32" s="20">
        <f t="shared" si="44"/>
        <v>46579</v>
      </c>
      <c r="N32" s="21">
        <f t="shared" ca="1" si="0"/>
        <v>357.49944016203517</v>
      </c>
      <c r="O32" s="22" t="str">
        <f t="shared" ca="1" si="1"/>
        <v>VIGENTE</v>
      </c>
      <c r="P32" s="20">
        <v>46009</v>
      </c>
      <c r="Q32" s="20">
        <f t="shared" si="45"/>
        <v>46739</v>
      </c>
      <c r="R32" s="21">
        <f t="shared" ca="1" si="2"/>
        <v>517.49944016203517</v>
      </c>
      <c r="S32" s="22" t="str">
        <f t="shared" ca="1" si="3"/>
        <v>VIGENTE</v>
      </c>
      <c r="T32" s="20">
        <v>46042</v>
      </c>
      <c r="U32" s="20">
        <f>T32+365</f>
        <v>46407</v>
      </c>
      <c r="V32" s="21">
        <f t="shared" ca="1" si="4"/>
        <v>185.49944016203517</v>
      </c>
      <c r="W32" s="22" t="str">
        <f t="shared" ca="1" si="5"/>
        <v>VIGENTE</v>
      </c>
      <c r="X32" s="23">
        <v>4</v>
      </c>
      <c r="Y32" s="23">
        <v>3</v>
      </c>
      <c r="Z32" s="23">
        <f t="shared" si="6"/>
        <v>4</v>
      </c>
      <c r="AA32" s="23">
        <f t="shared" ca="1" si="7"/>
        <v>3</v>
      </c>
      <c r="AB32" s="24">
        <f t="shared" ref="AB32:AC32" si="48">Z32/X32</f>
        <v>1</v>
      </c>
      <c r="AC32" s="24">
        <f t="shared" ca="1" si="48"/>
        <v>1</v>
      </c>
      <c r="AD32" s="25">
        <f t="shared" ca="1" si="47"/>
        <v>1</v>
      </c>
      <c r="AE32" s="23"/>
      <c r="AF32" s="23"/>
      <c r="AG32" s="23"/>
      <c r="AH32" s="23"/>
    </row>
    <row r="33" spans="1:34" ht="14.4" x14ac:dyDescent="0.3">
      <c r="A33" s="30"/>
      <c r="B33" s="27"/>
      <c r="C33" s="18" t="str">
        <f>LOOKUP(F33,BD!C:C,BD!A:A)</f>
        <v>GUATAVO LORENZO</v>
      </c>
      <c r="D33" s="18" t="str">
        <f>LOOKUP(F33,BD!C:C,BD!B:B)</f>
        <v>CAMARGO SOLANO</v>
      </c>
      <c r="E33" s="18">
        <v>3237569066</v>
      </c>
      <c r="F33" s="18">
        <v>1124004179</v>
      </c>
      <c r="G33" s="18">
        <f>LOOKUP(F33,BD!C:C,BD!D:D)</f>
        <v>590</v>
      </c>
      <c r="H33" s="19" t="s">
        <v>30</v>
      </c>
      <c r="I33" s="19" t="s">
        <v>30</v>
      </c>
      <c r="J33" s="19" t="s">
        <v>30</v>
      </c>
      <c r="K33" s="19" t="s">
        <v>30</v>
      </c>
      <c r="L33" s="28">
        <v>46162</v>
      </c>
      <c r="M33" s="20">
        <f t="shared" si="44"/>
        <v>46892</v>
      </c>
      <c r="N33" s="21">
        <f t="shared" ca="1" si="0"/>
        <v>670.49944016203517</v>
      </c>
      <c r="O33" s="22" t="str">
        <f t="shared" ca="1" si="1"/>
        <v>VIGENTE</v>
      </c>
      <c r="P33" s="28">
        <v>46162</v>
      </c>
      <c r="Q33" s="20">
        <f t="shared" si="45"/>
        <v>46892</v>
      </c>
      <c r="R33" s="21">
        <f t="shared" ca="1" si="2"/>
        <v>670.49944016203517</v>
      </c>
      <c r="S33" s="22" t="str">
        <f t="shared" ca="1" si="3"/>
        <v>VIGENTE</v>
      </c>
      <c r="T33" s="28">
        <v>46162</v>
      </c>
      <c r="U33" s="20">
        <f>T33+730</f>
        <v>46892</v>
      </c>
      <c r="V33" s="21">
        <f t="shared" ca="1" si="4"/>
        <v>670.49944016203517</v>
      </c>
      <c r="W33" s="22" t="str">
        <f t="shared" ca="1" si="5"/>
        <v>VIGENTE</v>
      </c>
      <c r="X33" s="23">
        <v>4</v>
      </c>
      <c r="Y33" s="23">
        <v>3</v>
      </c>
      <c r="Z33" s="23">
        <f t="shared" si="6"/>
        <v>4</v>
      </c>
      <c r="AA33" s="23">
        <f t="shared" ca="1" si="7"/>
        <v>3</v>
      </c>
      <c r="AB33" s="24">
        <f t="shared" ref="AB33:AC33" si="49">Z33/X33</f>
        <v>1</v>
      </c>
      <c r="AC33" s="24">
        <f t="shared" ca="1" si="49"/>
        <v>1</v>
      </c>
      <c r="AD33" s="25">
        <f t="shared" ca="1" si="47"/>
        <v>1</v>
      </c>
      <c r="AE33" s="23"/>
      <c r="AF33" s="23"/>
      <c r="AG33" s="23"/>
      <c r="AH33" s="23"/>
    </row>
    <row r="34" spans="1:34" ht="14.4" x14ac:dyDescent="0.3">
      <c r="A34" s="30"/>
      <c r="B34" s="27"/>
      <c r="C34" s="18" t="str">
        <f>LOOKUP(F34,BD!C:C,BD!A:A)</f>
        <v>HEIDY VALERIA</v>
      </c>
      <c r="D34" s="18" t="str">
        <f>LOOKUP(F34,BD!C:C,BD!B:B)</f>
        <v>GARCES VALENCIA</v>
      </c>
      <c r="E34" s="18">
        <v>3168983212</v>
      </c>
      <c r="F34" s="18">
        <v>1025881886</v>
      </c>
      <c r="G34" s="18">
        <f>LOOKUP(F34,BD!C:C,BD!D:D)</f>
        <v>5439623</v>
      </c>
      <c r="H34" s="19" t="s">
        <v>30</v>
      </c>
      <c r="I34" s="19" t="s">
        <v>30</v>
      </c>
      <c r="J34" s="19" t="s">
        <v>30</v>
      </c>
      <c r="K34" s="19" t="s">
        <v>30</v>
      </c>
      <c r="L34" s="20">
        <v>46005</v>
      </c>
      <c r="M34" s="20">
        <f>L34+365</f>
        <v>46370</v>
      </c>
      <c r="N34" s="21">
        <f t="shared" ca="1" si="0"/>
        <v>148.49944016203517</v>
      </c>
      <c r="O34" s="22" t="str">
        <f t="shared" ca="1" si="1"/>
        <v>VIGENTE</v>
      </c>
      <c r="P34" s="20">
        <v>46005</v>
      </c>
      <c r="Q34" s="20">
        <f>P34+365</f>
        <v>46370</v>
      </c>
      <c r="R34" s="21">
        <f t="shared" ca="1" si="2"/>
        <v>148.49944016203517</v>
      </c>
      <c r="S34" s="22" t="str">
        <f t="shared" ca="1" si="3"/>
        <v>VIGENTE</v>
      </c>
      <c r="T34" s="20">
        <v>46005</v>
      </c>
      <c r="U34" s="20">
        <f>T34+365</f>
        <v>46370</v>
      </c>
      <c r="V34" s="21">
        <f t="shared" ca="1" si="4"/>
        <v>148.49944016203517</v>
      </c>
      <c r="W34" s="22" t="str">
        <f t="shared" ca="1" si="5"/>
        <v>VIGENTE</v>
      </c>
      <c r="X34" s="23">
        <v>4</v>
      </c>
      <c r="Y34" s="23">
        <v>3</v>
      </c>
      <c r="Z34" s="23">
        <f t="shared" si="6"/>
        <v>4</v>
      </c>
      <c r="AA34" s="23">
        <f t="shared" ca="1" si="7"/>
        <v>3</v>
      </c>
      <c r="AB34" s="24">
        <f t="shared" ref="AB34:AC34" si="50">Z34/X34</f>
        <v>1</v>
      </c>
      <c r="AC34" s="24">
        <f t="shared" ca="1" si="50"/>
        <v>1</v>
      </c>
      <c r="AD34" s="25">
        <f t="shared" ca="1" si="47"/>
        <v>1</v>
      </c>
      <c r="AE34" s="23"/>
      <c r="AF34" s="23"/>
      <c r="AG34" s="23"/>
      <c r="AH34" s="23"/>
    </row>
    <row r="35" spans="1:34" ht="14.4" x14ac:dyDescent="0.3">
      <c r="A35" s="30"/>
      <c r="B35" s="27"/>
      <c r="C35" s="18" t="str">
        <f>LOOKUP(F35,BD!C:C,BD!A:A)</f>
        <v>HELEN VANESSA</v>
      </c>
      <c r="D35" s="18" t="str">
        <f>LOOKUP(F35,BD!C:C,BD!B:B)</f>
        <v>VARGAS PEREZ</v>
      </c>
      <c r="E35" s="18">
        <v>3104710721</v>
      </c>
      <c r="F35" s="18">
        <v>1033655581</v>
      </c>
      <c r="G35" s="18">
        <f>LOOKUP(F35,BD!C:C,BD!D:D)</f>
        <v>5250118</v>
      </c>
      <c r="H35" s="19" t="s">
        <v>30</v>
      </c>
      <c r="I35" s="19" t="s">
        <v>30</v>
      </c>
      <c r="J35" s="19" t="s">
        <v>30</v>
      </c>
      <c r="K35" s="19" t="s">
        <v>30</v>
      </c>
      <c r="L35" s="28">
        <v>46190</v>
      </c>
      <c r="M35" s="20">
        <f>L35+730</f>
        <v>46920</v>
      </c>
      <c r="N35" s="21">
        <f t="shared" ca="1" si="0"/>
        <v>698.49944016203517</v>
      </c>
      <c r="O35" s="22" t="str">
        <f t="shared" ca="1" si="1"/>
        <v>VIGENTE</v>
      </c>
      <c r="P35" s="28">
        <v>46195</v>
      </c>
      <c r="Q35" s="20">
        <f>P35+730</f>
        <v>46925</v>
      </c>
      <c r="R35" s="21">
        <f t="shared" ca="1" si="2"/>
        <v>703.49944016203517</v>
      </c>
      <c r="S35" s="22" t="str">
        <f t="shared" ca="1" si="3"/>
        <v>VIGENTE</v>
      </c>
      <c r="T35" s="28">
        <v>46200</v>
      </c>
      <c r="U35" s="20">
        <f>T35+730</f>
        <v>46930</v>
      </c>
      <c r="V35" s="21">
        <f t="shared" ca="1" si="4"/>
        <v>708.49944016203517</v>
      </c>
      <c r="W35" s="22" t="str">
        <f t="shared" ca="1" si="5"/>
        <v>VIGENTE</v>
      </c>
      <c r="X35" s="23">
        <v>4</v>
      </c>
      <c r="Y35" s="23">
        <v>3</v>
      </c>
      <c r="Z35" s="23">
        <f t="shared" si="6"/>
        <v>4</v>
      </c>
      <c r="AA35" s="23">
        <f t="shared" ca="1" si="7"/>
        <v>3</v>
      </c>
      <c r="AB35" s="24">
        <f t="shared" ref="AB35:AC35" si="51">Z35/X35</f>
        <v>1</v>
      </c>
      <c r="AC35" s="24">
        <f t="shared" ca="1" si="51"/>
        <v>1</v>
      </c>
      <c r="AD35" s="25">
        <f t="shared" ca="1" si="47"/>
        <v>1</v>
      </c>
      <c r="AE35" s="23"/>
      <c r="AF35" s="23"/>
      <c r="AG35" s="23"/>
      <c r="AH35" s="23"/>
    </row>
    <row r="36" spans="1:34" ht="14.4" x14ac:dyDescent="0.3">
      <c r="A36" s="30"/>
      <c r="B36" s="27"/>
      <c r="C36" s="18" t="str">
        <f>LOOKUP(F36,BD!C:C,BD!A:A)</f>
        <v>ISABEL CRISTINA</v>
      </c>
      <c r="D36" s="18" t="str">
        <f>LOOKUP(F36,BD!C:C,BD!B:B)</f>
        <v>POSSO BALDOVINO</v>
      </c>
      <c r="E36" s="18">
        <v>3002616386</v>
      </c>
      <c r="F36" s="18">
        <v>43269224</v>
      </c>
      <c r="G36" s="18">
        <f>LOOKUP(F36,BD!C:C,BD!D:D)</f>
        <v>25060180506</v>
      </c>
      <c r="H36" s="19" t="s">
        <v>30</v>
      </c>
      <c r="I36" s="19" t="s">
        <v>30</v>
      </c>
      <c r="J36" s="19" t="s">
        <v>30</v>
      </c>
      <c r="K36" s="19" t="s">
        <v>30</v>
      </c>
      <c r="L36" s="31">
        <v>45874</v>
      </c>
      <c r="M36" s="20">
        <f>L36+365</f>
        <v>46239</v>
      </c>
      <c r="N36" s="21">
        <f t="shared" ca="1" si="0"/>
        <v>17.499440162035171</v>
      </c>
      <c r="O36" s="22" t="str">
        <f t="shared" ca="1" si="1"/>
        <v>VIGENTE</v>
      </c>
      <c r="P36" s="31">
        <v>45874</v>
      </c>
      <c r="Q36" s="20">
        <f t="shared" ref="Q36:Q37" si="52">P36+365</f>
        <v>46239</v>
      </c>
      <c r="R36" s="21">
        <f t="shared" ca="1" si="2"/>
        <v>17.499440162035171</v>
      </c>
      <c r="S36" s="22" t="str">
        <f t="shared" ca="1" si="3"/>
        <v>VIGENTE</v>
      </c>
      <c r="T36" s="31">
        <v>45874</v>
      </c>
      <c r="U36" s="20">
        <f t="shared" ref="U36:U37" si="53">T36+365</f>
        <v>46239</v>
      </c>
      <c r="V36" s="21">
        <f t="shared" ca="1" si="4"/>
        <v>17.499440162035171</v>
      </c>
      <c r="W36" s="22" t="str">
        <f t="shared" ca="1" si="5"/>
        <v>VIGENTE</v>
      </c>
      <c r="X36" s="23">
        <v>4</v>
      </c>
      <c r="Y36" s="23">
        <v>3</v>
      </c>
      <c r="Z36" s="23">
        <f t="shared" si="6"/>
        <v>4</v>
      </c>
      <c r="AA36" s="23">
        <f t="shared" ca="1" si="7"/>
        <v>3</v>
      </c>
      <c r="AB36" s="24">
        <f t="shared" ref="AB36:AC36" si="54">Z36/X36</f>
        <v>1</v>
      </c>
      <c r="AC36" s="24">
        <f t="shared" ca="1" si="54"/>
        <v>1</v>
      </c>
      <c r="AD36" s="25">
        <f t="shared" ca="1" si="47"/>
        <v>1</v>
      </c>
      <c r="AE36" s="23"/>
      <c r="AF36" s="23"/>
      <c r="AG36" s="23"/>
      <c r="AH36" s="23"/>
    </row>
    <row r="37" spans="1:34" ht="14.4" x14ac:dyDescent="0.3">
      <c r="A37" s="30"/>
      <c r="B37" s="27"/>
      <c r="C37" s="18" t="str">
        <f>LOOKUP(F37,BD!C:C,BD!A:A)</f>
        <v>ISABEL CRISTINA</v>
      </c>
      <c r="D37" s="18" t="str">
        <f>LOOKUP(F37,BD!C:C,BD!B:B)</f>
        <v>TABARES CARMONA</v>
      </c>
      <c r="E37" s="18">
        <v>3112325350</v>
      </c>
      <c r="F37" s="18">
        <v>1015216029</v>
      </c>
      <c r="G37" s="18">
        <f>LOOKUP(F37,BD!C:C,BD!D:D)</f>
        <v>5059023</v>
      </c>
      <c r="H37" s="19" t="s">
        <v>30</v>
      </c>
      <c r="I37" s="19" t="s">
        <v>30</v>
      </c>
      <c r="J37" s="19" t="s">
        <v>30</v>
      </c>
      <c r="K37" s="19" t="s">
        <v>30</v>
      </c>
      <c r="L37" s="20">
        <v>46123</v>
      </c>
      <c r="M37" s="20">
        <f>L37+730</f>
        <v>46853</v>
      </c>
      <c r="N37" s="21">
        <f t="shared" ca="1" si="0"/>
        <v>631.49944016203517</v>
      </c>
      <c r="O37" s="22" t="str">
        <f t="shared" ca="1" si="1"/>
        <v>VIGENTE</v>
      </c>
      <c r="P37" s="20">
        <v>46123</v>
      </c>
      <c r="Q37" s="20">
        <f t="shared" si="52"/>
        <v>46488</v>
      </c>
      <c r="R37" s="21">
        <f t="shared" ca="1" si="2"/>
        <v>266.49944016203517</v>
      </c>
      <c r="S37" s="22" t="str">
        <f t="shared" ca="1" si="3"/>
        <v>VIGENTE</v>
      </c>
      <c r="T37" s="20">
        <v>46123</v>
      </c>
      <c r="U37" s="20">
        <f t="shared" si="53"/>
        <v>46488</v>
      </c>
      <c r="V37" s="21">
        <f t="shared" ca="1" si="4"/>
        <v>266.49944016203517</v>
      </c>
      <c r="W37" s="22" t="str">
        <f t="shared" ca="1" si="5"/>
        <v>VIGENTE</v>
      </c>
      <c r="X37" s="23">
        <v>4</v>
      </c>
      <c r="Y37" s="23">
        <v>3</v>
      </c>
      <c r="Z37" s="23">
        <f t="shared" si="6"/>
        <v>4</v>
      </c>
      <c r="AA37" s="23">
        <f t="shared" ca="1" si="7"/>
        <v>3</v>
      </c>
      <c r="AB37" s="24">
        <f t="shared" ref="AB37:AC37" si="55">Z37/X37</f>
        <v>1</v>
      </c>
      <c r="AC37" s="24">
        <f t="shared" ca="1" si="55"/>
        <v>1</v>
      </c>
      <c r="AD37" s="25">
        <f t="shared" ca="1" si="47"/>
        <v>1</v>
      </c>
      <c r="AE37" s="23"/>
      <c r="AF37" s="23"/>
      <c r="AG37" s="23"/>
      <c r="AH37" s="23"/>
    </row>
    <row r="38" spans="1:34" ht="14.4" x14ac:dyDescent="0.3">
      <c r="A38" s="30"/>
      <c r="B38" s="27"/>
      <c r="C38" s="18" t="str">
        <f>LOOKUP(F38,BD!C:C,BD!A:A)</f>
        <v>JENNIFER VANNESA</v>
      </c>
      <c r="D38" s="18" t="str">
        <f>LOOKUP(F38,BD!C:C,BD!B:B)</f>
        <v>MARULANDA ALDANA</v>
      </c>
      <c r="E38" s="18">
        <v>3228912898</v>
      </c>
      <c r="F38" s="18">
        <v>1017158554</v>
      </c>
      <c r="G38" s="18">
        <f>LOOKUP(F38,BD!C:C,BD!D:D)</f>
        <v>24060418981</v>
      </c>
      <c r="H38" s="19" t="s">
        <v>30</v>
      </c>
      <c r="I38" s="19" t="s">
        <v>30</v>
      </c>
      <c r="J38" s="19" t="s">
        <v>30</v>
      </c>
      <c r="K38" s="19" t="s">
        <v>30</v>
      </c>
      <c r="L38" s="20">
        <v>46088</v>
      </c>
      <c r="M38" s="20">
        <f t="shared" ref="M38:M39" si="56">L38+730</f>
        <v>46818</v>
      </c>
      <c r="N38" s="21">
        <f t="shared" ca="1" si="0"/>
        <v>596.49944016203517</v>
      </c>
      <c r="O38" s="22" t="str">
        <f t="shared" ca="1" si="1"/>
        <v>VIGENTE</v>
      </c>
      <c r="P38" s="20">
        <v>46122</v>
      </c>
      <c r="Q38" s="20">
        <f>P38+730</f>
        <v>46852</v>
      </c>
      <c r="R38" s="21">
        <f t="shared" ca="1" si="2"/>
        <v>630.49944016203517</v>
      </c>
      <c r="S38" s="22" t="str">
        <f t="shared" ca="1" si="3"/>
        <v>VIGENTE</v>
      </c>
      <c r="T38" s="20">
        <v>45636</v>
      </c>
      <c r="U38" s="20">
        <f t="shared" ref="U38:U39" si="57">T38+730</f>
        <v>46366</v>
      </c>
      <c r="V38" s="21">
        <f t="shared" ca="1" si="4"/>
        <v>144.49944016203517</v>
      </c>
      <c r="W38" s="22" t="str">
        <f t="shared" ca="1" si="5"/>
        <v>VIGENTE</v>
      </c>
      <c r="X38" s="23">
        <v>4</v>
      </c>
      <c r="Y38" s="23">
        <v>3</v>
      </c>
      <c r="Z38" s="23">
        <f t="shared" si="6"/>
        <v>4</v>
      </c>
      <c r="AA38" s="23">
        <f t="shared" ca="1" si="7"/>
        <v>3</v>
      </c>
      <c r="AB38" s="24">
        <f t="shared" ref="AB38:AC38" si="58">Z38/X38</f>
        <v>1</v>
      </c>
      <c r="AC38" s="24">
        <f t="shared" ca="1" si="58"/>
        <v>1</v>
      </c>
      <c r="AD38" s="25">
        <f t="shared" ref="AD38:AD40" ca="1" si="59">(Z38+AA38)/7</f>
        <v>1</v>
      </c>
      <c r="AE38" s="23"/>
      <c r="AF38" s="23"/>
      <c r="AG38" s="23"/>
      <c r="AH38" s="23"/>
    </row>
    <row r="39" spans="1:34" ht="14.4" x14ac:dyDescent="0.3">
      <c r="A39" s="30"/>
      <c r="B39" s="27"/>
      <c r="C39" s="18" t="str">
        <f>LOOKUP(F39,BD!C:C,BD!A:A)</f>
        <v>JEYKSON</v>
      </c>
      <c r="D39" s="18" t="str">
        <f>LOOKUP(F39,BD!C:C,BD!B:B)</f>
        <v>BETANCUR MARIN</v>
      </c>
      <c r="E39" s="18">
        <v>3214932959</v>
      </c>
      <c r="F39" s="18">
        <v>98714960</v>
      </c>
      <c r="G39" s="18">
        <f>LOOKUP(F39,BD!C:C,BD!D:D)</f>
        <v>25061010963</v>
      </c>
      <c r="H39" s="19" t="s">
        <v>30</v>
      </c>
      <c r="I39" s="19" t="s">
        <v>30</v>
      </c>
      <c r="J39" s="19" t="s">
        <v>30</v>
      </c>
      <c r="K39" s="19" t="s">
        <v>30</v>
      </c>
      <c r="L39" s="20">
        <v>45854</v>
      </c>
      <c r="M39" s="20">
        <f t="shared" si="56"/>
        <v>46584</v>
      </c>
      <c r="N39" s="21">
        <f t="shared" ca="1" si="0"/>
        <v>362.49944016203517</v>
      </c>
      <c r="O39" s="22" t="str">
        <f t="shared" ca="1" si="1"/>
        <v>VIGENTE</v>
      </c>
      <c r="P39" s="20">
        <v>45854</v>
      </c>
      <c r="Q39" s="20">
        <f>P39+365</f>
        <v>46219</v>
      </c>
      <c r="R39" s="21">
        <f t="shared" ca="1" si="2"/>
        <v>-2.5005598379648291</v>
      </c>
      <c r="S39" s="22" t="str">
        <f t="shared" ca="1" si="3"/>
        <v>NO CUMPLE</v>
      </c>
      <c r="T39" s="20">
        <v>45933</v>
      </c>
      <c r="U39" s="20">
        <f t="shared" si="57"/>
        <v>46663</v>
      </c>
      <c r="V39" s="21">
        <f t="shared" ca="1" si="4"/>
        <v>441.49944016203517</v>
      </c>
      <c r="W39" s="22" t="str">
        <f t="shared" ca="1" si="5"/>
        <v>VIGENTE</v>
      </c>
      <c r="X39" s="23">
        <v>4</v>
      </c>
      <c r="Y39" s="23">
        <v>3</v>
      </c>
      <c r="Z39" s="23">
        <f t="shared" si="6"/>
        <v>4</v>
      </c>
      <c r="AA39" s="23">
        <f t="shared" ca="1" si="7"/>
        <v>2</v>
      </c>
      <c r="AB39" s="24">
        <f t="shared" ref="AB39:AC39" si="60">Z39/X39</f>
        <v>1</v>
      </c>
      <c r="AC39" s="24">
        <f t="shared" ca="1" si="60"/>
        <v>0.66666666666666663</v>
      </c>
      <c r="AD39" s="25">
        <f t="shared" ca="1" si="59"/>
        <v>0.8571428571428571</v>
      </c>
      <c r="AE39" s="23"/>
      <c r="AF39" s="23"/>
      <c r="AG39" s="23"/>
      <c r="AH39" s="23"/>
    </row>
    <row r="40" spans="1:34" ht="14.4" x14ac:dyDescent="0.3">
      <c r="A40" s="30"/>
      <c r="B40" s="27"/>
      <c r="C40" s="18" t="str">
        <f>LOOKUP(F40,BD!C:C,BD!A:A)</f>
        <v>JIMENA YULIET</v>
      </c>
      <c r="D40" s="18" t="str">
        <f>LOOKUP(F40,BD!C:C,BD!B:B)</f>
        <v>CARTAGENA GARCIA</v>
      </c>
      <c r="E40" s="18">
        <v>3233428385</v>
      </c>
      <c r="F40" s="18">
        <v>1020453918</v>
      </c>
      <c r="G40" s="18">
        <f>LOOKUP(F40,BD!C:C,BD!D:D)</f>
        <v>24060078485</v>
      </c>
      <c r="H40" s="19" t="s">
        <v>30</v>
      </c>
      <c r="I40" s="19" t="s">
        <v>30</v>
      </c>
      <c r="J40" s="19" t="s">
        <v>30</v>
      </c>
      <c r="K40" s="19" t="s">
        <v>30</v>
      </c>
      <c r="L40" s="20">
        <v>45459</v>
      </c>
      <c r="M40" s="20">
        <f>L40+730</f>
        <v>46189</v>
      </c>
      <c r="N40" s="21">
        <f t="shared" ca="1" si="0"/>
        <v>-32.500559837964829</v>
      </c>
      <c r="O40" s="22" t="str">
        <f t="shared" ca="1" si="1"/>
        <v>NO CUMPLE</v>
      </c>
      <c r="P40" s="20">
        <v>45467</v>
      </c>
      <c r="Q40" s="20">
        <f>P40+730</f>
        <v>46197</v>
      </c>
      <c r="R40" s="21">
        <f t="shared" ca="1" si="2"/>
        <v>-24.500559837964829</v>
      </c>
      <c r="S40" s="22" t="str">
        <f t="shared" ca="1" si="3"/>
        <v>NO CUMPLE</v>
      </c>
      <c r="T40" s="20">
        <v>45463</v>
      </c>
      <c r="U40" s="20">
        <f>T40+730</f>
        <v>46193</v>
      </c>
      <c r="V40" s="21">
        <f t="shared" ca="1" si="4"/>
        <v>-28.500559837964829</v>
      </c>
      <c r="W40" s="22" t="str">
        <f t="shared" ca="1" si="5"/>
        <v>NO CUMPLE</v>
      </c>
      <c r="X40" s="23">
        <v>4</v>
      </c>
      <c r="Y40" s="23">
        <v>3</v>
      </c>
      <c r="Z40" s="23">
        <f t="shared" si="6"/>
        <v>4</v>
      </c>
      <c r="AA40" s="23">
        <f t="shared" ca="1" si="7"/>
        <v>0</v>
      </c>
      <c r="AB40" s="24">
        <f t="shared" ref="AB40:AC40" si="61">Z40/X40</f>
        <v>1</v>
      </c>
      <c r="AC40" s="24">
        <f t="shared" ca="1" si="61"/>
        <v>0</v>
      </c>
      <c r="AD40" s="25">
        <f t="shared" ca="1" si="59"/>
        <v>0.5714285714285714</v>
      </c>
      <c r="AE40" s="23"/>
      <c r="AF40" s="23"/>
      <c r="AG40" s="23"/>
      <c r="AH40" s="23"/>
    </row>
    <row r="41" spans="1:34" ht="14.4" x14ac:dyDescent="0.3">
      <c r="A41" s="30"/>
      <c r="B41" s="27"/>
      <c r="C41" s="18" t="str">
        <f>LOOKUP(F41,BD!C:C,BD!A:A)</f>
        <v>JOHAN SEBASTIAN</v>
      </c>
      <c r="D41" s="18" t="str">
        <f>LOOKUP(F41,BD!C:C,BD!B:B)</f>
        <v>LOBO JARAMILLO</v>
      </c>
      <c r="E41" s="18">
        <v>3001268663</v>
      </c>
      <c r="F41" s="18">
        <v>1193401088</v>
      </c>
      <c r="G41" s="18">
        <f>LOOKUP(F41,BD!C:C,BD!D:D)</f>
        <v>3657</v>
      </c>
      <c r="H41" s="19" t="s">
        <v>30</v>
      </c>
      <c r="I41" s="19" t="s">
        <v>30</v>
      </c>
      <c r="J41" s="19" t="s">
        <v>30</v>
      </c>
      <c r="K41" s="19" t="s">
        <v>30</v>
      </c>
      <c r="L41" s="28">
        <v>45996</v>
      </c>
      <c r="M41" s="20">
        <f>L41+365</f>
        <v>46361</v>
      </c>
      <c r="N41" s="21">
        <f t="shared" ca="1" si="0"/>
        <v>139.49944016203517</v>
      </c>
      <c r="O41" s="22" t="str">
        <f t="shared" ca="1" si="1"/>
        <v>VIGENTE</v>
      </c>
      <c r="P41" s="28">
        <v>45996</v>
      </c>
      <c r="Q41" s="20">
        <f>P41+365</f>
        <v>46361</v>
      </c>
      <c r="R41" s="21">
        <f t="shared" ca="1" si="2"/>
        <v>139.49944016203517</v>
      </c>
      <c r="S41" s="22" t="str">
        <f t="shared" ca="1" si="3"/>
        <v>VIGENTE</v>
      </c>
      <c r="T41" s="28">
        <v>45996</v>
      </c>
      <c r="U41" s="20">
        <f>T41+365</f>
        <v>46361</v>
      </c>
      <c r="V41" s="21">
        <f t="shared" ca="1" si="4"/>
        <v>139.49944016203517</v>
      </c>
      <c r="W41" s="22" t="str">
        <f t="shared" ca="1" si="5"/>
        <v>VIGENTE</v>
      </c>
      <c r="X41" s="23">
        <v>4</v>
      </c>
      <c r="Y41" s="23">
        <v>3</v>
      </c>
      <c r="Z41" s="23">
        <f t="shared" si="6"/>
        <v>4</v>
      </c>
      <c r="AA41" s="23">
        <f t="shared" ca="1" si="7"/>
        <v>3</v>
      </c>
      <c r="AB41" s="24">
        <f t="shared" ref="AB41:AC41" si="62">Z41/X41</f>
        <v>1</v>
      </c>
      <c r="AC41" s="24">
        <f t="shared" ca="1" si="62"/>
        <v>1</v>
      </c>
      <c r="AD41" s="25">
        <f ca="1">(Z41+AA41)/7</f>
        <v>1</v>
      </c>
      <c r="AE41" s="23"/>
      <c r="AF41" s="23"/>
      <c r="AG41" s="23"/>
      <c r="AH41" s="23"/>
    </row>
    <row r="42" spans="1:34" ht="14.4" x14ac:dyDescent="0.3">
      <c r="A42" s="30"/>
      <c r="B42" s="27"/>
      <c r="C42" s="18" t="str">
        <f>LOOKUP(F42,BD!C:C,BD!A:A)</f>
        <v>JOHN ALEJANDRO</v>
      </c>
      <c r="D42" s="18" t="str">
        <f>LOOKUP(F42,BD!C:C,BD!B:B)</f>
        <v>GOMEZ GIRALDO</v>
      </c>
      <c r="E42" s="18">
        <v>3126393097</v>
      </c>
      <c r="F42" s="18">
        <v>1001723999</v>
      </c>
      <c r="G42" s="18">
        <f>LOOKUP(F42,BD!C:C,BD!D:D)</f>
        <v>5652022</v>
      </c>
      <c r="H42" s="19" t="s">
        <v>30</v>
      </c>
      <c r="I42" s="19" t="s">
        <v>30</v>
      </c>
      <c r="J42" s="19" t="s">
        <v>30</v>
      </c>
      <c r="K42" s="19" t="s">
        <v>30</v>
      </c>
      <c r="L42" s="20">
        <v>45889</v>
      </c>
      <c r="M42" s="20">
        <f t="shared" ref="M42:M43" si="63">L42+730</f>
        <v>46619</v>
      </c>
      <c r="N42" s="21">
        <f t="shared" ca="1" si="0"/>
        <v>397.49944016203517</v>
      </c>
      <c r="O42" s="22" t="str">
        <f t="shared" ca="1" si="1"/>
        <v>VIGENTE</v>
      </c>
      <c r="P42" s="20">
        <v>45889</v>
      </c>
      <c r="Q42" s="20">
        <f t="shared" ref="Q42:Q43" si="64">P42+730</f>
        <v>46619</v>
      </c>
      <c r="R42" s="21">
        <f t="shared" ca="1" si="2"/>
        <v>397.49944016203517</v>
      </c>
      <c r="S42" s="22" t="str">
        <f t="shared" ca="1" si="3"/>
        <v>VIGENTE</v>
      </c>
      <c r="T42" s="20">
        <v>45889</v>
      </c>
      <c r="U42" s="20">
        <f t="shared" ref="U42:U43" si="65">T42+730</f>
        <v>46619</v>
      </c>
      <c r="V42" s="21">
        <f t="shared" ca="1" si="4"/>
        <v>397.49944016203517</v>
      </c>
      <c r="W42" s="22" t="str">
        <f t="shared" ca="1" si="5"/>
        <v>VIGENTE</v>
      </c>
      <c r="X42" s="23">
        <v>4</v>
      </c>
      <c r="Y42" s="23">
        <v>3</v>
      </c>
      <c r="Z42" s="23">
        <f t="shared" si="6"/>
        <v>4</v>
      </c>
      <c r="AA42" s="23">
        <f t="shared" ca="1" si="7"/>
        <v>3</v>
      </c>
      <c r="AB42" s="24">
        <f t="shared" ref="AB42:AC42" si="66">Z42/X42</f>
        <v>1</v>
      </c>
      <c r="AC42" s="24">
        <f t="shared" ca="1" si="66"/>
        <v>1</v>
      </c>
      <c r="AD42" s="25">
        <f t="shared" ref="AD42:AD43" ca="1" si="67">(Z42+AA42)/7</f>
        <v>1</v>
      </c>
      <c r="AE42" s="23"/>
      <c r="AF42" s="23"/>
      <c r="AG42" s="23"/>
      <c r="AH42" s="23"/>
    </row>
    <row r="43" spans="1:34" ht="14.4" x14ac:dyDescent="0.3">
      <c r="A43" s="30"/>
      <c r="B43" s="27"/>
      <c r="C43" s="18" t="str">
        <f>LOOKUP(F43,BD!C:C,BD!A:A)</f>
        <v>JOHN EDISON</v>
      </c>
      <c r="D43" s="18" t="str">
        <f>LOOKUP(F43,BD!C:C,BD!B:B)</f>
        <v>ESPINAL CORREA</v>
      </c>
      <c r="E43" s="18">
        <v>3208600912</v>
      </c>
      <c r="F43" s="18">
        <v>98712282</v>
      </c>
      <c r="G43" s="18">
        <f>LOOKUP(F43,BD!C:C,BD!D:D)</f>
        <v>5221320</v>
      </c>
      <c r="H43" s="19" t="s">
        <v>30</v>
      </c>
      <c r="I43" s="19" t="s">
        <v>30</v>
      </c>
      <c r="J43" s="19" t="s">
        <v>30</v>
      </c>
      <c r="K43" s="19" t="s">
        <v>30</v>
      </c>
      <c r="L43" s="20">
        <v>45553</v>
      </c>
      <c r="M43" s="20">
        <f t="shared" si="63"/>
        <v>46283</v>
      </c>
      <c r="N43" s="21">
        <f t="shared" ca="1" si="0"/>
        <v>61.499440162035171</v>
      </c>
      <c r="O43" s="22" t="str">
        <f t="shared" ca="1" si="1"/>
        <v>VIGENTE</v>
      </c>
      <c r="P43" s="20">
        <v>45866</v>
      </c>
      <c r="Q43" s="20">
        <f t="shared" si="64"/>
        <v>46596</v>
      </c>
      <c r="R43" s="21">
        <f t="shared" ca="1" si="2"/>
        <v>374.49944016203517</v>
      </c>
      <c r="S43" s="22" t="str">
        <f t="shared" ca="1" si="3"/>
        <v>VIGENTE</v>
      </c>
      <c r="T43" s="20">
        <v>45816</v>
      </c>
      <c r="U43" s="20">
        <f t="shared" si="65"/>
        <v>46546</v>
      </c>
      <c r="V43" s="21">
        <f t="shared" ca="1" si="4"/>
        <v>324.49944016203517</v>
      </c>
      <c r="W43" s="22" t="str">
        <f t="shared" ca="1" si="5"/>
        <v>VIGENTE</v>
      </c>
      <c r="X43" s="23">
        <v>4</v>
      </c>
      <c r="Y43" s="23">
        <v>3</v>
      </c>
      <c r="Z43" s="23">
        <f t="shared" si="6"/>
        <v>4</v>
      </c>
      <c r="AA43" s="23">
        <f t="shared" ca="1" si="7"/>
        <v>3</v>
      </c>
      <c r="AB43" s="24">
        <f t="shared" ref="AB43:AC43" si="68">Z43/X43</f>
        <v>1</v>
      </c>
      <c r="AC43" s="24">
        <f t="shared" ca="1" si="68"/>
        <v>1</v>
      </c>
      <c r="AD43" s="25">
        <f t="shared" ca="1" si="67"/>
        <v>1</v>
      </c>
      <c r="AE43" s="23"/>
      <c r="AF43" s="23"/>
      <c r="AG43" s="23"/>
      <c r="AH43" s="23"/>
    </row>
    <row r="44" spans="1:34" ht="14.4" x14ac:dyDescent="0.3">
      <c r="A44" s="30"/>
      <c r="B44" s="27"/>
      <c r="C44" s="18" t="str">
        <f>LOOKUP(F44,BD!C:C,BD!A:A)</f>
        <v>JOHNNATHAN</v>
      </c>
      <c r="D44" s="18" t="str">
        <f>LOOKUP(F44,BD!C:C,BD!B:B)</f>
        <v>GIRALDO PULGARIN</v>
      </c>
      <c r="E44" s="18">
        <v>3205489739</v>
      </c>
      <c r="F44" s="18">
        <v>1036338137</v>
      </c>
      <c r="G44" s="18">
        <f>LOOKUP(F44,BD!C:C,BD!D:D)</f>
        <v>5238820</v>
      </c>
      <c r="H44" s="19" t="s">
        <v>30</v>
      </c>
      <c r="I44" s="19" t="s">
        <v>30</v>
      </c>
      <c r="J44" s="19" t="s">
        <v>30</v>
      </c>
      <c r="K44" s="19" t="s">
        <v>30</v>
      </c>
      <c r="L44" s="28">
        <v>46163</v>
      </c>
      <c r="M44" s="20">
        <f>L44+730</f>
        <v>46893</v>
      </c>
      <c r="N44" s="21">
        <f t="shared" ca="1" si="0"/>
        <v>671.49944016203517</v>
      </c>
      <c r="O44" s="22" t="str">
        <f t="shared" ca="1" si="1"/>
        <v>VIGENTE</v>
      </c>
      <c r="P44" s="28">
        <v>46162</v>
      </c>
      <c r="Q44" s="20">
        <f>P44+365</f>
        <v>46527</v>
      </c>
      <c r="R44" s="21">
        <f t="shared" ca="1" si="2"/>
        <v>305.49944016203517</v>
      </c>
      <c r="S44" s="22" t="str">
        <f t="shared" ca="1" si="3"/>
        <v>VIGENTE</v>
      </c>
      <c r="T44" s="28">
        <v>46161</v>
      </c>
      <c r="U44" s="20">
        <f>T44+365</f>
        <v>46526</v>
      </c>
      <c r="V44" s="21">
        <f t="shared" ca="1" si="4"/>
        <v>304.49944016203517</v>
      </c>
      <c r="W44" s="22" t="str">
        <f t="shared" ca="1" si="5"/>
        <v>VIGENTE</v>
      </c>
      <c r="X44" s="23">
        <v>4</v>
      </c>
      <c r="Y44" s="23">
        <v>3</v>
      </c>
      <c r="Z44" s="23">
        <f t="shared" si="6"/>
        <v>4</v>
      </c>
      <c r="AA44" s="23">
        <f t="shared" ca="1" si="7"/>
        <v>3</v>
      </c>
      <c r="AB44" s="24">
        <f t="shared" ref="AB44:AC44" si="69">Z44/X44</f>
        <v>1</v>
      </c>
      <c r="AC44" s="24">
        <f t="shared" ca="1" si="69"/>
        <v>1</v>
      </c>
      <c r="AD44" s="25">
        <f ca="1">(Z44+AA44)/7</f>
        <v>1</v>
      </c>
      <c r="AE44" s="23"/>
      <c r="AF44" s="23"/>
      <c r="AG44" s="23"/>
      <c r="AH44" s="23"/>
    </row>
    <row r="45" spans="1:34" ht="14.4" x14ac:dyDescent="0.3">
      <c r="A45" s="30"/>
      <c r="B45" s="27"/>
      <c r="C45" s="18" t="str">
        <f>LOOKUP(F45,BD!C:C,BD!A:A)</f>
        <v>JOSE MIGUEL</v>
      </c>
      <c r="D45" s="18" t="str">
        <f>LOOKUP(F45,BD!C:C,BD!B:B)</f>
        <v>FERNANDEZ LANDAETA</v>
      </c>
      <c r="E45" s="18">
        <v>3014408411</v>
      </c>
      <c r="F45" s="18">
        <v>4675021</v>
      </c>
      <c r="G45" s="18">
        <f>LOOKUP(F45,BD!C:C,BD!D:D)</f>
        <v>25060177953</v>
      </c>
      <c r="H45" s="19" t="s">
        <v>30</v>
      </c>
      <c r="I45" s="19" t="s">
        <v>30</v>
      </c>
      <c r="J45" s="19" t="s">
        <v>30</v>
      </c>
      <c r="K45" s="19" t="s">
        <v>30</v>
      </c>
      <c r="L45" s="20">
        <v>45985</v>
      </c>
      <c r="M45" s="20">
        <f>L45+730</f>
        <v>46715</v>
      </c>
      <c r="N45" s="21">
        <f t="shared" ca="1" si="0"/>
        <v>493.49944016203517</v>
      </c>
      <c r="O45" s="22" t="str">
        <f t="shared" ca="1" si="1"/>
        <v>VIGENTE</v>
      </c>
      <c r="P45" s="20">
        <v>46174</v>
      </c>
      <c r="Q45" s="20">
        <f t="shared" ref="Q45:Q47" si="70">P45+730</f>
        <v>46904</v>
      </c>
      <c r="R45" s="21">
        <f t="shared" ca="1" si="2"/>
        <v>682.49944016203517</v>
      </c>
      <c r="S45" s="22" t="str">
        <f t="shared" ca="1" si="3"/>
        <v>VIGENTE</v>
      </c>
      <c r="T45" s="20">
        <v>45890</v>
      </c>
      <c r="U45" s="20">
        <f>T45+730</f>
        <v>46620</v>
      </c>
      <c r="V45" s="21">
        <f t="shared" ca="1" si="4"/>
        <v>398.49944016203517</v>
      </c>
      <c r="W45" s="22" t="str">
        <f t="shared" ca="1" si="5"/>
        <v>VIGENTE</v>
      </c>
      <c r="X45" s="23">
        <v>4</v>
      </c>
      <c r="Y45" s="23">
        <v>3</v>
      </c>
      <c r="Z45" s="23">
        <f t="shared" si="6"/>
        <v>4</v>
      </c>
      <c r="AA45" s="23">
        <f t="shared" ca="1" si="7"/>
        <v>3</v>
      </c>
      <c r="AB45" s="24">
        <f t="shared" ref="AB45:AC45" si="71">Z45/X45</f>
        <v>1</v>
      </c>
      <c r="AC45" s="24">
        <f t="shared" ca="1" si="71"/>
        <v>1</v>
      </c>
      <c r="AD45" s="25">
        <f t="shared" ref="AD45:AD47" ca="1" si="72">(Z45+AA45)/7</f>
        <v>1</v>
      </c>
      <c r="AE45" s="23"/>
      <c r="AF45" s="23"/>
      <c r="AG45" s="23"/>
      <c r="AH45" s="23"/>
    </row>
    <row r="46" spans="1:34" ht="14.4" x14ac:dyDescent="0.3">
      <c r="A46" s="30"/>
      <c r="B46" s="27"/>
      <c r="C46" s="18" t="str">
        <f>LOOKUP(F46,BD!C:C,BD!A:A)</f>
        <v>JUAN ALEJANDRO</v>
      </c>
      <c r="D46" s="18" t="str">
        <f>LOOKUP(F46,BD!C:C,BD!B:B)</f>
        <v>POSSO BALDOVINO</v>
      </c>
      <c r="E46" s="18">
        <v>3103516605</v>
      </c>
      <c r="F46" s="18">
        <v>1039468823</v>
      </c>
      <c r="G46" s="18">
        <f>LOOKUP(F46,BD!C:C,BD!D:D)</f>
        <v>24060093163</v>
      </c>
      <c r="H46" s="19" t="s">
        <v>30</v>
      </c>
      <c r="I46" s="19" t="s">
        <v>30</v>
      </c>
      <c r="J46" s="19" t="s">
        <v>30</v>
      </c>
      <c r="K46" s="19" t="s">
        <v>30</v>
      </c>
      <c r="L46" s="20">
        <v>46138</v>
      </c>
      <c r="M46" s="20">
        <f>L46+730</f>
        <v>46868</v>
      </c>
      <c r="N46" s="21">
        <f t="shared" ca="1" si="0"/>
        <v>646.49944016203517</v>
      </c>
      <c r="O46" s="22" t="str">
        <f t="shared" ca="1" si="1"/>
        <v>VIGENTE</v>
      </c>
      <c r="P46" s="20">
        <v>45475</v>
      </c>
      <c r="Q46" s="20">
        <f t="shared" si="70"/>
        <v>46205</v>
      </c>
      <c r="R46" s="21">
        <f t="shared" ca="1" si="2"/>
        <v>-16.500559837964829</v>
      </c>
      <c r="S46" s="22" t="str">
        <f t="shared" ca="1" si="3"/>
        <v>NO CUMPLE</v>
      </c>
      <c r="T46" s="20">
        <v>45874</v>
      </c>
      <c r="U46" s="20">
        <f>T46+365</f>
        <v>46239</v>
      </c>
      <c r="V46" s="21">
        <f t="shared" ca="1" si="4"/>
        <v>17.499440162035171</v>
      </c>
      <c r="W46" s="22" t="str">
        <f t="shared" ca="1" si="5"/>
        <v>VIGENTE</v>
      </c>
      <c r="X46" s="23">
        <v>4</v>
      </c>
      <c r="Y46" s="23">
        <v>3</v>
      </c>
      <c r="Z46" s="23">
        <f t="shared" si="6"/>
        <v>4</v>
      </c>
      <c r="AA46" s="23">
        <f t="shared" ca="1" si="7"/>
        <v>2</v>
      </c>
      <c r="AB46" s="24">
        <f t="shared" ref="AB46:AC46" si="73">Z46/X46</f>
        <v>1</v>
      </c>
      <c r="AC46" s="24">
        <f t="shared" ca="1" si="73"/>
        <v>0.66666666666666663</v>
      </c>
      <c r="AD46" s="25">
        <f t="shared" ca="1" si="72"/>
        <v>0.8571428571428571</v>
      </c>
      <c r="AE46" s="23"/>
      <c r="AF46" s="23"/>
      <c r="AG46" s="23"/>
      <c r="AH46" s="23"/>
    </row>
    <row r="47" spans="1:34" ht="14.4" x14ac:dyDescent="0.3">
      <c r="A47" s="30"/>
      <c r="B47" s="27"/>
      <c r="C47" s="18" t="str">
        <f>LOOKUP(F47,BD!C:C,BD!A:A)</f>
        <v>JUAN ESTEBAN</v>
      </c>
      <c r="D47" s="18" t="str">
        <f>LOOKUP(F47,BD!C:C,BD!B:B)</f>
        <v>RESTREPO GUZMAN</v>
      </c>
      <c r="E47" s="18">
        <v>3145141214</v>
      </c>
      <c r="F47" s="18">
        <v>1017923438</v>
      </c>
      <c r="G47" s="18">
        <f>LOOKUP(F47,BD!C:C,BD!D:D)</f>
        <v>25060167792</v>
      </c>
      <c r="H47" s="19" t="s">
        <v>30</v>
      </c>
      <c r="I47" s="19" t="s">
        <v>30</v>
      </c>
      <c r="J47" s="19" t="s">
        <v>30</v>
      </c>
      <c r="K47" s="19" t="s">
        <v>30</v>
      </c>
      <c r="L47" s="20">
        <v>45597</v>
      </c>
      <c r="M47" s="20">
        <f>L47+730</f>
        <v>46327</v>
      </c>
      <c r="N47" s="21">
        <f t="shared" ca="1" si="0"/>
        <v>105.49944016203517</v>
      </c>
      <c r="O47" s="22" t="str">
        <f t="shared" ca="1" si="1"/>
        <v>VIGENTE</v>
      </c>
      <c r="P47" s="20">
        <v>45753</v>
      </c>
      <c r="Q47" s="20">
        <f t="shared" si="70"/>
        <v>46483</v>
      </c>
      <c r="R47" s="21">
        <f t="shared" ca="1" si="2"/>
        <v>261.49944016203517</v>
      </c>
      <c r="S47" s="22" t="str">
        <f t="shared" ca="1" si="3"/>
        <v>VIGENTE</v>
      </c>
      <c r="T47" s="20">
        <v>45753</v>
      </c>
      <c r="U47" s="20">
        <f>T47+730</f>
        <v>46483</v>
      </c>
      <c r="V47" s="21">
        <f t="shared" ca="1" si="4"/>
        <v>261.49944016203517</v>
      </c>
      <c r="W47" s="22" t="str">
        <f t="shared" ca="1" si="5"/>
        <v>VIGENTE</v>
      </c>
      <c r="X47" s="23">
        <v>4</v>
      </c>
      <c r="Y47" s="23">
        <v>3</v>
      </c>
      <c r="Z47" s="23">
        <f t="shared" si="6"/>
        <v>4</v>
      </c>
      <c r="AA47" s="23">
        <f t="shared" ca="1" si="7"/>
        <v>3</v>
      </c>
      <c r="AB47" s="24">
        <f t="shared" ref="AB47:AC47" si="74">Z47/X47</f>
        <v>1</v>
      </c>
      <c r="AC47" s="24">
        <f t="shared" ca="1" si="74"/>
        <v>1</v>
      </c>
      <c r="AD47" s="25">
        <f t="shared" ca="1" si="72"/>
        <v>1</v>
      </c>
      <c r="AE47" s="23"/>
      <c r="AF47" s="23"/>
      <c r="AG47" s="23"/>
      <c r="AH47" s="23"/>
    </row>
    <row r="48" spans="1:34" ht="14.4" x14ac:dyDescent="0.3">
      <c r="A48" s="30"/>
      <c r="B48" s="27"/>
      <c r="C48" s="18" t="str">
        <f>LOOKUP(F48,BD!C:C,BD!A:A)</f>
        <v>JUAN FELIPE</v>
      </c>
      <c r="D48" s="18" t="str">
        <f>LOOKUP(F48,BD!C:C,BD!B:B)</f>
        <v>SEPULVEDA MEJIA</v>
      </c>
      <c r="E48" s="18">
        <v>3012933993</v>
      </c>
      <c r="F48" s="18">
        <v>1000757751</v>
      </c>
      <c r="G48" s="18">
        <f>LOOKUP(F48,BD!C:C,BD!D:D)</f>
        <v>5262423</v>
      </c>
      <c r="H48" s="19" t="s">
        <v>30</v>
      </c>
      <c r="I48" s="19" t="s">
        <v>30</v>
      </c>
      <c r="J48" s="19" t="s">
        <v>30</v>
      </c>
      <c r="K48" s="19" t="s">
        <v>30</v>
      </c>
      <c r="L48" s="28">
        <v>46131</v>
      </c>
      <c r="M48" s="20">
        <f>L48+730</f>
        <v>46861</v>
      </c>
      <c r="N48" s="21">
        <f t="shared" ca="1" si="0"/>
        <v>639.49944016203517</v>
      </c>
      <c r="O48" s="22" t="str">
        <f t="shared" ca="1" si="1"/>
        <v>VIGENTE</v>
      </c>
      <c r="P48" s="28">
        <v>46135</v>
      </c>
      <c r="Q48" s="20">
        <f>P48+730</f>
        <v>46865</v>
      </c>
      <c r="R48" s="21">
        <f t="shared" ca="1" si="2"/>
        <v>643.49944016203517</v>
      </c>
      <c r="S48" s="22" t="str">
        <f t="shared" ca="1" si="3"/>
        <v>VIGENTE</v>
      </c>
      <c r="T48" s="28">
        <v>46140</v>
      </c>
      <c r="U48" s="20">
        <f>T48+730</f>
        <v>46870</v>
      </c>
      <c r="V48" s="21">
        <f t="shared" ca="1" si="4"/>
        <v>648.49944016203517</v>
      </c>
      <c r="W48" s="22" t="str">
        <f t="shared" ca="1" si="5"/>
        <v>VIGENTE</v>
      </c>
      <c r="X48" s="23">
        <v>4</v>
      </c>
      <c r="Y48" s="23">
        <v>3</v>
      </c>
      <c r="Z48" s="23">
        <f t="shared" si="6"/>
        <v>4</v>
      </c>
      <c r="AA48" s="23">
        <f t="shared" ca="1" si="7"/>
        <v>3</v>
      </c>
      <c r="AB48" s="24">
        <f t="shared" ref="AB48:AC48" si="75">Z48/X48</f>
        <v>1</v>
      </c>
      <c r="AC48" s="24">
        <f t="shared" ca="1" si="75"/>
        <v>1</v>
      </c>
      <c r="AD48" s="25">
        <f ca="1">(Z48+AA48)/7</f>
        <v>1</v>
      </c>
      <c r="AE48" s="23"/>
      <c r="AF48" s="23"/>
      <c r="AG48" s="23"/>
      <c r="AH48" s="23"/>
    </row>
    <row r="49" spans="1:34" ht="14.4" x14ac:dyDescent="0.3">
      <c r="A49" s="30"/>
      <c r="B49" s="27"/>
      <c r="C49" s="18" t="str">
        <f>LOOKUP(F49,BD!C:C,BD!A:A)</f>
        <v>JUAN JOSE</v>
      </c>
      <c r="D49" s="18" t="str">
        <f>LOOKUP(F49,BD!C:C,BD!B:B)</f>
        <v>DUARTE PEREZ</v>
      </c>
      <c r="E49" s="18">
        <v>3242119514</v>
      </c>
      <c r="F49" s="18">
        <v>1000100963</v>
      </c>
      <c r="G49" s="18">
        <f>LOOKUP(F49,BD!C:C,BD!D:D)</f>
        <v>25060949136</v>
      </c>
      <c r="H49" s="19" t="s">
        <v>30</v>
      </c>
      <c r="I49" s="19" t="s">
        <v>30</v>
      </c>
      <c r="J49" s="19" t="s">
        <v>30</v>
      </c>
      <c r="K49" s="19" t="s">
        <v>30</v>
      </c>
      <c r="L49" s="20">
        <v>45869</v>
      </c>
      <c r="M49" s="20">
        <f t="shared" ref="M49:M52" si="76">L49+730</f>
        <v>46599</v>
      </c>
      <c r="N49" s="21">
        <f t="shared" ca="1" si="0"/>
        <v>377.49944016203517</v>
      </c>
      <c r="O49" s="22" t="str">
        <f t="shared" ca="1" si="1"/>
        <v>VIGENTE</v>
      </c>
      <c r="P49" s="20">
        <v>45965</v>
      </c>
      <c r="Q49" s="20">
        <f>P49+730</f>
        <v>46695</v>
      </c>
      <c r="R49" s="21">
        <f t="shared" ca="1" si="2"/>
        <v>473.49944016203517</v>
      </c>
      <c r="S49" s="22" t="str">
        <f t="shared" ca="1" si="3"/>
        <v>VIGENTE</v>
      </c>
      <c r="T49" s="20">
        <v>45964</v>
      </c>
      <c r="U49" s="20">
        <f>T49+730</f>
        <v>46694</v>
      </c>
      <c r="V49" s="21">
        <f t="shared" ca="1" si="4"/>
        <v>472.49944016203517</v>
      </c>
      <c r="W49" s="22" t="str">
        <f t="shared" ca="1" si="5"/>
        <v>VIGENTE</v>
      </c>
      <c r="X49" s="23">
        <v>4</v>
      </c>
      <c r="Y49" s="23">
        <v>3</v>
      </c>
      <c r="Z49" s="23">
        <f t="shared" si="6"/>
        <v>4</v>
      </c>
      <c r="AA49" s="23">
        <f t="shared" ca="1" si="7"/>
        <v>3</v>
      </c>
      <c r="AB49" s="24">
        <f t="shared" ref="AB49:AC49" si="77">Z49/X49</f>
        <v>1</v>
      </c>
      <c r="AC49" s="24">
        <f t="shared" ca="1" si="77"/>
        <v>1</v>
      </c>
      <c r="AD49" s="25">
        <f t="shared" ref="AD49:AD59" ca="1" si="78">(Z49+AA49)/7</f>
        <v>1</v>
      </c>
      <c r="AE49" s="23"/>
      <c r="AF49" s="23"/>
      <c r="AG49" s="23"/>
      <c r="AH49" s="23"/>
    </row>
    <row r="50" spans="1:34" ht="14.4" x14ac:dyDescent="0.3">
      <c r="A50" s="30"/>
      <c r="B50" s="27"/>
      <c r="C50" s="18" t="str">
        <f>LOOKUP(F50,BD!C:C,BD!A:A)</f>
        <v>JUAN JOSÉ</v>
      </c>
      <c r="D50" s="18" t="str">
        <f>LOOKUP(F50,BD!C:C,BD!B:B)</f>
        <v>NARANJO CALDERÓN</v>
      </c>
      <c r="E50" s="18">
        <v>3226711293</v>
      </c>
      <c r="F50" s="18">
        <v>1000902161</v>
      </c>
      <c r="G50" s="18">
        <f>LOOKUP(F50,BD!C:C,BD!D:D)</f>
        <v>26060002085</v>
      </c>
      <c r="H50" s="19" t="s">
        <v>30</v>
      </c>
      <c r="I50" s="19" t="s">
        <v>30</v>
      </c>
      <c r="J50" s="19" t="s">
        <v>30</v>
      </c>
      <c r="K50" s="19" t="s">
        <v>30</v>
      </c>
      <c r="L50" s="20">
        <v>46009</v>
      </c>
      <c r="M50" s="20">
        <f t="shared" si="76"/>
        <v>46739</v>
      </c>
      <c r="N50" s="21">
        <f t="shared" ca="1" si="0"/>
        <v>517.49944016203517</v>
      </c>
      <c r="O50" s="22" t="str">
        <f t="shared" ca="1" si="1"/>
        <v>VIGENTE</v>
      </c>
      <c r="P50" s="20">
        <v>46009</v>
      </c>
      <c r="Q50" s="20">
        <f>P50+365</f>
        <v>46374</v>
      </c>
      <c r="R50" s="21">
        <f t="shared" ca="1" si="2"/>
        <v>152.49944016203517</v>
      </c>
      <c r="S50" s="22" t="str">
        <f t="shared" ca="1" si="3"/>
        <v>VIGENTE</v>
      </c>
      <c r="T50" s="20">
        <v>46009</v>
      </c>
      <c r="U50" s="20">
        <f>T50+365</f>
        <v>46374</v>
      </c>
      <c r="V50" s="21">
        <f t="shared" ca="1" si="4"/>
        <v>152.49944016203517</v>
      </c>
      <c r="W50" s="22" t="str">
        <f t="shared" ca="1" si="5"/>
        <v>VIGENTE</v>
      </c>
      <c r="X50" s="23">
        <v>4</v>
      </c>
      <c r="Y50" s="23">
        <v>3</v>
      </c>
      <c r="Z50" s="23">
        <f t="shared" si="6"/>
        <v>4</v>
      </c>
      <c r="AA50" s="23">
        <f t="shared" ca="1" si="7"/>
        <v>3</v>
      </c>
      <c r="AB50" s="24">
        <f t="shared" ref="AB50:AC50" si="79">Z50/X50</f>
        <v>1</v>
      </c>
      <c r="AC50" s="24">
        <f t="shared" ca="1" si="79"/>
        <v>1</v>
      </c>
      <c r="AD50" s="25">
        <f t="shared" ca="1" si="78"/>
        <v>1</v>
      </c>
      <c r="AE50" s="23"/>
      <c r="AF50" s="23"/>
      <c r="AG50" s="23"/>
      <c r="AH50" s="23"/>
    </row>
    <row r="51" spans="1:34" ht="14.4" x14ac:dyDescent="0.3">
      <c r="A51" s="30"/>
      <c r="B51" s="27"/>
      <c r="C51" s="18" t="str">
        <f>LOOKUP(F51,BD!C:C,BD!A:A)</f>
        <v>JUAN PABLO</v>
      </c>
      <c r="D51" s="18" t="str">
        <f>LOOKUP(F51,BD!C:C,BD!B:B)</f>
        <v>AREIZA BUSTAMANTE</v>
      </c>
      <c r="E51" s="18">
        <v>3124945692</v>
      </c>
      <c r="F51" s="18">
        <v>1000548592</v>
      </c>
      <c r="G51" s="18">
        <f>LOOKUP(F51,BD!C:C,BD!D:D)</f>
        <v>25060179510</v>
      </c>
      <c r="H51" s="19" t="s">
        <v>30</v>
      </c>
      <c r="I51" s="19" t="s">
        <v>30</v>
      </c>
      <c r="J51" s="19" t="s">
        <v>30</v>
      </c>
      <c r="K51" s="19" t="s">
        <v>30</v>
      </c>
      <c r="L51" s="20">
        <v>45947</v>
      </c>
      <c r="M51" s="20">
        <f t="shared" si="76"/>
        <v>46677</v>
      </c>
      <c r="N51" s="21">
        <f t="shared" ca="1" si="0"/>
        <v>455.49944016203517</v>
      </c>
      <c r="O51" s="22" t="str">
        <f t="shared" ca="1" si="1"/>
        <v>VIGENTE</v>
      </c>
      <c r="P51" s="20">
        <v>45618</v>
      </c>
      <c r="Q51" s="20">
        <f t="shared" ref="Q51:Q52" si="80">P51+730</f>
        <v>46348</v>
      </c>
      <c r="R51" s="21">
        <f t="shared" ca="1" si="2"/>
        <v>126.49944016203517</v>
      </c>
      <c r="S51" s="22" t="str">
        <f t="shared" ca="1" si="3"/>
        <v>VIGENTE</v>
      </c>
      <c r="T51" s="20">
        <v>45874</v>
      </c>
      <c r="U51" s="20">
        <f t="shared" ref="U51:U52" si="81">T51+730</f>
        <v>46604</v>
      </c>
      <c r="V51" s="21">
        <f t="shared" ca="1" si="4"/>
        <v>382.49944016203517</v>
      </c>
      <c r="W51" s="22" t="str">
        <f t="shared" ca="1" si="5"/>
        <v>VIGENTE</v>
      </c>
      <c r="X51" s="23">
        <v>4</v>
      </c>
      <c r="Y51" s="23">
        <v>3</v>
      </c>
      <c r="Z51" s="23">
        <f t="shared" si="6"/>
        <v>4</v>
      </c>
      <c r="AA51" s="23">
        <f t="shared" ca="1" si="7"/>
        <v>3</v>
      </c>
      <c r="AB51" s="24">
        <f t="shared" ref="AB51:AC51" si="82">Z51/X51</f>
        <v>1</v>
      </c>
      <c r="AC51" s="24">
        <f t="shared" ca="1" si="82"/>
        <v>1</v>
      </c>
      <c r="AD51" s="25">
        <f t="shared" ca="1" si="78"/>
        <v>1</v>
      </c>
      <c r="AE51" s="23"/>
      <c r="AF51" s="23"/>
      <c r="AG51" s="23"/>
      <c r="AH51" s="23"/>
    </row>
    <row r="52" spans="1:34" ht="14.4" x14ac:dyDescent="0.3">
      <c r="A52" s="30"/>
      <c r="B52" s="27"/>
      <c r="C52" s="18" t="str">
        <f>LOOKUP(F52,BD!C:C,BD!A:A)</f>
        <v>JUAN PABLO</v>
      </c>
      <c r="D52" s="18" t="str">
        <f>LOOKUP(F52,BD!C:C,BD!B:B)</f>
        <v>OCAMPO MEJÍA</v>
      </c>
      <c r="E52" s="18">
        <v>3187955349</v>
      </c>
      <c r="F52" s="18">
        <v>1001366552</v>
      </c>
      <c r="G52" s="18">
        <f>LOOKUP(F52,BD!C:C,BD!D:D)</f>
        <v>25060006115</v>
      </c>
      <c r="H52" s="19" t="s">
        <v>30</v>
      </c>
      <c r="I52" s="19" t="s">
        <v>30</v>
      </c>
      <c r="J52" s="19" t="s">
        <v>30</v>
      </c>
      <c r="K52" s="19" t="s">
        <v>30</v>
      </c>
      <c r="L52" s="20">
        <v>45657</v>
      </c>
      <c r="M52" s="20">
        <f t="shared" si="76"/>
        <v>46387</v>
      </c>
      <c r="N52" s="21">
        <f t="shared" ca="1" si="0"/>
        <v>165.49944016203517</v>
      </c>
      <c r="O52" s="22" t="str">
        <f t="shared" ca="1" si="1"/>
        <v>VIGENTE</v>
      </c>
      <c r="P52" s="20">
        <v>45671</v>
      </c>
      <c r="Q52" s="20">
        <f t="shared" si="80"/>
        <v>46401</v>
      </c>
      <c r="R52" s="21">
        <f t="shared" ca="1" si="2"/>
        <v>179.49944016203517</v>
      </c>
      <c r="S52" s="22" t="str">
        <f t="shared" ca="1" si="3"/>
        <v>VIGENTE</v>
      </c>
      <c r="T52" s="20">
        <v>45673</v>
      </c>
      <c r="U52" s="20">
        <f t="shared" si="81"/>
        <v>46403</v>
      </c>
      <c r="V52" s="21">
        <f t="shared" ca="1" si="4"/>
        <v>181.49944016203517</v>
      </c>
      <c r="W52" s="22" t="str">
        <f t="shared" ca="1" si="5"/>
        <v>VIGENTE</v>
      </c>
      <c r="X52" s="23">
        <v>4</v>
      </c>
      <c r="Y52" s="23">
        <v>3</v>
      </c>
      <c r="Z52" s="23">
        <f t="shared" si="6"/>
        <v>4</v>
      </c>
      <c r="AA52" s="23">
        <f t="shared" ca="1" si="7"/>
        <v>3</v>
      </c>
      <c r="AB52" s="24">
        <f t="shared" ref="AB52:AC52" si="83">Z52/X52</f>
        <v>1</v>
      </c>
      <c r="AC52" s="24">
        <f t="shared" ca="1" si="83"/>
        <v>1</v>
      </c>
      <c r="AD52" s="25">
        <f t="shared" ca="1" si="78"/>
        <v>1</v>
      </c>
      <c r="AE52" s="23"/>
      <c r="AF52" s="23"/>
      <c r="AG52" s="23"/>
      <c r="AH52" s="23"/>
    </row>
    <row r="53" spans="1:34" ht="14.4" x14ac:dyDescent="0.3">
      <c r="A53" s="30"/>
      <c r="B53" s="27"/>
      <c r="C53" s="18" t="str">
        <f>LOOKUP(F53,BD!C:C,BD!A:A)</f>
        <v>JUAN PABLO</v>
      </c>
      <c r="D53" s="18" t="str">
        <f>LOOKUP(F53,BD!C:C,BD!B:B)</f>
        <v>CEBALLOS CARDENAS</v>
      </c>
      <c r="E53" s="18">
        <v>3053901875</v>
      </c>
      <c r="F53" s="18">
        <v>1007338290</v>
      </c>
      <c r="G53" s="18">
        <f>LOOKUP(F53,BD!C:C,BD!D:D)</f>
        <v>5781023</v>
      </c>
      <c r="H53" s="19" t="s">
        <v>30</v>
      </c>
      <c r="I53" s="19" t="s">
        <v>30</v>
      </c>
      <c r="J53" s="19" t="s">
        <v>30</v>
      </c>
      <c r="K53" s="19" t="s">
        <v>30</v>
      </c>
      <c r="L53" s="28">
        <v>45978</v>
      </c>
      <c r="M53" s="20">
        <f>L53+365</f>
        <v>46343</v>
      </c>
      <c r="N53" s="21">
        <f t="shared" ca="1" si="0"/>
        <v>121.49944016203517</v>
      </c>
      <c r="O53" s="22" t="str">
        <f t="shared" ca="1" si="1"/>
        <v>VIGENTE</v>
      </c>
      <c r="P53" s="28">
        <v>45978</v>
      </c>
      <c r="Q53" s="20">
        <f t="shared" ref="Q53:Q54" si="84">P53+365</f>
        <v>46343</v>
      </c>
      <c r="R53" s="21">
        <f t="shared" ca="1" si="2"/>
        <v>121.49944016203517</v>
      </c>
      <c r="S53" s="22" t="str">
        <f t="shared" ca="1" si="3"/>
        <v>VIGENTE</v>
      </c>
      <c r="T53" s="28">
        <v>45978</v>
      </c>
      <c r="U53" s="20">
        <f t="shared" ref="U53:U54" si="85">T53+365</f>
        <v>46343</v>
      </c>
      <c r="V53" s="21">
        <f t="shared" ca="1" si="4"/>
        <v>121.49944016203517</v>
      </c>
      <c r="W53" s="22" t="str">
        <f t="shared" ca="1" si="5"/>
        <v>VIGENTE</v>
      </c>
      <c r="X53" s="23">
        <v>4</v>
      </c>
      <c r="Y53" s="23">
        <v>3</v>
      </c>
      <c r="Z53" s="23">
        <f t="shared" si="6"/>
        <v>4</v>
      </c>
      <c r="AA53" s="23">
        <f t="shared" ca="1" si="7"/>
        <v>3</v>
      </c>
      <c r="AB53" s="24">
        <f t="shared" ref="AB53:AC53" si="86">Z53/X53</f>
        <v>1</v>
      </c>
      <c r="AC53" s="24">
        <f t="shared" ca="1" si="86"/>
        <v>1</v>
      </c>
      <c r="AD53" s="25">
        <f t="shared" ca="1" si="78"/>
        <v>1</v>
      </c>
      <c r="AE53" s="23"/>
      <c r="AF53" s="23"/>
      <c r="AG53" s="23"/>
      <c r="AH53" s="23"/>
    </row>
    <row r="54" spans="1:34" ht="14.4" x14ac:dyDescent="0.3">
      <c r="A54" s="30"/>
      <c r="B54" s="27"/>
      <c r="C54" s="18" t="str">
        <f>LOOKUP(F54,BD!C:C,BD!A:A)</f>
        <v>JUAN SEBASTIAN</v>
      </c>
      <c r="D54" s="18" t="str">
        <f>LOOKUP(F54,BD!C:C,BD!B:B)</f>
        <v>MOSQUERA CORDOBA</v>
      </c>
      <c r="E54" s="18">
        <v>3126295988</v>
      </c>
      <c r="F54" s="18">
        <v>1216724894</v>
      </c>
      <c r="G54" s="18">
        <f>LOOKUP(F54,BD!C:C,BD!D:D)</f>
        <v>1216724894</v>
      </c>
      <c r="H54" s="19" t="s">
        <v>30</v>
      </c>
      <c r="I54" s="19" t="s">
        <v>30</v>
      </c>
      <c r="J54" s="19" t="s">
        <v>30</v>
      </c>
      <c r="K54" s="19" t="s">
        <v>30</v>
      </c>
      <c r="L54" s="20">
        <v>45471</v>
      </c>
      <c r="M54" s="20">
        <f>L54+730</f>
        <v>46201</v>
      </c>
      <c r="N54" s="21">
        <f t="shared" ca="1" si="0"/>
        <v>-20.500559837964829</v>
      </c>
      <c r="O54" s="22" t="str">
        <f t="shared" ca="1" si="1"/>
        <v>NO CUMPLE</v>
      </c>
      <c r="P54" s="20">
        <v>45877</v>
      </c>
      <c r="Q54" s="20">
        <f t="shared" si="84"/>
        <v>46242</v>
      </c>
      <c r="R54" s="21">
        <f t="shared" ca="1" si="2"/>
        <v>20.499440162035171</v>
      </c>
      <c r="S54" s="22" t="str">
        <f t="shared" ca="1" si="3"/>
        <v>VIGENTE</v>
      </c>
      <c r="T54" s="20">
        <v>45877</v>
      </c>
      <c r="U54" s="20">
        <f t="shared" si="85"/>
        <v>46242</v>
      </c>
      <c r="V54" s="21">
        <f t="shared" ca="1" si="4"/>
        <v>20.499440162035171</v>
      </c>
      <c r="W54" s="22" t="str">
        <f t="shared" ca="1" si="5"/>
        <v>VIGENTE</v>
      </c>
      <c r="X54" s="23">
        <v>4</v>
      </c>
      <c r="Y54" s="23">
        <v>3</v>
      </c>
      <c r="Z54" s="23">
        <f t="shared" si="6"/>
        <v>4</v>
      </c>
      <c r="AA54" s="23">
        <f t="shared" ca="1" si="7"/>
        <v>2</v>
      </c>
      <c r="AB54" s="24">
        <f t="shared" ref="AB54:AC54" si="87">Z54/X54</f>
        <v>1</v>
      </c>
      <c r="AC54" s="24">
        <f t="shared" ca="1" si="87"/>
        <v>0.66666666666666663</v>
      </c>
      <c r="AD54" s="25">
        <f t="shared" ca="1" si="78"/>
        <v>0.8571428571428571</v>
      </c>
      <c r="AE54" s="23"/>
      <c r="AF54" s="23"/>
      <c r="AG54" s="23"/>
      <c r="AH54" s="23"/>
    </row>
    <row r="55" spans="1:34" ht="14.4" x14ac:dyDescent="0.3">
      <c r="A55" s="30"/>
      <c r="B55" s="27"/>
      <c r="C55" s="18" t="str">
        <f>LOOKUP(F55,BD!C:C,BD!A:A)</f>
        <v>JULIAN STEVEN</v>
      </c>
      <c r="D55" s="18" t="str">
        <f>LOOKUP(F55,BD!C:C,BD!B:B)</f>
        <v>ECHAVARRIA LOPERA</v>
      </c>
      <c r="E55" s="18">
        <v>3162557400</v>
      </c>
      <c r="F55" s="18">
        <v>1033178048</v>
      </c>
      <c r="G55" s="18">
        <f>LOOKUP(F55,BD!C:C,BD!D:D)</f>
        <v>24060021956</v>
      </c>
      <c r="H55" s="19" t="s">
        <v>30</v>
      </c>
      <c r="I55" s="19" t="s">
        <v>30</v>
      </c>
      <c r="J55" s="19" t="s">
        <v>30</v>
      </c>
      <c r="K55" s="19" t="s">
        <v>30</v>
      </c>
      <c r="L55" s="20">
        <v>45674</v>
      </c>
      <c r="M55" s="20">
        <f>L55+730</f>
        <v>46404</v>
      </c>
      <c r="N55" s="21">
        <f t="shared" ca="1" si="0"/>
        <v>182.49944016203517</v>
      </c>
      <c r="O55" s="22" t="str">
        <f t="shared" ca="1" si="1"/>
        <v>VIGENTE</v>
      </c>
      <c r="P55" s="20">
        <v>45674</v>
      </c>
      <c r="Q55" s="20">
        <f t="shared" ref="Q55:Q56" si="88">P55+730</f>
        <v>46404</v>
      </c>
      <c r="R55" s="21">
        <f t="shared" ca="1" si="2"/>
        <v>182.49944016203517</v>
      </c>
      <c r="S55" s="22" t="str">
        <f t="shared" ca="1" si="3"/>
        <v>VIGENTE</v>
      </c>
      <c r="T55" s="20">
        <v>46043</v>
      </c>
      <c r="U55" s="20">
        <f>T55+730</f>
        <v>46773</v>
      </c>
      <c r="V55" s="21">
        <f t="shared" ca="1" si="4"/>
        <v>551.49944016203517</v>
      </c>
      <c r="W55" s="22" t="str">
        <f t="shared" ca="1" si="5"/>
        <v>VIGENTE</v>
      </c>
      <c r="X55" s="23">
        <v>4</v>
      </c>
      <c r="Y55" s="23">
        <v>3</v>
      </c>
      <c r="Z55" s="23">
        <f t="shared" si="6"/>
        <v>4</v>
      </c>
      <c r="AA55" s="23">
        <f t="shared" ca="1" si="7"/>
        <v>3</v>
      </c>
      <c r="AB55" s="24">
        <f t="shared" ref="AB55:AC55" si="89">Z55/X55</f>
        <v>1</v>
      </c>
      <c r="AC55" s="24">
        <f t="shared" ca="1" si="89"/>
        <v>1</v>
      </c>
      <c r="AD55" s="25">
        <f t="shared" ca="1" si="78"/>
        <v>1</v>
      </c>
      <c r="AE55" s="23"/>
      <c r="AF55" s="23"/>
      <c r="AG55" s="23"/>
      <c r="AH55" s="23"/>
    </row>
    <row r="56" spans="1:34" ht="14.4" x14ac:dyDescent="0.3">
      <c r="A56" s="30"/>
      <c r="B56" s="27"/>
      <c r="C56" s="18" t="str">
        <f>LOOKUP(F56,BD!C:C,BD!A:A)</f>
        <v>JULIANA</v>
      </c>
      <c r="D56" s="18" t="str">
        <f>LOOKUP(F56,BD!C:C,BD!B:B)</f>
        <v>GOMEZ ZULUAGA</v>
      </c>
      <c r="E56" s="18">
        <v>3014759064</v>
      </c>
      <c r="F56" s="18">
        <v>1001235388</v>
      </c>
      <c r="G56" s="18">
        <f>LOOKUP(F56,BD!C:C,BD!D:D)</f>
        <v>24060246185</v>
      </c>
      <c r="H56" s="19" t="s">
        <v>30</v>
      </c>
      <c r="I56" s="19" t="s">
        <v>30</v>
      </c>
      <c r="J56" s="19" t="s">
        <v>30</v>
      </c>
      <c r="K56" s="19" t="s">
        <v>30</v>
      </c>
      <c r="L56" s="20">
        <v>45952</v>
      </c>
      <c r="M56" s="20">
        <f>L56+365</f>
        <v>46317</v>
      </c>
      <c r="N56" s="21">
        <f t="shared" ca="1" si="0"/>
        <v>95.499440162035171</v>
      </c>
      <c r="O56" s="22" t="str">
        <f t="shared" ca="1" si="1"/>
        <v>VIGENTE</v>
      </c>
      <c r="P56" s="31">
        <v>46196</v>
      </c>
      <c r="Q56" s="20">
        <f t="shared" si="88"/>
        <v>46926</v>
      </c>
      <c r="R56" s="21">
        <f t="shared" ca="1" si="2"/>
        <v>704.49944016203517</v>
      </c>
      <c r="S56" s="22" t="str">
        <f t="shared" ca="1" si="3"/>
        <v>VIGENTE</v>
      </c>
      <c r="T56" s="31">
        <v>46199</v>
      </c>
      <c r="U56" s="20">
        <f t="shared" ref="U56:U57" si="90">T56+730</f>
        <v>46929</v>
      </c>
      <c r="V56" s="21">
        <f t="shared" ca="1" si="4"/>
        <v>707.49944016203517</v>
      </c>
      <c r="W56" s="22" t="str">
        <f t="shared" ca="1" si="5"/>
        <v>VIGENTE</v>
      </c>
      <c r="X56" s="23">
        <v>4</v>
      </c>
      <c r="Y56" s="23">
        <v>3</v>
      </c>
      <c r="Z56" s="23">
        <f t="shared" si="6"/>
        <v>4</v>
      </c>
      <c r="AA56" s="23">
        <f t="shared" ca="1" si="7"/>
        <v>3</v>
      </c>
      <c r="AB56" s="24">
        <f t="shared" ref="AB56:AC56" si="91">Z56/X56</f>
        <v>1</v>
      </c>
      <c r="AC56" s="24">
        <f t="shared" ca="1" si="91"/>
        <v>1</v>
      </c>
      <c r="AD56" s="25">
        <f t="shared" ca="1" si="78"/>
        <v>1</v>
      </c>
      <c r="AE56" s="23"/>
      <c r="AF56" s="23"/>
      <c r="AG56" s="23"/>
      <c r="AH56" s="23"/>
    </row>
    <row r="57" spans="1:34" ht="14.4" x14ac:dyDescent="0.3">
      <c r="A57" s="30"/>
      <c r="B57" s="27"/>
      <c r="C57" s="18" t="str">
        <f>LOOKUP(F57,BD!C:C,BD!A:A)</f>
        <v>JULIANA</v>
      </c>
      <c r="D57" s="18" t="str">
        <f>LOOKUP(F57,BD!C:C,BD!B:B)</f>
        <v>CEBALLO VALDERRAMA</v>
      </c>
      <c r="E57" s="18">
        <v>3054356208</v>
      </c>
      <c r="F57" s="18">
        <v>1033488536</v>
      </c>
      <c r="G57" s="18">
        <f>LOOKUP(F57,BD!C:C,BD!D:D)</f>
        <v>25060444558</v>
      </c>
      <c r="H57" s="19" t="s">
        <v>30</v>
      </c>
      <c r="I57" s="19" t="s">
        <v>30</v>
      </c>
      <c r="J57" s="19" t="s">
        <v>30</v>
      </c>
      <c r="K57" s="19" t="s">
        <v>30</v>
      </c>
      <c r="L57" s="20">
        <v>45892</v>
      </c>
      <c r="M57" s="20">
        <f t="shared" ref="M57:M58" si="92">L57+730</f>
        <v>46622</v>
      </c>
      <c r="N57" s="21">
        <f t="shared" ca="1" si="0"/>
        <v>400.49944016203517</v>
      </c>
      <c r="O57" s="22" t="str">
        <f t="shared" ca="1" si="1"/>
        <v>VIGENTE</v>
      </c>
      <c r="P57" s="20">
        <v>45618</v>
      </c>
      <c r="Q57" s="20">
        <f t="shared" ref="Q57:Q58" si="93">P57+730</f>
        <v>46348</v>
      </c>
      <c r="R57" s="21">
        <f t="shared" ca="1" si="2"/>
        <v>126.49944016203517</v>
      </c>
      <c r="S57" s="22" t="str">
        <f t="shared" ca="1" si="3"/>
        <v>VIGENTE</v>
      </c>
      <c r="T57" s="20">
        <v>45835</v>
      </c>
      <c r="U57" s="20">
        <f t="shared" si="90"/>
        <v>46565</v>
      </c>
      <c r="V57" s="21">
        <f t="shared" ca="1" si="4"/>
        <v>343.49944016203517</v>
      </c>
      <c r="W57" s="22" t="str">
        <f t="shared" ca="1" si="5"/>
        <v>VIGENTE</v>
      </c>
      <c r="X57" s="23">
        <v>4</v>
      </c>
      <c r="Y57" s="23">
        <v>3</v>
      </c>
      <c r="Z57" s="23">
        <f t="shared" si="6"/>
        <v>4</v>
      </c>
      <c r="AA57" s="23">
        <f t="shared" ca="1" si="7"/>
        <v>3</v>
      </c>
      <c r="AB57" s="24">
        <f t="shared" ref="AB57:AC57" si="94">Z57/X57</f>
        <v>1</v>
      </c>
      <c r="AC57" s="24">
        <f t="shared" ca="1" si="94"/>
        <v>1</v>
      </c>
      <c r="AD57" s="25">
        <f t="shared" ca="1" si="78"/>
        <v>1</v>
      </c>
      <c r="AE57" s="23"/>
      <c r="AF57" s="23"/>
      <c r="AG57" s="23"/>
      <c r="AH57" s="23"/>
    </row>
    <row r="58" spans="1:34" ht="14.4" x14ac:dyDescent="0.3">
      <c r="A58" s="30"/>
      <c r="B58" s="27"/>
      <c r="C58" s="18" t="str">
        <f>LOOKUP(F58,BD!C:C,BD!A:A)</f>
        <v>JULIANA</v>
      </c>
      <c r="D58" s="18" t="str">
        <f>LOOKUP(F58,BD!C:C,BD!B:B)</f>
        <v>MAYA PEREZ</v>
      </c>
      <c r="E58" s="18">
        <v>3002202825</v>
      </c>
      <c r="F58" s="18">
        <v>1128434314</v>
      </c>
      <c r="G58" s="18">
        <f>LOOKUP(F58,BD!C:C,BD!D:D)</f>
        <v>5428109</v>
      </c>
      <c r="H58" s="19" t="s">
        <v>30</v>
      </c>
      <c r="I58" s="19" t="s">
        <v>30</v>
      </c>
      <c r="J58" s="19" t="s">
        <v>30</v>
      </c>
      <c r="K58" s="19" t="s">
        <v>30</v>
      </c>
      <c r="L58" s="20">
        <v>45853</v>
      </c>
      <c r="M58" s="20">
        <f t="shared" si="92"/>
        <v>46583</v>
      </c>
      <c r="N58" s="21">
        <f t="shared" ca="1" si="0"/>
        <v>361.49944016203517</v>
      </c>
      <c r="O58" s="22" t="str">
        <f t="shared" ca="1" si="1"/>
        <v>VIGENTE</v>
      </c>
      <c r="P58" s="20">
        <v>45958</v>
      </c>
      <c r="Q58" s="20">
        <f t="shared" si="93"/>
        <v>46688</v>
      </c>
      <c r="R58" s="21">
        <f t="shared" ca="1" si="2"/>
        <v>466.49944016203517</v>
      </c>
      <c r="S58" s="22" t="str">
        <f t="shared" ca="1" si="3"/>
        <v>VIGENTE</v>
      </c>
      <c r="T58" s="20">
        <v>46174</v>
      </c>
      <c r="U58" s="20">
        <f t="shared" ref="U58:U59" si="95">T58+365</f>
        <v>46539</v>
      </c>
      <c r="V58" s="21">
        <f t="shared" ca="1" si="4"/>
        <v>317.49944016203517</v>
      </c>
      <c r="W58" s="22" t="str">
        <f t="shared" ca="1" si="5"/>
        <v>VIGENTE</v>
      </c>
      <c r="X58" s="23">
        <v>4</v>
      </c>
      <c r="Y58" s="23">
        <v>3</v>
      </c>
      <c r="Z58" s="23">
        <f t="shared" si="6"/>
        <v>4</v>
      </c>
      <c r="AA58" s="23">
        <f t="shared" ca="1" si="7"/>
        <v>3</v>
      </c>
      <c r="AB58" s="24">
        <f t="shared" ref="AB58:AC58" si="96">Z58/X58</f>
        <v>1</v>
      </c>
      <c r="AC58" s="24">
        <f t="shared" ca="1" si="96"/>
        <v>1</v>
      </c>
      <c r="AD58" s="25">
        <f t="shared" ca="1" si="78"/>
        <v>1</v>
      </c>
      <c r="AE58" s="23"/>
      <c r="AF58" s="23"/>
      <c r="AG58" s="23"/>
      <c r="AH58" s="23"/>
    </row>
    <row r="59" spans="1:34" ht="14.4" x14ac:dyDescent="0.3">
      <c r="A59" s="30"/>
      <c r="B59" s="27"/>
      <c r="C59" s="18" t="str">
        <f>LOOKUP(F59,BD!C:C,BD!A:A)</f>
        <v>JULIANA</v>
      </c>
      <c r="D59" s="18" t="str">
        <f>LOOKUP(F59,BD!C:C,BD!B:B)</f>
        <v>ACEVEDO MUÑOZ</v>
      </c>
      <c r="E59" s="18">
        <v>3507516557</v>
      </c>
      <c r="F59" s="18">
        <v>1017239415</v>
      </c>
      <c r="G59" s="18">
        <f>LOOKUP(F59,BD!C:C,BD!D:D)</f>
        <v>5449619</v>
      </c>
      <c r="H59" s="19" t="s">
        <v>30</v>
      </c>
      <c r="I59" s="19" t="s">
        <v>30</v>
      </c>
      <c r="J59" s="19" t="s">
        <v>30</v>
      </c>
      <c r="K59" s="19" t="s">
        <v>30</v>
      </c>
      <c r="L59" s="20">
        <v>46027</v>
      </c>
      <c r="M59" s="20">
        <f>L59+365</f>
        <v>46392</v>
      </c>
      <c r="N59" s="21">
        <f t="shared" ca="1" si="0"/>
        <v>170.49944016203517</v>
      </c>
      <c r="O59" s="22" t="str">
        <f t="shared" ca="1" si="1"/>
        <v>VIGENTE</v>
      </c>
      <c r="P59" s="20">
        <v>46217</v>
      </c>
      <c r="Q59" s="20">
        <f>P59+365</f>
        <v>46582</v>
      </c>
      <c r="R59" s="21">
        <f t="shared" ca="1" si="2"/>
        <v>360.49944016203517</v>
      </c>
      <c r="S59" s="22" t="str">
        <f t="shared" ca="1" si="3"/>
        <v>VIGENTE</v>
      </c>
      <c r="T59" s="20">
        <v>46027</v>
      </c>
      <c r="U59" s="20">
        <f t="shared" si="95"/>
        <v>46392</v>
      </c>
      <c r="V59" s="21">
        <f t="shared" ca="1" si="4"/>
        <v>170.49944016203517</v>
      </c>
      <c r="W59" s="22" t="str">
        <f t="shared" ca="1" si="5"/>
        <v>VIGENTE</v>
      </c>
      <c r="X59" s="23">
        <v>4</v>
      </c>
      <c r="Y59" s="23">
        <v>3</v>
      </c>
      <c r="Z59" s="23">
        <f t="shared" si="6"/>
        <v>4</v>
      </c>
      <c r="AA59" s="23">
        <f t="shared" ca="1" si="7"/>
        <v>3</v>
      </c>
      <c r="AB59" s="24">
        <f t="shared" ref="AB59:AC59" si="97">Z59/X59</f>
        <v>1</v>
      </c>
      <c r="AC59" s="24">
        <f t="shared" ca="1" si="97"/>
        <v>1</v>
      </c>
      <c r="AD59" s="25">
        <f t="shared" ca="1" si="78"/>
        <v>1</v>
      </c>
      <c r="AE59" s="23"/>
      <c r="AF59" s="23"/>
      <c r="AG59" s="23"/>
      <c r="AH59" s="23"/>
    </row>
    <row r="60" spans="1:34" ht="14.4" x14ac:dyDescent="0.3">
      <c r="A60" s="30"/>
      <c r="B60" s="27"/>
      <c r="C60" s="18" t="str">
        <f>LOOKUP(F60,BD!C:C,BD!A:A)</f>
        <v>KAREN JULIANA</v>
      </c>
      <c r="D60" s="18" t="str">
        <f>LOOKUP(F60,BD!C:C,BD!B:B)</f>
        <v>PRESIGA LOPEZ</v>
      </c>
      <c r="E60" s="18">
        <v>3135061662</v>
      </c>
      <c r="F60" s="18">
        <v>1017207179</v>
      </c>
      <c r="G60" s="18">
        <f>LOOKUP(F60,BD!C:C,BD!D:D)</f>
        <v>5522423</v>
      </c>
      <c r="H60" s="19" t="s">
        <v>30</v>
      </c>
      <c r="I60" s="19" t="s">
        <v>30</v>
      </c>
      <c r="J60" s="19" t="s">
        <v>30</v>
      </c>
      <c r="K60" s="19" t="s">
        <v>30</v>
      </c>
      <c r="L60" s="28">
        <v>46135</v>
      </c>
      <c r="M60" s="20">
        <f>L60+730</f>
        <v>46865</v>
      </c>
      <c r="N60" s="21">
        <f t="shared" ca="1" si="0"/>
        <v>643.49944016203517</v>
      </c>
      <c r="O60" s="22" t="str">
        <f t="shared" ca="1" si="1"/>
        <v>VIGENTE</v>
      </c>
      <c r="P60" s="28">
        <v>46135</v>
      </c>
      <c r="Q60" s="20">
        <f>P60+730</f>
        <v>46865</v>
      </c>
      <c r="R60" s="21">
        <f t="shared" ca="1" si="2"/>
        <v>643.49944016203517</v>
      </c>
      <c r="S60" s="22" t="str">
        <f t="shared" ca="1" si="3"/>
        <v>VIGENTE</v>
      </c>
      <c r="T60" s="28">
        <v>46135</v>
      </c>
      <c r="U60" s="20">
        <f>T60+730</f>
        <v>46865</v>
      </c>
      <c r="V60" s="21">
        <f t="shared" ca="1" si="4"/>
        <v>643.49944016203517</v>
      </c>
      <c r="W60" s="22" t="str">
        <f t="shared" ca="1" si="5"/>
        <v>VIGENTE</v>
      </c>
      <c r="X60" s="23">
        <v>4</v>
      </c>
      <c r="Y60" s="23">
        <v>3</v>
      </c>
      <c r="Z60" s="23">
        <f t="shared" si="6"/>
        <v>4</v>
      </c>
      <c r="AA60" s="23">
        <f t="shared" ca="1" si="7"/>
        <v>3</v>
      </c>
      <c r="AB60" s="24">
        <f t="shared" ref="AB60:AC60" si="98">Z60/X60</f>
        <v>1</v>
      </c>
      <c r="AC60" s="24">
        <f t="shared" ca="1" si="98"/>
        <v>1</v>
      </c>
      <c r="AD60" s="25">
        <f ca="1">(Z60+AA60)/7</f>
        <v>1</v>
      </c>
      <c r="AE60" s="23"/>
      <c r="AF60" s="23"/>
      <c r="AG60" s="23"/>
      <c r="AH60" s="23"/>
    </row>
    <row r="61" spans="1:34" ht="14.4" x14ac:dyDescent="0.3">
      <c r="A61" s="30"/>
      <c r="B61" s="27"/>
      <c r="C61" s="18" t="str">
        <f>LOOKUP(F61,BD!C:C,BD!A:A)</f>
        <v>KAREN JULIETH</v>
      </c>
      <c r="D61" s="18" t="str">
        <f>LOOKUP(F61,BD!C:C,BD!B:B)</f>
        <v>ZABALA GUZMAN</v>
      </c>
      <c r="E61" s="18">
        <v>3134484081</v>
      </c>
      <c r="F61" s="18">
        <v>1006148577</v>
      </c>
      <c r="G61" s="18">
        <f>LOOKUP(F61,BD!C:C,BD!D:D)</f>
        <v>25061414861</v>
      </c>
      <c r="H61" s="19" t="s">
        <v>30</v>
      </c>
      <c r="I61" s="19" t="s">
        <v>30</v>
      </c>
      <c r="J61" s="19" t="s">
        <v>30</v>
      </c>
      <c r="K61" s="19" t="s">
        <v>30</v>
      </c>
      <c r="L61" s="20">
        <v>45937</v>
      </c>
      <c r="M61" s="20">
        <f t="shared" ref="M61:M68" si="99">L61+730</f>
        <v>46667</v>
      </c>
      <c r="N61" s="21">
        <f t="shared" ca="1" si="0"/>
        <v>445.49944016203517</v>
      </c>
      <c r="O61" s="22" t="str">
        <f t="shared" ca="1" si="1"/>
        <v>VIGENTE</v>
      </c>
      <c r="P61" s="20">
        <v>45925</v>
      </c>
      <c r="Q61" s="20">
        <f t="shared" ref="Q61:Q64" si="100">P61+730</f>
        <v>46655</v>
      </c>
      <c r="R61" s="21">
        <f t="shared" ca="1" si="2"/>
        <v>433.49944016203517</v>
      </c>
      <c r="S61" s="22" t="str">
        <f t="shared" ca="1" si="3"/>
        <v>VIGENTE</v>
      </c>
      <c r="T61" s="20">
        <v>45925</v>
      </c>
      <c r="U61" s="20">
        <f t="shared" ref="U61:U64" si="101">T61+730</f>
        <v>46655</v>
      </c>
      <c r="V61" s="21">
        <f t="shared" ca="1" si="4"/>
        <v>433.49944016203517</v>
      </c>
      <c r="W61" s="22" t="str">
        <f t="shared" ca="1" si="5"/>
        <v>VIGENTE</v>
      </c>
      <c r="X61" s="23">
        <v>4</v>
      </c>
      <c r="Y61" s="23">
        <v>3</v>
      </c>
      <c r="Z61" s="23">
        <f t="shared" si="6"/>
        <v>4</v>
      </c>
      <c r="AA61" s="23">
        <f t="shared" ca="1" si="7"/>
        <v>3</v>
      </c>
      <c r="AB61" s="24">
        <f t="shared" ref="AB61:AC61" si="102">Z61/X61</f>
        <v>1</v>
      </c>
      <c r="AC61" s="24">
        <f t="shared" ca="1" si="102"/>
        <v>1</v>
      </c>
      <c r="AD61" s="25">
        <f t="shared" ref="AD61:AD73" ca="1" si="103">(Z61+AA61)/7</f>
        <v>1</v>
      </c>
      <c r="AE61" s="23"/>
      <c r="AF61" s="23"/>
      <c r="AG61" s="23"/>
      <c r="AH61" s="23"/>
    </row>
    <row r="62" spans="1:34" ht="14.4" x14ac:dyDescent="0.3">
      <c r="A62" s="30"/>
      <c r="B62" s="27"/>
      <c r="C62" s="18" t="str">
        <f>LOOKUP(F62,BD!C:C,BD!A:A)</f>
        <v>KATERIN YIRLEY</v>
      </c>
      <c r="D62" s="18" t="str">
        <f>LOOKUP(F62,BD!C:C,BD!B:B)</f>
        <v>TABORDA CAÑAS</v>
      </c>
      <c r="E62" s="18">
        <v>3002152917</v>
      </c>
      <c r="F62" s="18">
        <v>1020448237</v>
      </c>
      <c r="G62" s="18">
        <f>LOOKUP(F62,BD!C:C,BD!D:D)</f>
        <v>1020448237</v>
      </c>
      <c r="H62" s="19" t="s">
        <v>30</v>
      </c>
      <c r="I62" s="19" t="s">
        <v>30</v>
      </c>
      <c r="J62" s="19" t="s">
        <v>30</v>
      </c>
      <c r="K62" s="19" t="s">
        <v>30</v>
      </c>
      <c r="L62" s="28">
        <v>45935</v>
      </c>
      <c r="M62" s="20">
        <f t="shared" si="99"/>
        <v>46665</v>
      </c>
      <c r="N62" s="21">
        <f t="shared" ca="1" si="0"/>
        <v>443.49944016203517</v>
      </c>
      <c r="O62" s="22" t="str">
        <f t="shared" ca="1" si="1"/>
        <v>VIGENTE</v>
      </c>
      <c r="P62" s="20">
        <v>45968</v>
      </c>
      <c r="Q62" s="20">
        <f t="shared" si="100"/>
        <v>46698</v>
      </c>
      <c r="R62" s="21">
        <f t="shared" ca="1" si="2"/>
        <v>476.49944016203517</v>
      </c>
      <c r="S62" s="22" t="str">
        <f t="shared" ca="1" si="3"/>
        <v>VIGENTE</v>
      </c>
      <c r="T62" s="20">
        <v>45939</v>
      </c>
      <c r="U62" s="20">
        <f t="shared" si="101"/>
        <v>46669</v>
      </c>
      <c r="V62" s="21">
        <f t="shared" ca="1" si="4"/>
        <v>447.49944016203517</v>
      </c>
      <c r="W62" s="22" t="str">
        <f t="shared" ca="1" si="5"/>
        <v>VIGENTE</v>
      </c>
      <c r="X62" s="23">
        <v>4</v>
      </c>
      <c r="Y62" s="23">
        <v>3</v>
      </c>
      <c r="Z62" s="23">
        <f t="shared" si="6"/>
        <v>4</v>
      </c>
      <c r="AA62" s="23">
        <f t="shared" ca="1" si="7"/>
        <v>3</v>
      </c>
      <c r="AB62" s="24">
        <f t="shared" ref="AB62:AC62" si="104">Z62/X62</f>
        <v>1</v>
      </c>
      <c r="AC62" s="24">
        <f t="shared" ca="1" si="104"/>
        <v>1</v>
      </c>
      <c r="AD62" s="25">
        <f t="shared" ca="1" si="103"/>
        <v>1</v>
      </c>
      <c r="AE62" s="23"/>
      <c r="AF62" s="23"/>
      <c r="AG62" s="23"/>
      <c r="AH62" s="23"/>
    </row>
    <row r="63" spans="1:34" ht="14.4" x14ac:dyDescent="0.3">
      <c r="A63" s="30"/>
      <c r="B63" s="27"/>
      <c r="C63" s="18" t="str">
        <f>LOOKUP(F63,BD!C:C,BD!A:A)</f>
        <v>LAURA ANDREA</v>
      </c>
      <c r="D63" s="18" t="str">
        <f>LOOKUP(F63,BD!C:C,BD!B:B)</f>
        <v>LLANO CANO</v>
      </c>
      <c r="E63" s="18">
        <v>3058883729</v>
      </c>
      <c r="F63" s="18">
        <v>1000190302</v>
      </c>
      <c r="G63" s="18">
        <f>LOOKUP(F63,BD!C:C,BD!D:D)</f>
        <v>5649121</v>
      </c>
      <c r="H63" s="19" t="s">
        <v>30</v>
      </c>
      <c r="I63" s="19" t="s">
        <v>30</v>
      </c>
      <c r="J63" s="19" t="s">
        <v>30</v>
      </c>
      <c r="K63" s="19" t="s">
        <v>30</v>
      </c>
      <c r="L63" s="20">
        <v>45982</v>
      </c>
      <c r="M63" s="20">
        <f t="shared" si="99"/>
        <v>46712</v>
      </c>
      <c r="N63" s="21">
        <f t="shared" ca="1" si="0"/>
        <v>490.49944016203517</v>
      </c>
      <c r="O63" s="22" t="str">
        <f t="shared" ca="1" si="1"/>
        <v>VIGENTE</v>
      </c>
      <c r="P63" s="20">
        <v>45455</v>
      </c>
      <c r="Q63" s="20">
        <f t="shared" si="100"/>
        <v>46185</v>
      </c>
      <c r="R63" s="21">
        <f t="shared" ca="1" si="2"/>
        <v>-36.500559837964829</v>
      </c>
      <c r="S63" s="22" t="str">
        <f t="shared" ca="1" si="3"/>
        <v>NO CUMPLE</v>
      </c>
      <c r="T63" s="20">
        <v>45483</v>
      </c>
      <c r="U63" s="20">
        <f t="shared" si="101"/>
        <v>46213</v>
      </c>
      <c r="V63" s="21">
        <f t="shared" ca="1" si="4"/>
        <v>-8.5005598379648291</v>
      </c>
      <c r="W63" s="22" t="str">
        <f t="shared" ca="1" si="5"/>
        <v>NO CUMPLE</v>
      </c>
      <c r="X63" s="23">
        <v>4</v>
      </c>
      <c r="Y63" s="23">
        <v>3</v>
      </c>
      <c r="Z63" s="23">
        <f t="shared" si="6"/>
        <v>4</v>
      </c>
      <c r="AA63" s="23">
        <f t="shared" ca="1" si="7"/>
        <v>1</v>
      </c>
      <c r="AB63" s="24">
        <f t="shared" ref="AB63:AC63" si="105">Z63/X63</f>
        <v>1</v>
      </c>
      <c r="AC63" s="24">
        <f t="shared" ca="1" si="105"/>
        <v>0.33333333333333331</v>
      </c>
      <c r="AD63" s="25">
        <f t="shared" ca="1" si="103"/>
        <v>0.7142857142857143</v>
      </c>
      <c r="AE63" s="23"/>
      <c r="AF63" s="23"/>
      <c r="AG63" s="23"/>
      <c r="AH63" s="23"/>
    </row>
    <row r="64" spans="1:34" ht="14.4" x14ac:dyDescent="0.3">
      <c r="A64" s="30"/>
      <c r="B64" s="27"/>
      <c r="C64" s="18" t="str">
        <f>LOOKUP(F64,BD!C:C,BD!A:A)</f>
        <v>LAURA CAMILA</v>
      </c>
      <c r="D64" s="18" t="str">
        <f>LOOKUP(F64,BD!C:C,BD!B:B)</f>
        <v>CABRERA LEZCANO</v>
      </c>
      <c r="E64" s="18">
        <v>3207230991</v>
      </c>
      <c r="F64" s="18">
        <v>1000772163</v>
      </c>
      <c r="G64" s="18">
        <f>LOOKUP(F64,BD!C:C,BD!D:D)</f>
        <v>24060080438</v>
      </c>
      <c r="H64" s="19" t="s">
        <v>30</v>
      </c>
      <c r="I64" s="19" t="s">
        <v>30</v>
      </c>
      <c r="J64" s="19" t="s">
        <v>30</v>
      </c>
      <c r="K64" s="19" t="s">
        <v>30</v>
      </c>
      <c r="L64" s="20">
        <v>46129</v>
      </c>
      <c r="M64" s="20">
        <f t="shared" si="99"/>
        <v>46859</v>
      </c>
      <c r="N64" s="21">
        <f t="shared" ca="1" si="0"/>
        <v>637.49944016203517</v>
      </c>
      <c r="O64" s="22" t="str">
        <f t="shared" ca="1" si="1"/>
        <v>VIGENTE</v>
      </c>
      <c r="P64" s="20">
        <v>46129</v>
      </c>
      <c r="Q64" s="20">
        <f t="shared" si="100"/>
        <v>46859</v>
      </c>
      <c r="R64" s="21">
        <f t="shared" ca="1" si="2"/>
        <v>637.49944016203517</v>
      </c>
      <c r="S64" s="22" t="str">
        <f t="shared" ca="1" si="3"/>
        <v>VIGENTE</v>
      </c>
      <c r="T64" s="20">
        <v>46129</v>
      </c>
      <c r="U64" s="20">
        <f t="shared" si="101"/>
        <v>46859</v>
      </c>
      <c r="V64" s="21">
        <f t="shared" ca="1" si="4"/>
        <v>637.49944016203517</v>
      </c>
      <c r="W64" s="22" t="str">
        <f t="shared" ca="1" si="5"/>
        <v>VIGENTE</v>
      </c>
      <c r="X64" s="23">
        <v>4</v>
      </c>
      <c r="Y64" s="23">
        <v>3</v>
      </c>
      <c r="Z64" s="23">
        <f t="shared" si="6"/>
        <v>4</v>
      </c>
      <c r="AA64" s="23">
        <f t="shared" ca="1" si="7"/>
        <v>3</v>
      </c>
      <c r="AB64" s="24">
        <f t="shared" ref="AB64:AC64" si="106">Z64/X64</f>
        <v>1</v>
      </c>
      <c r="AC64" s="24">
        <f t="shared" ca="1" si="106"/>
        <v>1</v>
      </c>
      <c r="AD64" s="25">
        <f t="shared" ca="1" si="103"/>
        <v>1</v>
      </c>
      <c r="AE64" s="23"/>
      <c r="AF64" s="23"/>
      <c r="AG64" s="23"/>
      <c r="AH64" s="23"/>
    </row>
    <row r="65" spans="1:34" ht="14.4" x14ac:dyDescent="0.3">
      <c r="A65" s="30"/>
      <c r="B65" s="27"/>
      <c r="C65" s="18" t="str">
        <f>LOOKUP(F65,BD!C:C,BD!A:A)</f>
        <v>LAURA TATIANA</v>
      </c>
      <c r="D65" s="18" t="str">
        <f>LOOKUP(F65,BD!C:C,BD!B:B)</f>
        <v>TABARES RAMIREZ</v>
      </c>
      <c r="E65" s="18">
        <v>3003623297</v>
      </c>
      <c r="F65" s="18">
        <v>1001229476</v>
      </c>
      <c r="G65" s="18">
        <f>LOOKUP(F65,BD!C:C,BD!D:D)</f>
        <v>24060431136</v>
      </c>
      <c r="H65" s="19" t="s">
        <v>30</v>
      </c>
      <c r="I65" s="19" t="s">
        <v>30</v>
      </c>
      <c r="J65" s="19" t="s">
        <v>30</v>
      </c>
      <c r="K65" s="19" t="s">
        <v>30</v>
      </c>
      <c r="L65" s="20">
        <v>46045</v>
      </c>
      <c r="M65" s="20">
        <f t="shared" si="99"/>
        <v>46775</v>
      </c>
      <c r="N65" s="21">
        <f t="shared" ca="1" si="0"/>
        <v>553.49944016203517</v>
      </c>
      <c r="O65" s="22" t="str">
        <f t="shared" ca="1" si="1"/>
        <v>VIGENTE</v>
      </c>
      <c r="P65" s="20">
        <v>46171</v>
      </c>
      <c r="Q65" s="20">
        <f>P65+365</f>
        <v>46536</v>
      </c>
      <c r="R65" s="21">
        <f t="shared" ca="1" si="2"/>
        <v>314.49944016203517</v>
      </c>
      <c r="S65" s="22" t="str">
        <f t="shared" ca="1" si="3"/>
        <v>VIGENTE</v>
      </c>
      <c r="T65" s="20">
        <v>46171</v>
      </c>
      <c r="U65" s="20">
        <f>T65+365</f>
        <v>46536</v>
      </c>
      <c r="V65" s="21">
        <f t="shared" ca="1" si="4"/>
        <v>314.49944016203517</v>
      </c>
      <c r="W65" s="22" t="str">
        <f t="shared" ca="1" si="5"/>
        <v>VIGENTE</v>
      </c>
      <c r="X65" s="23">
        <v>4</v>
      </c>
      <c r="Y65" s="23">
        <v>3</v>
      </c>
      <c r="Z65" s="23">
        <f t="shared" si="6"/>
        <v>4</v>
      </c>
      <c r="AA65" s="23">
        <f t="shared" ca="1" si="7"/>
        <v>3</v>
      </c>
      <c r="AB65" s="24">
        <f t="shared" ref="AB65:AC65" si="107">Z65/X65</f>
        <v>1</v>
      </c>
      <c r="AC65" s="24">
        <f t="shared" ca="1" si="107"/>
        <v>1</v>
      </c>
      <c r="AD65" s="25">
        <f t="shared" ca="1" si="103"/>
        <v>1</v>
      </c>
      <c r="AE65" s="23"/>
      <c r="AF65" s="23"/>
      <c r="AG65" s="23"/>
      <c r="AH65" s="23"/>
    </row>
    <row r="66" spans="1:34" ht="14.4" x14ac:dyDescent="0.3">
      <c r="A66" s="30"/>
      <c r="B66" s="27"/>
      <c r="C66" s="18" t="str">
        <f>LOOKUP(F66,BD!C:C,BD!A:A)</f>
        <v>LEIDER MISAEL</v>
      </c>
      <c r="D66" s="18" t="str">
        <f>LOOKUP(F66,BD!C:C,BD!B:B)</f>
        <v>GUALDRON HERNANDEZ</v>
      </c>
      <c r="E66" s="18">
        <v>3023984664</v>
      </c>
      <c r="F66" s="18">
        <v>1118571413</v>
      </c>
      <c r="G66" s="18">
        <f>LOOKUP(F66,BD!C:C,BD!D:D)</f>
        <v>5601323</v>
      </c>
      <c r="H66" s="19" t="s">
        <v>30</v>
      </c>
      <c r="I66" s="19" t="s">
        <v>30</v>
      </c>
      <c r="J66" s="19" t="s">
        <v>30</v>
      </c>
      <c r="K66" s="19" t="s">
        <v>30</v>
      </c>
      <c r="L66" s="20">
        <v>45836</v>
      </c>
      <c r="M66" s="20">
        <f t="shared" si="99"/>
        <v>46566</v>
      </c>
      <c r="N66" s="21">
        <f t="shared" ca="1" si="0"/>
        <v>344.49944016203517</v>
      </c>
      <c r="O66" s="22" t="str">
        <f t="shared" ca="1" si="1"/>
        <v>VIGENTE</v>
      </c>
      <c r="P66" s="20">
        <v>45691</v>
      </c>
      <c r="Q66" s="20">
        <f t="shared" ref="Q66:Q68" si="108">P66+730</f>
        <v>46421</v>
      </c>
      <c r="R66" s="21">
        <f t="shared" ca="1" si="2"/>
        <v>199.49944016203517</v>
      </c>
      <c r="S66" s="22" t="str">
        <f t="shared" ca="1" si="3"/>
        <v>VIGENTE</v>
      </c>
      <c r="T66" s="20">
        <v>45694</v>
      </c>
      <c r="U66" s="20">
        <f t="shared" ref="U66:U68" si="109">T66+730</f>
        <v>46424</v>
      </c>
      <c r="V66" s="21">
        <f t="shared" ca="1" si="4"/>
        <v>202.49944016203517</v>
      </c>
      <c r="W66" s="22" t="str">
        <f t="shared" ca="1" si="5"/>
        <v>VIGENTE</v>
      </c>
      <c r="X66" s="23">
        <v>4</v>
      </c>
      <c r="Y66" s="23">
        <v>3</v>
      </c>
      <c r="Z66" s="23">
        <f t="shared" si="6"/>
        <v>4</v>
      </c>
      <c r="AA66" s="23">
        <f t="shared" ca="1" si="7"/>
        <v>3</v>
      </c>
      <c r="AB66" s="24">
        <f t="shared" ref="AB66:AC66" si="110">Z66/X66</f>
        <v>1</v>
      </c>
      <c r="AC66" s="24">
        <f t="shared" ca="1" si="110"/>
        <v>1</v>
      </c>
      <c r="AD66" s="25">
        <f t="shared" ca="1" si="103"/>
        <v>1</v>
      </c>
      <c r="AE66" s="23"/>
      <c r="AF66" s="23"/>
      <c r="AG66" s="23"/>
      <c r="AH66" s="23"/>
    </row>
    <row r="67" spans="1:34" ht="14.4" x14ac:dyDescent="0.3">
      <c r="A67" s="30"/>
      <c r="B67" s="27"/>
      <c r="C67" s="18" t="str">
        <f>LOOKUP(F67,BD!C:C,BD!A:A)</f>
        <v>LEIDY ALEXANDRA</v>
      </c>
      <c r="D67" s="18" t="str">
        <f>LOOKUP(F67,BD!C:C,BD!B:B)</f>
        <v>CASTRO MONTOYA</v>
      </c>
      <c r="E67" s="18">
        <v>3023889609</v>
      </c>
      <c r="F67" s="18">
        <v>1045670290</v>
      </c>
      <c r="G67" s="18">
        <f>LOOKUP(F67,BD!C:C,BD!D:D)</f>
        <v>4230</v>
      </c>
      <c r="H67" s="19" t="s">
        <v>30</v>
      </c>
      <c r="I67" s="19" t="s">
        <v>30</v>
      </c>
      <c r="J67" s="19" t="s">
        <v>30</v>
      </c>
      <c r="K67" s="19" t="s">
        <v>30</v>
      </c>
      <c r="L67" s="20">
        <v>45693</v>
      </c>
      <c r="M67" s="20">
        <f t="shared" si="99"/>
        <v>46423</v>
      </c>
      <c r="N67" s="21">
        <f t="shared" ca="1" si="0"/>
        <v>201.49944016203517</v>
      </c>
      <c r="O67" s="22" t="str">
        <f t="shared" ca="1" si="1"/>
        <v>VIGENTE</v>
      </c>
      <c r="P67" s="20">
        <v>45691</v>
      </c>
      <c r="Q67" s="20">
        <f t="shared" si="108"/>
        <v>46421</v>
      </c>
      <c r="R67" s="21">
        <f t="shared" ca="1" si="2"/>
        <v>199.49944016203517</v>
      </c>
      <c r="S67" s="22" t="str">
        <f t="shared" ca="1" si="3"/>
        <v>VIGENTE</v>
      </c>
      <c r="T67" s="20">
        <v>45683</v>
      </c>
      <c r="U67" s="20">
        <f t="shared" si="109"/>
        <v>46413</v>
      </c>
      <c r="V67" s="21">
        <f t="shared" ca="1" si="4"/>
        <v>191.49944016203517</v>
      </c>
      <c r="W67" s="22" t="str">
        <f t="shared" ca="1" si="5"/>
        <v>VIGENTE</v>
      </c>
      <c r="X67" s="23">
        <v>4</v>
      </c>
      <c r="Y67" s="23">
        <v>3</v>
      </c>
      <c r="Z67" s="23">
        <f t="shared" si="6"/>
        <v>4</v>
      </c>
      <c r="AA67" s="23">
        <f t="shared" ca="1" si="7"/>
        <v>3</v>
      </c>
      <c r="AB67" s="24">
        <f t="shared" ref="AB67:AC67" si="111">Z67/X67</f>
        <v>1</v>
      </c>
      <c r="AC67" s="24">
        <f t="shared" ca="1" si="111"/>
        <v>1</v>
      </c>
      <c r="AD67" s="25">
        <f t="shared" ca="1" si="103"/>
        <v>1</v>
      </c>
      <c r="AE67" s="23"/>
      <c r="AF67" s="23"/>
      <c r="AG67" s="23"/>
      <c r="AH67" s="23"/>
    </row>
    <row r="68" spans="1:34" ht="14.4" x14ac:dyDescent="0.3">
      <c r="A68" s="30"/>
      <c r="B68" s="27"/>
      <c r="C68" s="18" t="str">
        <f>LOOKUP(F68,BD!C:C,BD!A:A)</f>
        <v>LEIDY CAROLINA</v>
      </c>
      <c r="D68" s="18" t="str">
        <f>LOOKUP(F68,BD!C:C,BD!B:B)</f>
        <v>MONSALVE JARAMILLO</v>
      </c>
      <c r="E68" s="18">
        <v>3122270658</v>
      </c>
      <c r="F68" s="18">
        <v>1045107358</v>
      </c>
      <c r="G68" s="18">
        <f>LOOKUP(F68,BD!C:C,BD!D:D)</f>
        <v>5198907</v>
      </c>
      <c r="H68" s="19" t="s">
        <v>30</v>
      </c>
      <c r="I68" s="19" t="s">
        <v>30</v>
      </c>
      <c r="J68" s="19" t="s">
        <v>30</v>
      </c>
      <c r="K68" s="19" t="s">
        <v>30</v>
      </c>
      <c r="L68" s="31">
        <v>45859</v>
      </c>
      <c r="M68" s="20">
        <f t="shared" si="99"/>
        <v>46589</v>
      </c>
      <c r="N68" s="21">
        <f t="shared" ca="1" si="0"/>
        <v>367.49944016203517</v>
      </c>
      <c r="O68" s="22" t="str">
        <f t="shared" ca="1" si="1"/>
        <v>VIGENTE</v>
      </c>
      <c r="P68" s="20">
        <v>45880</v>
      </c>
      <c r="Q68" s="20">
        <f t="shared" si="108"/>
        <v>46610</v>
      </c>
      <c r="R68" s="21">
        <f t="shared" ca="1" si="2"/>
        <v>388.49944016203517</v>
      </c>
      <c r="S68" s="22" t="str">
        <f t="shared" ca="1" si="3"/>
        <v>VIGENTE</v>
      </c>
      <c r="T68" s="20">
        <v>45880</v>
      </c>
      <c r="U68" s="20">
        <f t="shared" si="109"/>
        <v>46610</v>
      </c>
      <c r="V68" s="21">
        <f t="shared" ca="1" si="4"/>
        <v>388.49944016203517</v>
      </c>
      <c r="W68" s="22" t="str">
        <f t="shared" ca="1" si="5"/>
        <v>VIGENTE</v>
      </c>
      <c r="X68" s="23">
        <v>4</v>
      </c>
      <c r="Y68" s="23">
        <v>3</v>
      </c>
      <c r="Z68" s="23">
        <f t="shared" si="6"/>
        <v>4</v>
      </c>
      <c r="AA68" s="23">
        <f t="shared" ca="1" si="7"/>
        <v>3</v>
      </c>
      <c r="AB68" s="24">
        <f t="shared" ref="AB68:AC68" si="112">Z68/X68</f>
        <v>1</v>
      </c>
      <c r="AC68" s="24">
        <f t="shared" ca="1" si="112"/>
        <v>1</v>
      </c>
      <c r="AD68" s="25">
        <f t="shared" ca="1" si="103"/>
        <v>1</v>
      </c>
      <c r="AE68" s="23"/>
      <c r="AF68" s="23"/>
      <c r="AG68" s="23"/>
      <c r="AH68" s="23"/>
    </row>
    <row r="69" spans="1:34" ht="14.4" x14ac:dyDescent="0.3">
      <c r="A69" s="30"/>
      <c r="B69" s="27"/>
      <c r="C69" s="18" t="str">
        <f>LOOKUP(F69,BD!C:C,BD!A:A)</f>
        <v>LEIDY JOHANA</v>
      </c>
      <c r="D69" s="18" t="str">
        <f>LOOKUP(F69,BD!C:C,BD!B:B)</f>
        <v>MESA MESA</v>
      </c>
      <c r="E69" s="18">
        <v>3148321465</v>
      </c>
      <c r="F69" s="18">
        <v>1017148321</v>
      </c>
      <c r="G69" s="18">
        <f>LOOKUP(F69,BD!C:C,BD!D:D)</f>
        <v>5698818</v>
      </c>
      <c r="H69" s="19" t="s">
        <v>30</v>
      </c>
      <c r="I69" s="19" t="s">
        <v>30</v>
      </c>
      <c r="J69" s="19" t="s">
        <v>30</v>
      </c>
      <c r="K69" s="19" t="s">
        <v>30</v>
      </c>
      <c r="L69" s="28">
        <v>46143</v>
      </c>
      <c r="M69" s="20">
        <f>L69+365</f>
        <v>46508</v>
      </c>
      <c r="N69" s="21">
        <f t="shared" ca="1" si="0"/>
        <v>286.49944016203517</v>
      </c>
      <c r="O69" s="22" t="str">
        <f t="shared" ca="1" si="1"/>
        <v>VIGENTE</v>
      </c>
      <c r="P69" s="28">
        <v>46143</v>
      </c>
      <c r="Q69" s="20">
        <f t="shared" ref="Q69:Q70" si="113">P69+365</f>
        <v>46508</v>
      </c>
      <c r="R69" s="21">
        <f t="shared" ca="1" si="2"/>
        <v>286.49944016203517</v>
      </c>
      <c r="S69" s="22" t="str">
        <f t="shared" ca="1" si="3"/>
        <v>VIGENTE</v>
      </c>
      <c r="T69" s="28">
        <v>46143</v>
      </c>
      <c r="U69" s="20">
        <f t="shared" ref="U69:U70" si="114">T69+365</f>
        <v>46508</v>
      </c>
      <c r="V69" s="21">
        <f t="shared" ca="1" si="4"/>
        <v>286.49944016203517</v>
      </c>
      <c r="W69" s="22" t="str">
        <f t="shared" ca="1" si="5"/>
        <v>VIGENTE</v>
      </c>
      <c r="X69" s="23">
        <v>4</v>
      </c>
      <c r="Y69" s="23">
        <v>3</v>
      </c>
      <c r="Z69" s="23">
        <f t="shared" si="6"/>
        <v>4</v>
      </c>
      <c r="AA69" s="23">
        <f t="shared" ca="1" si="7"/>
        <v>3</v>
      </c>
      <c r="AB69" s="24">
        <f t="shared" ref="AB69:AC69" si="115">Z69/X69</f>
        <v>1</v>
      </c>
      <c r="AC69" s="24">
        <f t="shared" ca="1" si="115"/>
        <v>1</v>
      </c>
      <c r="AD69" s="25">
        <f t="shared" ca="1" si="103"/>
        <v>1</v>
      </c>
      <c r="AE69" s="23"/>
      <c r="AF69" s="23"/>
      <c r="AG69" s="23"/>
      <c r="AH69" s="23"/>
    </row>
    <row r="70" spans="1:34" ht="14.4" x14ac:dyDescent="0.3">
      <c r="A70" s="30"/>
      <c r="B70" s="27"/>
      <c r="C70" s="18" t="str">
        <f>LOOKUP(F70,BD!C:C,BD!A:A)</f>
        <v>LEIDY MELISA</v>
      </c>
      <c r="D70" s="18" t="str">
        <f>LOOKUP(F70,BD!C:C,BD!B:B)</f>
        <v>RENDON MARIN</v>
      </c>
      <c r="E70" s="18">
        <v>3506672991</v>
      </c>
      <c r="F70" s="18">
        <v>1045113217</v>
      </c>
      <c r="G70" s="18">
        <f>LOOKUP(F70,BD!C:C,BD!D:D)</f>
        <v>5352216</v>
      </c>
      <c r="H70" s="19" t="s">
        <v>30</v>
      </c>
      <c r="I70" s="19" t="s">
        <v>30</v>
      </c>
      <c r="J70" s="19" t="s">
        <v>30</v>
      </c>
      <c r="K70" s="19" t="s">
        <v>30</v>
      </c>
      <c r="L70" s="20">
        <v>45582</v>
      </c>
      <c r="M70" s="20">
        <f t="shared" ref="M70:M73" si="116">L70+730</f>
        <v>46312</v>
      </c>
      <c r="N70" s="21">
        <f t="shared" ca="1" si="0"/>
        <v>90.499440162035171</v>
      </c>
      <c r="O70" s="22" t="str">
        <f t="shared" ca="1" si="1"/>
        <v>VIGENTE</v>
      </c>
      <c r="P70" s="20">
        <v>46028</v>
      </c>
      <c r="Q70" s="20">
        <f t="shared" si="113"/>
        <v>46393</v>
      </c>
      <c r="R70" s="21">
        <f t="shared" ca="1" si="2"/>
        <v>171.49944016203517</v>
      </c>
      <c r="S70" s="22" t="str">
        <f t="shared" ca="1" si="3"/>
        <v>VIGENTE</v>
      </c>
      <c r="T70" s="20">
        <v>46028</v>
      </c>
      <c r="U70" s="20">
        <f t="shared" si="114"/>
        <v>46393</v>
      </c>
      <c r="V70" s="21">
        <f t="shared" ca="1" si="4"/>
        <v>171.49944016203517</v>
      </c>
      <c r="W70" s="22" t="str">
        <f t="shared" ca="1" si="5"/>
        <v>VIGENTE</v>
      </c>
      <c r="X70" s="23">
        <v>4</v>
      </c>
      <c r="Y70" s="23">
        <v>3</v>
      </c>
      <c r="Z70" s="23">
        <f t="shared" si="6"/>
        <v>4</v>
      </c>
      <c r="AA70" s="23">
        <f t="shared" ca="1" si="7"/>
        <v>3</v>
      </c>
      <c r="AB70" s="24">
        <f t="shared" ref="AB70:AC70" si="117">Z70/X70</f>
        <v>1</v>
      </c>
      <c r="AC70" s="24">
        <f t="shared" ca="1" si="117"/>
        <v>1</v>
      </c>
      <c r="AD70" s="25">
        <f t="shared" ca="1" si="103"/>
        <v>1</v>
      </c>
      <c r="AE70" s="23"/>
      <c r="AF70" s="23"/>
      <c r="AG70" s="23"/>
      <c r="AH70" s="23"/>
    </row>
    <row r="71" spans="1:34" ht="14.4" x14ac:dyDescent="0.3">
      <c r="A71" s="30"/>
      <c r="B71" s="27"/>
      <c r="C71" s="18" t="str">
        <f>LOOKUP(F71,BD!C:C,BD!A:A)</f>
        <v>LEIDY YOHANA</v>
      </c>
      <c r="D71" s="18" t="str">
        <f>LOOKUP(F71,BD!C:C,BD!B:B)</f>
        <v>ORTIZ PEREZ</v>
      </c>
      <c r="E71" s="18">
        <v>3103989649</v>
      </c>
      <c r="F71" s="18">
        <v>1216728020</v>
      </c>
      <c r="G71" s="18">
        <f>LOOKUP(F71,BD!C:C,BD!D:D)</f>
        <v>5129521</v>
      </c>
      <c r="H71" s="19" t="s">
        <v>30</v>
      </c>
      <c r="I71" s="19" t="s">
        <v>30</v>
      </c>
      <c r="J71" s="19" t="s">
        <v>30</v>
      </c>
      <c r="K71" s="19" t="s">
        <v>30</v>
      </c>
      <c r="L71" s="28">
        <v>45945</v>
      </c>
      <c r="M71" s="20">
        <f t="shared" si="116"/>
        <v>46675</v>
      </c>
      <c r="N71" s="21">
        <f t="shared" ca="1" si="0"/>
        <v>453.49944016203517</v>
      </c>
      <c r="O71" s="22" t="str">
        <f t="shared" ca="1" si="1"/>
        <v>VIGENTE</v>
      </c>
      <c r="P71" s="20">
        <v>45880</v>
      </c>
      <c r="Q71" s="20">
        <f t="shared" ref="Q71:Q72" si="118">P71+730</f>
        <v>46610</v>
      </c>
      <c r="R71" s="21">
        <f t="shared" ca="1" si="2"/>
        <v>388.49944016203517</v>
      </c>
      <c r="S71" s="22" t="str">
        <f t="shared" ca="1" si="3"/>
        <v>VIGENTE</v>
      </c>
      <c r="T71" s="20">
        <v>45880</v>
      </c>
      <c r="U71" s="20">
        <f t="shared" ref="U71:U72" si="119">T71+730</f>
        <v>46610</v>
      </c>
      <c r="V71" s="21">
        <f t="shared" ca="1" si="4"/>
        <v>388.49944016203517</v>
      </c>
      <c r="W71" s="22" t="str">
        <f t="shared" ca="1" si="5"/>
        <v>VIGENTE</v>
      </c>
      <c r="X71" s="23">
        <v>4</v>
      </c>
      <c r="Y71" s="23">
        <v>3</v>
      </c>
      <c r="Z71" s="23">
        <f t="shared" si="6"/>
        <v>4</v>
      </c>
      <c r="AA71" s="23">
        <f t="shared" ca="1" si="7"/>
        <v>3</v>
      </c>
      <c r="AB71" s="24">
        <f t="shared" ref="AB71:AC71" si="120">Z71/X71</f>
        <v>1</v>
      </c>
      <c r="AC71" s="24">
        <f t="shared" ca="1" si="120"/>
        <v>1</v>
      </c>
      <c r="AD71" s="25">
        <f t="shared" ca="1" si="103"/>
        <v>1</v>
      </c>
      <c r="AE71" s="23"/>
      <c r="AF71" s="23"/>
      <c r="AG71" s="23"/>
      <c r="AH71" s="23"/>
    </row>
    <row r="72" spans="1:34" ht="14.4" x14ac:dyDescent="0.3">
      <c r="A72" s="30"/>
      <c r="B72" s="27"/>
      <c r="C72" s="18" t="str">
        <f>LOOKUP(F72,BD!C:C,BD!A:A)</f>
        <v>LEISY YOHANA</v>
      </c>
      <c r="D72" s="18" t="str">
        <f>LOOKUP(F72,BD!C:C,BD!B:B)</f>
        <v>MURILLO ARTEAGA</v>
      </c>
      <c r="E72" s="18">
        <v>3106974262</v>
      </c>
      <c r="F72" s="18">
        <v>1045050556</v>
      </c>
      <c r="G72" s="18">
        <f>LOOKUP(F72,BD!C:C,BD!D:D)</f>
        <v>5671422</v>
      </c>
      <c r="H72" s="19" t="s">
        <v>30</v>
      </c>
      <c r="I72" s="19" t="s">
        <v>30</v>
      </c>
      <c r="J72" s="19" t="s">
        <v>30</v>
      </c>
      <c r="K72" s="19" t="s">
        <v>30</v>
      </c>
      <c r="L72" s="20">
        <v>45505</v>
      </c>
      <c r="M72" s="20">
        <f t="shared" si="116"/>
        <v>46235</v>
      </c>
      <c r="N72" s="21">
        <f t="shared" ca="1" si="0"/>
        <v>13.499440162035171</v>
      </c>
      <c r="O72" s="22" t="str">
        <f t="shared" ca="1" si="1"/>
        <v>VIGENTE</v>
      </c>
      <c r="P72" s="20">
        <v>45501</v>
      </c>
      <c r="Q72" s="20">
        <f t="shared" si="118"/>
        <v>46231</v>
      </c>
      <c r="R72" s="21">
        <f t="shared" ca="1" si="2"/>
        <v>9.4994401620351709</v>
      </c>
      <c r="S72" s="22" t="str">
        <f t="shared" ca="1" si="3"/>
        <v>VIGENTE</v>
      </c>
      <c r="T72" s="20">
        <v>45503</v>
      </c>
      <c r="U72" s="20">
        <f t="shared" si="119"/>
        <v>46233</v>
      </c>
      <c r="V72" s="21">
        <f t="shared" ca="1" si="4"/>
        <v>11.499440162035171</v>
      </c>
      <c r="W72" s="22" t="str">
        <f t="shared" ca="1" si="5"/>
        <v>VIGENTE</v>
      </c>
      <c r="X72" s="23">
        <v>4</v>
      </c>
      <c r="Y72" s="23">
        <v>3</v>
      </c>
      <c r="Z72" s="23">
        <f t="shared" si="6"/>
        <v>4</v>
      </c>
      <c r="AA72" s="23">
        <f t="shared" ca="1" si="7"/>
        <v>3</v>
      </c>
      <c r="AB72" s="24">
        <f t="shared" ref="AB72:AC72" si="121">Z72/X72</f>
        <v>1</v>
      </c>
      <c r="AC72" s="24">
        <f t="shared" ca="1" si="121"/>
        <v>1</v>
      </c>
      <c r="AD72" s="25">
        <f t="shared" ca="1" si="103"/>
        <v>1</v>
      </c>
      <c r="AE72" s="23"/>
      <c r="AF72" s="23"/>
      <c r="AG72" s="23"/>
      <c r="AH72" s="23"/>
    </row>
    <row r="73" spans="1:34" ht="14.4" x14ac:dyDescent="0.3">
      <c r="A73" s="30"/>
      <c r="B73" s="27"/>
      <c r="C73" s="18" t="str">
        <f>LOOKUP(F73,BD!C:C,BD!A:A)</f>
        <v>LEYDY TATIANA</v>
      </c>
      <c r="D73" s="18" t="str">
        <f>LOOKUP(F73,BD!C:C,BD!B:B)</f>
        <v>SALDARRIAGA QUINTERO</v>
      </c>
      <c r="E73" s="18">
        <v>3002206822</v>
      </c>
      <c r="F73" s="18">
        <v>1036614144</v>
      </c>
      <c r="G73" s="18">
        <f>LOOKUP(F73,BD!C:C,BD!D:D)</f>
        <v>24060429475</v>
      </c>
      <c r="H73" s="19" t="s">
        <v>30</v>
      </c>
      <c r="I73" s="19" t="s">
        <v>30</v>
      </c>
      <c r="J73" s="19" t="s">
        <v>30</v>
      </c>
      <c r="K73" s="19" t="s">
        <v>30</v>
      </c>
      <c r="L73" s="20">
        <v>45542</v>
      </c>
      <c r="M73" s="20">
        <f t="shared" si="116"/>
        <v>46272</v>
      </c>
      <c r="N73" s="21">
        <f t="shared" ca="1" si="0"/>
        <v>50.499440162035171</v>
      </c>
      <c r="O73" s="22" t="str">
        <f t="shared" ca="1" si="1"/>
        <v>VIGENTE</v>
      </c>
      <c r="P73" s="20">
        <v>46027</v>
      </c>
      <c r="Q73" s="20">
        <f t="shared" ref="Q73:Q74" si="122">P73+365</f>
        <v>46392</v>
      </c>
      <c r="R73" s="21">
        <f t="shared" ca="1" si="2"/>
        <v>170.49944016203517</v>
      </c>
      <c r="S73" s="22" t="str">
        <f t="shared" ca="1" si="3"/>
        <v>VIGENTE</v>
      </c>
      <c r="T73" s="20">
        <v>46027</v>
      </c>
      <c r="U73" s="20">
        <f t="shared" ref="U73:U75" si="123">T73+365</f>
        <v>46392</v>
      </c>
      <c r="V73" s="21">
        <f t="shared" ca="1" si="4"/>
        <v>170.49944016203517</v>
      </c>
      <c r="W73" s="22" t="str">
        <f t="shared" ca="1" si="5"/>
        <v>VIGENTE</v>
      </c>
      <c r="X73" s="23">
        <v>4</v>
      </c>
      <c r="Y73" s="23">
        <v>3</v>
      </c>
      <c r="Z73" s="23">
        <f t="shared" si="6"/>
        <v>4</v>
      </c>
      <c r="AA73" s="23">
        <f t="shared" ca="1" si="7"/>
        <v>3</v>
      </c>
      <c r="AB73" s="24">
        <f t="shared" ref="AB73:AC73" si="124">Z73/X73</f>
        <v>1</v>
      </c>
      <c r="AC73" s="24">
        <f t="shared" ca="1" si="124"/>
        <v>1</v>
      </c>
      <c r="AD73" s="25">
        <f t="shared" ca="1" si="103"/>
        <v>1</v>
      </c>
      <c r="AE73" s="23"/>
      <c r="AF73" s="23"/>
      <c r="AG73" s="23"/>
      <c r="AH73" s="23"/>
    </row>
    <row r="74" spans="1:34" ht="14.4" x14ac:dyDescent="0.3">
      <c r="A74" s="30"/>
      <c r="B74" s="27"/>
      <c r="C74" s="18" t="str">
        <f>LOOKUP(F74,BD!C:C,BD!A:A)</f>
        <v>LIACELI</v>
      </c>
      <c r="D74" s="18" t="str">
        <f>LOOKUP(F74,BD!C:C,BD!B:B)</f>
        <v>PIEDRAHITA PARRA</v>
      </c>
      <c r="E74" s="18">
        <v>3243303431</v>
      </c>
      <c r="F74" s="18">
        <v>1017175985</v>
      </c>
      <c r="G74" s="18">
        <f>LOOKUP(F74,BD!C:C,BD!D:D)</f>
        <v>5696323</v>
      </c>
      <c r="H74" s="19" t="s">
        <v>30</v>
      </c>
      <c r="I74" s="19" t="s">
        <v>30</v>
      </c>
      <c r="J74" s="19" t="s">
        <v>30</v>
      </c>
      <c r="K74" s="19" t="s">
        <v>30</v>
      </c>
      <c r="L74" s="28">
        <v>46057</v>
      </c>
      <c r="M74" s="20">
        <f>L74+730</f>
        <v>46787</v>
      </c>
      <c r="N74" s="21">
        <f t="shared" ca="1" si="0"/>
        <v>565.49944016203517</v>
      </c>
      <c r="O74" s="22" t="str">
        <f t="shared" ca="1" si="1"/>
        <v>VIGENTE</v>
      </c>
      <c r="P74" s="28">
        <v>46064</v>
      </c>
      <c r="Q74" s="20">
        <f t="shared" si="122"/>
        <v>46429</v>
      </c>
      <c r="R74" s="21">
        <f t="shared" ca="1" si="2"/>
        <v>207.49944016203517</v>
      </c>
      <c r="S74" s="22" t="str">
        <f t="shared" ca="1" si="3"/>
        <v>VIGENTE</v>
      </c>
      <c r="T74" s="28">
        <v>46062</v>
      </c>
      <c r="U74" s="20">
        <f t="shared" si="123"/>
        <v>46427</v>
      </c>
      <c r="V74" s="21">
        <f t="shared" ca="1" si="4"/>
        <v>205.49944016203517</v>
      </c>
      <c r="W74" s="22" t="str">
        <f t="shared" ca="1" si="5"/>
        <v>VIGENTE</v>
      </c>
      <c r="X74" s="23">
        <v>4</v>
      </c>
      <c r="Y74" s="23">
        <v>3</v>
      </c>
      <c r="Z74" s="23">
        <f t="shared" si="6"/>
        <v>4</v>
      </c>
      <c r="AA74" s="23">
        <f t="shared" ca="1" si="7"/>
        <v>3</v>
      </c>
      <c r="AB74" s="24">
        <f t="shared" ref="AB74:AC74" si="125">Z74/X74</f>
        <v>1</v>
      </c>
      <c r="AC74" s="24">
        <f t="shared" ca="1" si="125"/>
        <v>1</v>
      </c>
      <c r="AD74" s="25">
        <f ca="1">(Z74+AA74)/7</f>
        <v>1</v>
      </c>
      <c r="AE74" s="23"/>
      <c r="AF74" s="23"/>
      <c r="AG74" s="23"/>
      <c r="AH74" s="23"/>
    </row>
    <row r="75" spans="1:34" ht="14.4" x14ac:dyDescent="0.3">
      <c r="A75" s="30"/>
      <c r="B75" s="27"/>
      <c r="C75" s="18" t="str">
        <f>LOOKUP(F75,BD!C:C,BD!A:A)</f>
        <v>LIBARDO ALEXIS</v>
      </c>
      <c r="D75" s="18" t="str">
        <f>LOOKUP(F75,BD!C:C,BD!B:B)</f>
        <v>LIDUEÑAS MANCO</v>
      </c>
      <c r="E75" s="18">
        <v>3053544727</v>
      </c>
      <c r="F75" s="18">
        <v>1000438549</v>
      </c>
      <c r="G75" s="18">
        <f>LOOKUP(F75,BD!C:C,BD!D:D)</f>
        <v>5656918</v>
      </c>
      <c r="H75" s="19" t="s">
        <v>30</v>
      </c>
      <c r="I75" s="19" t="s">
        <v>30</v>
      </c>
      <c r="J75" s="19" t="s">
        <v>30</v>
      </c>
      <c r="K75" s="19" t="s">
        <v>30</v>
      </c>
      <c r="L75" s="20">
        <v>46051</v>
      </c>
      <c r="M75" s="20">
        <f t="shared" ref="M75:M77" si="126">L75+730</f>
        <v>46781</v>
      </c>
      <c r="N75" s="21">
        <f t="shared" ca="1" si="0"/>
        <v>559.49944016203517</v>
      </c>
      <c r="O75" s="22" t="str">
        <f t="shared" ca="1" si="1"/>
        <v>VIGENTE</v>
      </c>
      <c r="P75" s="20">
        <v>45952</v>
      </c>
      <c r="Q75" s="20">
        <f t="shared" ref="Q75:Q78" si="127">P75+730</f>
        <v>46682</v>
      </c>
      <c r="R75" s="21">
        <f t="shared" ca="1" si="2"/>
        <v>460.49944016203517</v>
      </c>
      <c r="S75" s="22" t="str">
        <f t="shared" ca="1" si="3"/>
        <v>VIGENTE</v>
      </c>
      <c r="T75" s="20">
        <v>46051</v>
      </c>
      <c r="U75" s="20">
        <f t="shared" si="123"/>
        <v>46416</v>
      </c>
      <c r="V75" s="21">
        <f t="shared" ca="1" si="4"/>
        <v>194.49944016203517</v>
      </c>
      <c r="W75" s="22" t="str">
        <f t="shared" ca="1" si="5"/>
        <v>VIGENTE</v>
      </c>
      <c r="X75" s="23">
        <v>4</v>
      </c>
      <c r="Y75" s="23">
        <v>3</v>
      </c>
      <c r="Z75" s="23">
        <f t="shared" si="6"/>
        <v>4</v>
      </c>
      <c r="AA75" s="23">
        <f t="shared" ca="1" si="7"/>
        <v>3</v>
      </c>
      <c r="AB75" s="24">
        <f t="shared" ref="AB75:AC75" si="128">Z75/X75</f>
        <v>1</v>
      </c>
      <c r="AC75" s="24">
        <f t="shared" ca="1" si="128"/>
        <v>1</v>
      </c>
      <c r="AD75" s="25">
        <f t="shared" ref="AD75:AD82" ca="1" si="129">(Z75+AA75)/7</f>
        <v>1</v>
      </c>
      <c r="AE75" s="23"/>
      <c r="AF75" s="23"/>
      <c r="AG75" s="23"/>
      <c r="AH75" s="23"/>
    </row>
    <row r="76" spans="1:34" ht="14.4" x14ac:dyDescent="0.3">
      <c r="A76" s="30"/>
      <c r="B76" s="27"/>
      <c r="C76" s="18" t="str">
        <f>LOOKUP(F76,BD!C:C,BD!A:A)</f>
        <v>LICETH CAROLINA</v>
      </c>
      <c r="D76" s="18" t="str">
        <f>LOOKUP(F76,BD!C:C,BD!B:B)</f>
        <v>MATIZ VALENCIA</v>
      </c>
      <c r="E76" s="18">
        <v>3016219502</v>
      </c>
      <c r="F76" s="18">
        <v>1000085342</v>
      </c>
      <c r="G76" s="18">
        <f>LOOKUP(F76,BD!C:C,BD!D:D)</f>
        <v>25060175611</v>
      </c>
      <c r="H76" s="19" t="s">
        <v>30</v>
      </c>
      <c r="I76" s="19" t="s">
        <v>30</v>
      </c>
      <c r="J76" s="19" t="s">
        <v>30</v>
      </c>
      <c r="K76" s="19" t="s">
        <v>30</v>
      </c>
      <c r="L76" s="20">
        <v>45615</v>
      </c>
      <c r="M76" s="20">
        <f t="shared" si="126"/>
        <v>46345</v>
      </c>
      <c r="N76" s="21">
        <f t="shared" ca="1" si="0"/>
        <v>123.49944016203517</v>
      </c>
      <c r="O76" s="22" t="str">
        <f t="shared" ca="1" si="1"/>
        <v>VIGENTE</v>
      </c>
      <c r="P76" s="20">
        <v>46111</v>
      </c>
      <c r="Q76" s="20">
        <f t="shared" si="127"/>
        <v>46841</v>
      </c>
      <c r="R76" s="21">
        <f t="shared" ca="1" si="2"/>
        <v>619.49944016203517</v>
      </c>
      <c r="S76" s="22" t="str">
        <f t="shared" ca="1" si="3"/>
        <v>VIGENTE</v>
      </c>
      <c r="T76" s="20">
        <v>45780</v>
      </c>
      <c r="U76" s="20">
        <f>T76+730</f>
        <v>46510</v>
      </c>
      <c r="V76" s="21">
        <f t="shared" ca="1" si="4"/>
        <v>288.49944016203517</v>
      </c>
      <c r="W76" s="22" t="str">
        <f t="shared" ca="1" si="5"/>
        <v>VIGENTE</v>
      </c>
      <c r="X76" s="23">
        <v>4</v>
      </c>
      <c r="Y76" s="23">
        <v>3</v>
      </c>
      <c r="Z76" s="23">
        <f t="shared" si="6"/>
        <v>4</v>
      </c>
      <c r="AA76" s="23">
        <f t="shared" ca="1" si="7"/>
        <v>3</v>
      </c>
      <c r="AB76" s="24">
        <f t="shared" ref="AB76:AC76" si="130">Z76/X76</f>
        <v>1</v>
      </c>
      <c r="AC76" s="24">
        <f t="shared" ca="1" si="130"/>
        <v>1</v>
      </c>
      <c r="AD76" s="25">
        <f t="shared" ca="1" si="129"/>
        <v>1</v>
      </c>
      <c r="AE76" s="23"/>
      <c r="AF76" s="23"/>
      <c r="AG76" s="23"/>
      <c r="AH76" s="23"/>
    </row>
    <row r="77" spans="1:34" ht="14.4" x14ac:dyDescent="0.3">
      <c r="A77" s="30"/>
      <c r="B77" s="27"/>
      <c r="C77" s="18" t="str">
        <f>LOOKUP(F77,BD!C:C,BD!A:A)</f>
        <v>LILIANA LINETH</v>
      </c>
      <c r="D77" s="18" t="str">
        <f>LOOKUP(F77,BD!C:C,BD!B:B)</f>
        <v>RODRIGUEZ MARTINEZ</v>
      </c>
      <c r="E77" s="18">
        <v>3053280070</v>
      </c>
      <c r="F77" s="18">
        <v>49789412</v>
      </c>
      <c r="G77" s="18">
        <f>LOOKUP(F77,BD!C:C,BD!D:D)</f>
        <v>584</v>
      </c>
      <c r="H77" s="19" t="s">
        <v>30</v>
      </c>
      <c r="I77" s="19" t="s">
        <v>30</v>
      </c>
      <c r="J77" s="19" t="s">
        <v>30</v>
      </c>
      <c r="K77" s="19" t="s">
        <v>30</v>
      </c>
      <c r="L77" s="20">
        <v>45901</v>
      </c>
      <c r="M77" s="20">
        <f t="shared" si="126"/>
        <v>46631</v>
      </c>
      <c r="N77" s="21">
        <f t="shared" ca="1" si="0"/>
        <v>409.49944016203517</v>
      </c>
      <c r="O77" s="22" t="str">
        <f t="shared" ca="1" si="1"/>
        <v>VIGENTE</v>
      </c>
      <c r="P77" s="20">
        <v>45903</v>
      </c>
      <c r="Q77" s="20">
        <f t="shared" si="127"/>
        <v>46633</v>
      </c>
      <c r="R77" s="21">
        <f t="shared" ca="1" si="2"/>
        <v>411.49944016203517</v>
      </c>
      <c r="S77" s="22" t="str">
        <f t="shared" ca="1" si="3"/>
        <v>VIGENTE</v>
      </c>
      <c r="T77" s="20">
        <v>45899</v>
      </c>
      <c r="U77" s="20">
        <f>T77+730</f>
        <v>46629</v>
      </c>
      <c r="V77" s="21">
        <f t="shared" ca="1" si="4"/>
        <v>407.49944016203517</v>
      </c>
      <c r="W77" s="22" t="str">
        <f t="shared" ca="1" si="5"/>
        <v>VIGENTE</v>
      </c>
      <c r="X77" s="23">
        <v>4</v>
      </c>
      <c r="Y77" s="23">
        <v>3</v>
      </c>
      <c r="Z77" s="23">
        <f t="shared" si="6"/>
        <v>4</v>
      </c>
      <c r="AA77" s="23">
        <f t="shared" ca="1" si="7"/>
        <v>3</v>
      </c>
      <c r="AB77" s="24">
        <f t="shared" ref="AB77:AC77" si="131">Z77/X77</f>
        <v>1</v>
      </c>
      <c r="AC77" s="24">
        <f t="shared" ca="1" si="131"/>
        <v>1</v>
      </c>
      <c r="AD77" s="25">
        <f t="shared" ca="1" si="129"/>
        <v>1</v>
      </c>
      <c r="AE77" s="23"/>
      <c r="AF77" s="23"/>
      <c r="AG77" s="23"/>
      <c r="AH77" s="23"/>
    </row>
    <row r="78" spans="1:34" ht="14.4" x14ac:dyDescent="0.3">
      <c r="A78" s="30"/>
      <c r="B78" s="27"/>
      <c r="C78" s="18" t="str">
        <f>LOOKUP(F78,BD!C:C,BD!A:A)</f>
        <v>LINDA VANESSA</v>
      </c>
      <c r="D78" s="18" t="str">
        <f>LOOKUP(F78,BD!C:C,BD!B:B)</f>
        <v>PEREZ ESTRADA</v>
      </c>
      <c r="E78" s="18">
        <v>3226577772</v>
      </c>
      <c r="F78" s="18">
        <v>1152212652</v>
      </c>
      <c r="G78" s="18">
        <f>LOOKUP(F78,BD!C:C,BD!D:D)</f>
        <v>2024060245607</v>
      </c>
      <c r="H78" s="19" t="s">
        <v>30</v>
      </c>
      <c r="I78" s="19" t="s">
        <v>30</v>
      </c>
      <c r="J78" s="19" t="s">
        <v>30</v>
      </c>
      <c r="K78" s="19" t="s">
        <v>30</v>
      </c>
      <c r="L78" s="20">
        <v>46083</v>
      </c>
      <c r="M78" s="20">
        <f>L78+365</f>
        <v>46448</v>
      </c>
      <c r="N78" s="21">
        <f t="shared" ca="1" si="0"/>
        <v>226.49944016203517</v>
      </c>
      <c r="O78" s="22" t="str">
        <f ca="1">IF(N78&lt;=16,"NO CUMPLE",IF(N78&gt;=16,"VIGENTE"))</f>
        <v>VIGENTE</v>
      </c>
      <c r="P78" s="20">
        <v>45925</v>
      </c>
      <c r="Q78" s="20">
        <f t="shared" si="127"/>
        <v>46655</v>
      </c>
      <c r="R78" s="21">
        <f t="shared" ca="1" si="2"/>
        <v>433.49944016203517</v>
      </c>
      <c r="S78" s="22" t="str">
        <f ca="1">IF(R78&lt;=16,"NO CUMPLE",IF(R78&gt;=16,"VIGENTE"))</f>
        <v>VIGENTE</v>
      </c>
      <c r="T78" s="20">
        <v>46178</v>
      </c>
      <c r="U78" s="20">
        <f t="shared" ref="U78:U79" si="132">T78+365</f>
        <v>46543</v>
      </c>
      <c r="V78" s="21">
        <f t="shared" ca="1" si="4"/>
        <v>321.49944016203517</v>
      </c>
      <c r="W78" s="22" t="str">
        <f ca="1">IF(V78&lt;=16,"NO CUMPLE",IF(V78&gt;=16,"VIGENTE"))</f>
        <v>VIGENTE</v>
      </c>
      <c r="X78" s="23">
        <v>4</v>
      </c>
      <c r="Y78" s="23">
        <v>3</v>
      </c>
      <c r="Z78" s="23">
        <f t="shared" si="6"/>
        <v>4</v>
      </c>
      <c r="AA78" s="23">
        <f t="shared" ca="1" si="7"/>
        <v>3</v>
      </c>
      <c r="AB78" s="24">
        <f t="shared" ref="AB78:AC78" si="133">Z78/X78</f>
        <v>1</v>
      </c>
      <c r="AC78" s="24">
        <f t="shared" ca="1" si="133"/>
        <v>1</v>
      </c>
      <c r="AD78" s="25">
        <f t="shared" ca="1" si="129"/>
        <v>1</v>
      </c>
      <c r="AE78" s="23"/>
      <c r="AF78" s="23"/>
      <c r="AG78" s="23"/>
      <c r="AH78" s="23"/>
    </row>
    <row r="79" spans="1:34" ht="14.4" x14ac:dyDescent="0.3">
      <c r="A79" s="30"/>
      <c r="B79" s="27"/>
      <c r="C79" s="18" t="str">
        <f>LOOKUP(F79,BD!C:C,BD!A:A)</f>
        <v>LUIS DAN SIRILO</v>
      </c>
      <c r="D79" s="18" t="str">
        <f>LOOKUP(F79,BD!C:C,BD!B:B)</f>
        <v>GONZALEZ SANDOVAL</v>
      </c>
      <c r="E79" s="18">
        <v>3206168584</v>
      </c>
      <c r="F79" s="18">
        <v>1152457708</v>
      </c>
      <c r="G79" s="18">
        <f>LOOKUP(F79,BD!C:C,BD!D:D)</f>
        <v>24060432006</v>
      </c>
      <c r="H79" s="19" t="s">
        <v>30</v>
      </c>
      <c r="I79" s="19" t="s">
        <v>30</v>
      </c>
      <c r="J79" s="19" t="s">
        <v>30</v>
      </c>
      <c r="K79" s="19" t="s">
        <v>30</v>
      </c>
      <c r="L79" s="20">
        <v>45935</v>
      </c>
      <c r="M79" s="20">
        <f t="shared" ref="M79:M82" si="134">L79+730</f>
        <v>46665</v>
      </c>
      <c r="N79" s="21">
        <f t="shared" ca="1" si="0"/>
        <v>443.49944016203517</v>
      </c>
      <c r="O79" s="22" t="str">
        <f t="shared" ref="O79:O146" ca="1" si="135">IF(N79&lt;=1,"NO CUMPLE",IF(N79&gt;=2,"VIGENTE"))</f>
        <v>VIGENTE</v>
      </c>
      <c r="P79" s="20">
        <v>46027</v>
      </c>
      <c r="Q79" s="20">
        <f>P79+365</f>
        <v>46392</v>
      </c>
      <c r="R79" s="21">
        <f t="shared" ca="1" si="2"/>
        <v>170.49944016203517</v>
      </c>
      <c r="S79" s="22" t="str">
        <f t="shared" ref="S79:S146" ca="1" si="136">IF(R79&lt;=1,"NO CUMPLE",IF(R79&gt;=2,"VIGENTE"))</f>
        <v>VIGENTE</v>
      </c>
      <c r="T79" s="20">
        <v>46028</v>
      </c>
      <c r="U79" s="20">
        <f t="shared" si="132"/>
        <v>46393</v>
      </c>
      <c r="V79" s="21">
        <f t="shared" ca="1" si="4"/>
        <v>171.49944016203517</v>
      </c>
      <c r="W79" s="22" t="str">
        <f t="shared" ref="W79:W146" ca="1" si="137">IF(V79&lt;=1,"NO CUMPLE",IF(V79&gt;=2,"VIGENTE"))</f>
        <v>VIGENTE</v>
      </c>
      <c r="X79" s="23">
        <v>4</v>
      </c>
      <c r="Y79" s="23">
        <v>3</v>
      </c>
      <c r="Z79" s="23">
        <f t="shared" si="6"/>
        <v>4</v>
      </c>
      <c r="AA79" s="23">
        <f t="shared" ca="1" si="7"/>
        <v>3</v>
      </c>
      <c r="AB79" s="24">
        <f t="shared" ref="AB79:AC79" si="138">Z79/X79</f>
        <v>1</v>
      </c>
      <c r="AC79" s="24">
        <f t="shared" ca="1" si="138"/>
        <v>1</v>
      </c>
      <c r="AD79" s="25">
        <f t="shared" ca="1" si="129"/>
        <v>1</v>
      </c>
      <c r="AE79" s="23"/>
      <c r="AF79" s="23"/>
      <c r="AG79" s="23"/>
      <c r="AH79" s="23"/>
    </row>
    <row r="80" spans="1:34" ht="14.4" x14ac:dyDescent="0.3">
      <c r="A80" s="30"/>
      <c r="B80" s="27"/>
      <c r="C80" s="18" t="str">
        <f>LOOKUP(F80,BD!C:C,BD!A:A)</f>
        <v>LUISA FERNANDA</v>
      </c>
      <c r="D80" s="18" t="str">
        <f>LOOKUP(F80,BD!C:C,BD!B:B)</f>
        <v>TORO ALVAREZ</v>
      </c>
      <c r="E80" s="18">
        <v>3195557986</v>
      </c>
      <c r="F80" s="18">
        <v>1035421934</v>
      </c>
      <c r="G80" s="18">
        <f>LOOKUP(F80,BD!C:C,BD!D:D)</f>
        <v>24060093675</v>
      </c>
      <c r="H80" s="19" t="s">
        <v>30</v>
      </c>
      <c r="I80" s="19" t="s">
        <v>30</v>
      </c>
      <c r="J80" s="19" t="s">
        <v>30</v>
      </c>
      <c r="K80" s="19" t="s">
        <v>30</v>
      </c>
      <c r="L80" s="20">
        <v>45879</v>
      </c>
      <c r="M80" s="20">
        <f t="shared" si="134"/>
        <v>46609</v>
      </c>
      <c r="N80" s="21">
        <f t="shared" ca="1" si="0"/>
        <v>387.49944016203517</v>
      </c>
      <c r="O80" s="22" t="str">
        <f t="shared" ca="1" si="135"/>
        <v>VIGENTE</v>
      </c>
      <c r="P80" s="20">
        <v>45905</v>
      </c>
      <c r="Q80" s="20">
        <f t="shared" ref="Q80:Q82" si="139">P80+730</f>
        <v>46635</v>
      </c>
      <c r="R80" s="21">
        <f t="shared" ca="1" si="2"/>
        <v>413.49944016203517</v>
      </c>
      <c r="S80" s="22" t="str">
        <f t="shared" ca="1" si="136"/>
        <v>VIGENTE</v>
      </c>
      <c r="T80" s="20">
        <v>45881</v>
      </c>
      <c r="U80" s="20">
        <f t="shared" ref="U80:U82" si="140">T80+730</f>
        <v>46611</v>
      </c>
      <c r="V80" s="21">
        <f t="shared" ca="1" si="4"/>
        <v>389.49944016203517</v>
      </c>
      <c r="W80" s="22" t="str">
        <f t="shared" ca="1" si="137"/>
        <v>VIGENTE</v>
      </c>
      <c r="X80" s="23">
        <v>4</v>
      </c>
      <c r="Y80" s="23">
        <v>3</v>
      </c>
      <c r="Z80" s="23">
        <f t="shared" si="6"/>
        <v>4</v>
      </c>
      <c r="AA80" s="23">
        <f t="shared" ca="1" si="7"/>
        <v>3</v>
      </c>
      <c r="AB80" s="24">
        <f t="shared" ref="AB80:AC80" si="141">Z80/X80</f>
        <v>1</v>
      </c>
      <c r="AC80" s="24">
        <f t="shared" ca="1" si="141"/>
        <v>1</v>
      </c>
      <c r="AD80" s="25">
        <f t="shared" ca="1" si="129"/>
        <v>1</v>
      </c>
      <c r="AE80" s="23"/>
      <c r="AF80" s="23"/>
      <c r="AG80" s="23"/>
      <c r="AH80" s="23"/>
    </row>
    <row r="81" spans="1:34" ht="14.4" x14ac:dyDescent="0.3">
      <c r="A81" s="30"/>
      <c r="B81" s="27"/>
      <c r="C81" s="18" t="str">
        <f>LOOKUP(F81,BD!C:C,BD!A:A)</f>
        <v>LUNA ISABELA</v>
      </c>
      <c r="D81" s="18" t="str">
        <f>LOOKUP(F81,BD!C:C,BD!B:B)</f>
        <v>PÁRAMO TÉLLEZ</v>
      </c>
      <c r="E81" s="18">
        <v>3023514763</v>
      </c>
      <c r="F81" s="18">
        <v>1092455217</v>
      </c>
      <c r="G81" s="18">
        <f>LOOKUP(F81,BD!C:C,BD!D:D)</f>
        <v>25060009148</v>
      </c>
      <c r="H81" s="19" t="s">
        <v>30</v>
      </c>
      <c r="I81" s="19" t="s">
        <v>30</v>
      </c>
      <c r="J81" s="19" t="s">
        <v>30</v>
      </c>
      <c r="K81" s="19" t="s">
        <v>30</v>
      </c>
      <c r="L81" s="20">
        <v>45473</v>
      </c>
      <c r="M81" s="20">
        <f t="shared" si="134"/>
        <v>46203</v>
      </c>
      <c r="N81" s="21">
        <f t="shared" ca="1" si="0"/>
        <v>-18.500559837964829</v>
      </c>
      <c r="O81" s="22" t="str">
        <f t="shared" ca="1" si="135"/>
        <v>NO CUMPLE</v>
      </c>
      <c r="P81" s="20">
        <v>45650</v>
      </c>
      <c r="Q81" s="20">
        <f t="shared" si="139"/>
        <v>46380</v>
      </c>
      <c r="R81" s="21">
        <f t="shared" ca="1" si="2"/>
        <v>158.49944016203517</v>
      </c>
      <c r="S81" s="22" t="str">
        <f t="shared" ca="1" si="136"/>
        <v>VIGENTE</v>
      </c>
      <c r="T81" s="20">
        <v>45648</v>
      </c>
      <c r="U81" s="20">
        <f t="shared" si="140"/>
        <v>46378</v>
      </c>
      <c r="V81" s="21">
        <f t="shared" ca="1" si="4"/>
        <v>156.49944016203517</v>
      </c>
      <c r="W81" s="22" t="str">
        <f t="shared" ca="1" si="137"/>
        <v>VIGENTE</v>
      </c>
      <c r="X81" s="23">
        <v>4</v>
      </c>
      <c r="Y81" s="23">
        <v>3</v>
      </c>
      <c r="Z81" s="23">
        <f t="shared" si="6"/>
        <v>4</v>
      </c>
      <c r="AA81" s="23">
        <f t="shared" ca="1" si="7"/>
        <v>2</v>
      </c>
      <c r="AB81" s="24">
        <f t="shared" ref="AB81:AC81" si="142">Z81/X81</f>
        <v>1</v>
      </c>
      <c r="AC81" s="24">
        <f t="shared" ca="1" si="142"/>
        <v>0.66666666666666663</v>
      </c>
      <c r="AD81" s="25">
        <f t="shared" ca="1" si="129"/>
        <v>0.8571428571428571</v>
      </c>
      <c r="AE81" s="23"/>
      <c r="AF81" s="23"/>
      <c r="AG81" s="23"/>
      <c r="AH81" s="23"/>
    </row>
    <row r="82" spans="1:34" ht="14.4" x14ac:dyDescent="0.3">
      <c r="A82" s="30"/>
      <c r="B82" s="27"/>
      <c r="C82" s="18" t="str">
        <f>LOOKUP(F82,BD!C:C,BD!A:A)</f>
        <v>LUNA MISHEL</v>
      </c>
      <c r="D82" s="18" t="str">
        <f>LOOKUP(F82,BD!C:C,BD!B:B)</f>
        <v>GARCIA SALDARRIAGA</v>
      </c>
      <c r="E82" s="18">
        <v>3054483722</v>
      </c>
      <c r="F82" s="18">
        <v>1011392114</v>
      </c>
      <c r="G82" s="18">
        <f>LOOKUP(F82,BD!C:C,BD!D:D)</f>
        <v>26060041431</v>
      </c>
      <c r="H82" s="19" t="s">
        <v>30</v>
      </c>
      <c r="I82" s="19" t="s">
        <v>30</v>
      </c>
      <c r="J82" s="19" t="s">
        <v>30</v>
      </c>
      <c r="K82" s="19" t="s">
        <v>30</v>
      </c>
      <c r="L82" s="20">
        <v>45625</v>
      </c>
      <c r="M82" s="20">
        <f t="shared" si="134"/>
        <v>46355</v>
      </c>
      <c r="N82" s="21">
        <f t="shared" ca="1" si="0"/>
        <v>133.49944016203517</v>
      </c>
      <c r="O82" s="22" t="str">
        <f t="shared" ca="1" si="135"/>
        <v>VIGENTE</v>
      </c>
      <c r="P82" s="20">
        <v>45599</v>
      </c>
      <c r="Q82" s="20">
        <f t="shared" si="139"/>
        <v>46329</v>
      </c>
      <c r="R82" s="21">
        <f t="shared" ca="1" si="2"/>
        <v>107.49944016203517</v>
      </c>
      <c r="S82" s="22" t="str">
        <f t="shared" ca="1" si="136"/>
        <v>VIGENTE</v>
      </c>
      <c r="T82" s="20">
        <v>45784</v>
      </c>
      <c r="U82" s="20">
        <f t="shared" si="140"/>
        <v>46514</v>
      </c>
      <c r="V82" s="21">
        <f t="shared" ca="1" si="4"/>
        <v>292.49944016203517</v>
      </c>
      <c r="W82" s="22" t="str">
        <f t="shared" ca="1" si="137"/>
        <v>VIGENTE</v>
      </c>
      <c r="X82" s="23">
        <v>4</v>
      </c>
      <c r="Y82" s="23">
        <v>3</v>
      </c>
      <c r="Z82" s="23">
        <f t="shared" si="6"/>
        <v>4</v>
      </c>
      <c r="AA82" s="23">
        <f t="shared" ca="1" si="7"/>
        <v>3</v>
      </c>
      <c r="AB82" s="24">
        <f t="shared" ref="AB82:AC82" si="143">Z82/X82</f>
        <v>1</v>
      </c>
      <c r="AC82" s="24">
        <f t="shared" ca="1" si="143"/>
        <v>1</v>
      </c>
      <c r="AD82" s="25">
        <f t="shared" ca="1" si="129"/>
        <v>1</v>
      </c>
      <c r="AE82" s="23"/>
      <c r="AF82" s="23"/>
      <c r="AG82" s="23"/>
      <c r="AH82" s="23"/>
    </row>
    <row r="83" spans="1:34" ht="14.4" x14ac:dyDescent="0.3">
      <c r="A83" s="30"/>
      <c r="B83" s="27"/>
      <c r="C83" s="18" t="str">
        <f>LOOKUP(F83,BD!C:C,BD!A:A)</f>
        <v>MANUEL ALEJANDRO</v>
      </c>
      <c r="D83" s="18" t="str">
        <f>LOOKUP(F83,BD!C:C,BD!B:B)</f>
        <v>SALAZAR LOPEZ</v>
      </c>
      <c r="E83" s="18">
        <v>3136584533</v>
      </c>
      <c r="F83" s="18">
        <v>1039462076</v>
      </c>
      <c r="G83" s="18">
        <f>LOOKUP(F83,BD!C:C,BD!D:D)</f>
        <v>5417716</v>
      </c>
      <c r="H83" s="19" t="s">
        <v>30</v>
      </c>
      <c r="I83" s="19" t="s">
        <v>30</v>
      </c>
      <c r="J83" s="19" t="s">
        <v>30</v>
      </c>
      <c r="K83" s="19" t="s">
        <v>30</v>
      </c>
      <c r="L83" s="28">
        <v>46178</v>
      </c>
      <c r="M83" s="20">
        <f>L83+730</f>
        <v>46908</v>
      </c>
      <c r="N83" s="21">
        <f t="shared" ca="1" si="0"/>
        <v>686.49944016203517</v>
      </c>
      <c r="O83" s="22" t="str">
        <f t="shared" ca="1" si="135"/>
        <v>VIGENTE</v>
      </c>
      <c r="P83" s="28">
        <v>46178</v>
      </c>
      <c r="Q83" s="20">
        <f>P83+730</f>
        <v>46908</v>
      </c>
      <c r="R83" s="21">
        <f t="shared" ca="1" si="2"/>
        <v>686.49944016203517</v>
      </c>
      <c r="S83" s="22" t="str">
        <f t="shared" ca="1" si="136"/>
        <v>VIGENTE</v>
      </c>
      <c r="T83" s="28">
        <v>46178</v>
      </c>
      <c r="U83" s="20">
        <f>T83+730</f>
        <v>46908</v>
      </c>
      <c r="V83" s="21">
        <f t="shared" ca="1" si="4"/>
        <v>686.49944016203517</v>
      </c>
      <c r="W83" s="22" t="str">
        <f t="shared" ca="1" si="137"/>
        <v>VIGENTE</v>
      </c>
      <c r="X83" s="23">
        <v>4</v>
      </c>
      <c r="Y83" s="23">
        <v>3</v>
      </c>
      <c r="Z83" s="23">
        <f t="shared" si="6"/>
        <v>4</v>
      </c>
      <c r="AA83" s="23">
        <f t="shared" ca="1" si="7"/>
        <v>3</v>
      </c>
      <c r="AB83" s="24">
        <f t="shared" ref="AB83:AC83" si="144">Z83/X83</f>
        <v>1</v>
      </c>
      <c r="AC83" s="24">
        <f t="shared" ca="1" si="144"/>
        <v>1</v>
      </c>
      <c r="AD83" s="25">
        <f ca="1">(Z83+AA83)/7</f>
        <v>1</v>
      </c>
      <c r="AE83" s="23"/>
      <c r="AF83" s="23"/>
      <c r="AG83" s="23"/>
      <c r="AH83" s="23"/>
    </row>
    <row r="84" spans="1:34" ht="14.4" x14ac:dyDescent="0.3">
      <c r="A84" s="29"/>
      <c r="B84" s="27"/>
      <c r="C84" s="18" t="str">
        <f>LOOKUP(F84,BD!C:C,BD!A:A)</f>
        <v>MANUELA</v>
      </c>
      <c r="D84" s="18" t="str">
        <f>LOOKUP(F84,BD!C:C,BD!B:B)</f>
        <v>QUINTERO GONZALEZ</v>
      </c>
      <c r="E84" s="18">
        <v>3007793946</v>
      </c>
      <c r="F84" s="18">
        <v>1000088364</v>
      </c>
      <c r="G84" s="18">
        <f>LOOKUP(F84,BD!C:C,BD!D:D)</f>
        <v>5453522</v>
      </c>
      <c r="H84" s="19" t="s">
        <v>30</v>
      </c>
      <c r="I84" s="19" t="s">
        <v>30</v>
      </c>
      <c r="J84" s="19" t="s">
        <v>30</v>
      </c>
      <c r="K84" s="19" t="s">
        <v>30</v>
      </c>
      <c r="L84" s="20">
        <v>45950</v>
      </c>
      <c r="M84" s="20">
        <f t="shared" ref="M84:M89" si="145">L84+730</f>
        <v>46680</v>
      </c>
      <c r="N84" s="21">
        <f t="shared" ca="1" si="0"/>
        <v>458.49944016203517</v>
      </c>
      <c r="O84" s="22" t="str">
        <f t="shared" ca="1" si="135"/>
        <v>VIGENTE</v>
      </c>
      <c r="P84" s="20">
        <v>45950</v>
      </c>
      <c r="Q84" s="20">
        <f t="shared" ref="Q84:Q89" si="146">P84+730</f>
        <v>46680</v>
      </c>
      <c r="R84" s="21">
        <f t="shared" ca="1" si="2"/>
        <v>458.49944016203517</v>
      </c>
      <c r="S84" s="22" t="str">
        <f t="shared" ca="1" si="136"/>
        <v>VIGENTE</v>
      </c>
      <c r="T84" s="20">
        <v>45950</v>
      </c>
      <c r="U84" s="20">
        <f t="shared" ref="U84:U89" si="147">T84+730</f>
        <v>46680</v>
      </c>
      <c r="V84" s="21">
        <f t="shared" ca="1" si="4"/>
        <v>458.49944016203517</v>
      </c>
      <c r="W84" s="22" t="str">
        <f t="shared" ca="1" si="137"/>
        <v>VIGENTE</v>
      </c>
      <c r="X84" s="23">
        <v>4</v>
      </c>
      <c r="Y84" s="23">
        <v>3</v>
      </c>
      <c r="Z84" s="23">
        <f t="shared" si="6"/>
        <v>4</v>
      </c>
      <c r="AA84" s="23">
        <f t="shared" ca="1" si="7"/>
        <v>3</v>
      </c>
      <c r="AB84" s="24">
        <f t="shared" ref="AB84:AC84" si="148">Z84/X84</f>
        <v>1</v>
      </c>
      <c r="AC84" s="24">
        <f t="shared" ca="1" si="148"/>
        <v>1</v>
      </c>
      <c r="AD84" s="25">
        <f t="shared" ref="AD84:AD89" ca="1" si="149">(Z84+AA84)/7</f>
        <v>1</v>
      </c>
      <c r="AE84" s="23"/>
      <c r="AF84" s="23"/>
      <c r="AG84" s="23"/>
      <c r="AH84" s="23"/>
    </row>
    <row r="85" spans="1:34" ht="14.4" x14ac:dyDescent="0.3">
      <c r="A85" s="30"/>
      <c r="B85" s="27"/>
      <c r="C85" s="18" t="str">
        <f>LOOKUP(F85,BD!C:C,BD!A:A)</f>
        <v>MANUELA</v>
      </c>
      <c r="D85" s="18" t="str">
        <f>LOOKUP(F85,BD!C:C,BD!B:B)</f>
        <v>PUERTA BUITRAGO</v>
      </c>
      <c r="E85" s="18">
        <v>3014103242</v>
      </c>
      <c r="F85" s="18">
        <v>1032012176</v>
      </c>
      <c r="G85" s="18">
        <f>LOOKUP(F85,BD!C:C,BD!D:D)</f>
        <v>1032012176</v>
      </c>
      <c r="H85" s="19" t="s">
        <v>30</v>
      </c>
      <c r="I85" s="19" t="s">
        <v>30</v>
      </c>
      <c r="J85" s="19" t="s">
        <v>30</v>
      </c>
      <c r="K85" s="19" t="s">
        <v>30</v>
      </c>
      <c r="L85" s="20">
        <v>45944</v>
      </c>
      <c r="M85" s="20">
        <f t="shared" si="145"/>
        <v>46674</v>
      </c>
      <c r="N85" s="21">
        <f t="shared" ca="1" si="0"/>
        <v>452.49944016203517</v>
      </c>
      <c r="O85" s="22" t="str">
        <f t="shared" ca="1" si="135"/>
        <v>VIGENTE</v>
      </c>
      <c r="P85" s="20">
        <v>45944</v>
      </c>
      <c r="Q85" s="20">
        <f t="shared" si="146"/>
        <v>46674</v>
      </c>
      <c r="R85" s="21">
        <f t="shared" ca="1" si="2"/>
        <v>452.49944016203517</v>
      </c>
      <c r="S85" s="22" t="str">
        <f t="shared" ca="1" si="136"/>
        <v>VIGENTE</v>
      </c>
      <c r="T85" s="20">
        <v>45944</v>
      </c>
      <c r="U85" s="20">
        <f t="shared" si="147"/>
        <v>46674</v>
      </c>
      <c r="V85" s="21">
        <f t="shared" ca="1" si="4"/>
        <v>452.49944016203517</v>
      </c>
      <c r="W85" s="22" t="str">
        <f t="shared" ca="1" si="137"/>
        <v>VIGENTE</v>
      </c>
      <c r="X85" s="23">
        <v>4</v>
      </c>
      <c r="Y85" s="23">
        <v>3</v>
      </c>
      <c r="Z85" s="23">
        <f t="shared" si="6"/>
        <v>4</v>
      </c>
      <c r="AA85" s="23">
        <f t="shared" ca="1" si="7"/>
        <v>3</v>
      </c>
      <c r="AB85" s="24">
        <f t="shared" ref="AB85:AC85" si="150">Z85/X85</f>
        <v>1</v>
      </c>
      <c r="AC85" s="24">
        <f t="shared" ca="1" si="150"/>
        <v>1</v>
      </c>
      <c r="AD85" s="25">
        <f t="shared" ca="1" si="149"/>
        <v>1</v>
      </c>
      <c r="AE85" s="23"/>
      <c r="AF85" s="23"/>
      <c r="AG85" s="23"/>
      <c r="AH85" s="23"/>
    </row>
    <row r="86" spans="1:34" ht="14.4" x14ac:dyDescent="0.3">
      <c r="A86" s="30"/>
      <c r="B86" s="27"/>
      <c r="C86" s="18" t="str">
        <f>LOOKUP(F86,BD!C:C,BD!A:A)</f>
        <v>MANUELA SAMARA</v>
      </c>
      <c r="D86" s="18" t="str">
        <f>LOOKUP(F86,BD!C:C,BD!B:B)</f>
        <v>GIRALDO AGUDELO</v>
      </c>
      <c r="E86" s="18">
        <v>3237224830</v>
      </c>
      <c r="F86" s="18">
        <v>1025761889</v>
      </c>
      <c r="G86" s="18">
        <f>LOOKUP(F86,BD!C:C,BD!D:D)</f>
        <v>0</v>
      </c>
      <c r="H86" s="19" t="s">
        <v>30</v>
      </c>
      <c r="I86" s="19"/>
      <c r="J86" s="19" t="s">
        <v>30</v>
      </c>
      <c r="K86" s="19"/>
      <c r="L86" s="28">
        <v>45893</v>
      </c>
      <c r="M86" s="20">
        <f t="shared" si="145"/>
        <v>46623</v>
      </c>
      <c r="N86" s="21">
        <f t="shared" ca="1" si="0"/>
        <v>401.49944016203517</v>
      </c>
      <c r="O86" s="22" t="str">
        <f t="shared" ca="1" si="135"/>
        <v>VIGENTE</v>
      </c>
      <c r="P86" s="20">
        <v>46155</v>
      </c>
      <c r="Q86" s="20">
        <f t="shared" si="146"/>
        <v>46885</v>
      </c>
      <c r="R86" s="21">
        <f t="shared" ca="1" si="2"/>
        <v>663.49944016203517</v>
      </c>
      <c r="S86" s="22" t="str">
        <f t="shared" ca="1" si="136"/>
        <v>VIGENTE</v>
      </c>
      <c r="T86" s="20">
        <v>46155</v>
      </c>
      <c r="U86" s="20">
        <f t="shared" si="147"/>
        <v>46885</v>
      </c>
      <c r="V86" s="21">
        <f t="shared" ca="1" si="4"/>
        <v>663.49944016203517</v>
      </c>
      <c r="W86" s="22" t="str">
        <f t="shared" ca="1" si="137"/>
        <v>VIGENTE</v>
      </c>
      <c r="X86" s="23">
        <v>4</v>
      </c>
      <c r="Y86" s="23">
        <v>3</v>
      </c>
      <c r="Z86" s="23">
        <f t="shared" si="6"/>
        <v>2</v>
      </c>
      <c r="AA86" s="23">
        <f t="shared" ca="1" si="7"/>
        <v>3</v>
      </c>
      <c r="AB86" s="24">
        <f t="shared" ref="AB86:AC86" si="151">Z86/X86</f>
        <v>0.5</v>
      </c>
      <c r="AC86" s="24">
        <f t="shared" ca="1" si="151"/>
        <v>1</v>
      </c>
      <c r="AD86" s="25">
        <f t="shared" ca="1" si="149"/>
        <v>0.7142857142857143</v>
      </c>
      <c r="AE86" s="23"/>
      <c r="AF86" s="23"/>
      <c r="AG86" s="23"/>
      <c r="AH86" s="23"/>
    </row>
    <row r="87" spans="1:34" ht="14.4" x14ac:dyDescent="0.3">
      <c r="A87" s="30"/>
      <c r="B87" s="27"/>
      <c r="C87" s="18" t="str">
        <f>LOOKUP(F87,BD!C:C,BD!A:A)</f>
        <v>MARIA CAMILA</v>
      </c>
      <c r="D87" s="18" t="str">
        <f>LOOKUP(F87,BD!C:C,BD!B:B)</f>
        <v>CANO OBREGON</v>
      </c>
      <c r="E87" s="18">
        <v>3052914856</v>
      </c>
      <c r="F87" s="18">
        <v>1011392507</v>
      </c>
      <c r="G87" s="18">
        <f>LOOKUP(F87,BD!C:C,BD!D:D)</f>
        <v>24060421285</v>
      </c>
      <c r="H87" s="19" t="s">
        <v>30</v>
      </c>
      <c r="I87" s="19" t="s">
        <v>30</v>
      </c>
      <c r="J87" s="19" t="s">
        <v>30</v>
      </c>
      <c r="K87" s="19" t="s">
        <v>30</v>
      </c>
      <c r="L87" s="20">
        <v>45529</v>
      </c>
      <c r="M87" s="20">
        <f t="shared" si="145"/>
        <v>46259</v>
      </c>
      <c r="N87" s="21">
        <f t="shared" ca="1" si="0"/>
        <v>37.499440162035171</v>
      </c>
      <c r="O87" s="22" t="str">
        <f t="shared" ca="1" si="135"/>
        <v>VIGENTE</v>
      </c>
      <c r="P87" s="20">
        <v>45626</v>
      </c>
      <c r="Q87" s="20">
        <f t="shared" si="146"/>
        <v>46356</v>
      </c>
      <c r="R87" s="21">
        <f t="shared" ca="1" si="2"/>
        <v>134.49944016203517</v>
      </c>
      <c r="S87" s="22" t="str">
        <f t="shared" ca="1" si="136"/>
        <v>VIGENTE</v>
      </c>
      <c r="T87" s="20">
        <v>45628</v>
      </c>
      <c r="U87" s="20">
        <f t="shared" si="147"/>
        <v>46358</v>
      </c>
      <c r="V87" s="21">
        <f t="shared" ca="1" si="4"/>
        <v>136.49944016203517</v>
      </c>
      <c r="W87" s="22" t="str">
        <f t="shared" ca="1" si="137"/>
        <v>VIGENTE</v>
      </c>
      <c r="X87" s="23">
        <v>4</v>
      </c>
      <c r="Y87" s="23">
        <v>3</v>
      </c>
      <c r="Z87" s="23">
        <f t="shared" si="6"/>
        <v>4</v>
      </c>
      <c r="AA87" s="23">
        <f t="shared" ca="1" si="7"/>
        <v>3</v>
      </c>
      <c r="AB87" s="24">
        <f t="shared" ref="AB87:AC87" si="152">Z87/X87</f>
        <v>1</v>
      </c>
      <c r="AC87" s="24">
        <f t="shared" ca="1" si="152"/>
        <v>1</v>
      </c>
      <c r="AD87" s="25">
        <f t="shared" ca="1" si="149"/>
        <v>1</v>
      </c>
      <c r="AE87" s="23"/>
      <c r="AF87" s="23"/>
      <c r="AG87" s="23"/>
      <c r="AH87" s="23"/>
    </row>
    <row r="88" spans="1:34" ht="14.4" x14ac:dyDescent="0.3">
      <c r="A88" s="30"/>
      <c r="B88" s="27"/>
      <c r="C88" s="18" t="str">
        <f>LOOKUP(F88,BD!C:C,BD!A:A)</f>
        <v>MARIA CAMILA</v>
      </c>
      <c r="D88" s="18" t="str">
        <f>LOOKUP(F88,BD!C:C,BD!B:B)</f>
        <v xml:space="preserve">        RUA ARBOLEDA</v>
      </c>
      <c r="E88" s="18">
        <v>3168030768</v>
      </c>
      <c r="F88" s="18">
        <v>1017262529</v>
      </c>
      <c r="G88" s="18">
        <f>LOOKUP(F88,BD!C:C,BD!D:D)</f>
        <v>5164618</v>
      </c>
      <c r="H88" s="19" t="s">
        <v>30</v>
      </c>
      <c r="I88" s="19" t="s">
        <v>30</v>
      </c>
      <c r="J88" s="19" t="s">
        <v>30</v>
      </c>
      <c r="K88" s="19" t="s">
        <v>30</v>
      </c>
      <c r="L88" s="20">
        <v>45870</v>
      </c>
      <c r="M88" s="20">
        <f t="shared" si="145"/>
        <v>46600</v>
      </c>
      <c r="N88" s="21">
        <f t="shared" ca="1" si="0"/>
        <v>378.49944016203517</v>
      </c>
      <c r="O88" s="22" t="str">
        <f t="shared" ca="1" si="135"/>
        <v>VIGENTE</v>
      </c>
      <c r="P88" s="20">
        <v>45875</v>
      </c>
      <c r="Q88" s="20">
        <f t="shared" si="146"/>
        <v>46605</v>
      </c>
      <c r="R88" s="21">
        <f t="shared" ca="1" si="2"/>
        <v>383.49944016203517</v>
      </c>
      <c r="S88" s="22" t="str">
        <f t="shared" ca="1" si="136"/>
        <v>VIGENTE</v>
      </c>
      <c r="T88" s="20">
        <v>45880</v>
      </c>
      <c r="U88" s="20">
        <f t="shared" si="147"/>
        <v>46610</v>
      </c>
      <c r="V88" s="21">
        <f t="shared" ca="1" si="4"/>
        <v>388.49944016203517</v>
      </c>
      <c r="W88" s="22" t="str">
        <f t="shared" ca="1" si="137"/>
        <v>VIGENTE</v>
      </c>
      <c r="X88" s="23">
        <v>4</v>
      </c>
      <c r="Y88" s="23">
        <v>3</v>
      </c>
      <c r="Z88" s="23">
        <f t="shared" si="6"/>
        <v>4</v>
      </c>
      <c r="AA88" s="23">
        <f t="shared" ca="1" si="7"/>
        <v>3</v>
      </c>
      <c r="AB88" s="24">
        <f t="shared" ref="AB88:AC88" si="153">Z88/X88</f>
        <v>1</v>
      </c>
      <c r="AC88" s="24">
        <f t="shared" ca="1" si="153"/>
        <v>1</v>
      </c>
      <c r="AD88" s="25">
        <f t="shared" ca="1" si="149"/>
        <v>1</v>
      </c>
      <c r="AE88" s="23"/>
      <c r="AF88" s="23"/>
      <c r="AG88" s="23"/>
      <c r="AH88" s="23"/>
    </row>
    <row r="89" spans="1:34" ht="14.4" x14ac:dyDescent="0.3">
      <c r="A89" s="30"/>
      <c r="B89" s="27"/>
      <c r="C89" s="18" t="str">
        <f>LOOKUP(F89,BD!C:C,BD!A:A)</f>
        <v>MARIA CAMILA</v>
      </c>
      <c r="D89" s="18" t="str">
        <f>LOOKUP(F89,BD!C:C,BD!B:B)</f>
        <v>SANCHEZ SANCHEZ</v>
      </c>
      <c r="E89" s="18">
        <v>3128686354</v>
      </c>
      <c r="F89" s="18">
        <v>1017273119</v>
      </c>
      <c r="G89" s="18">
        <f>LOOKUP(F89,BD!C:C,BD!D:D)</f>
        <v>5652818</v>
      </c>
      <c r="H89" s="19" t="s">
        <v>30</v>
      </c>
      <c r="I89" s="19" t="s">
        <v>30</v>
      </c>
      <c r="J89" s="19" t="s">
        <v>30</v>
      </c>
      <c r="K89" s="19" t="s">
        <v>30</v>
      </c>
      <c r="L89" s="20">
        <v>45889</v>
      </c>
      <c r="M89" s="20">
        <f t="shared" si="145"/>
        <v>46619</v>
      </c>
      <c r="N89" s="21">
        <f t="shared" ca="1" si="0"/>
        <v>397.49944016203517</v>
      </c>
      <c r="O89" s="22" t="str">
        <f t="shared" ca="1" si="135"/>
        <v>VIGENTE</v>
      </c>
      <c r="P89" s="20">
        <v>46126</v>
      </c>
      <c r="Q89" s="20">
        <f t="shared" si="146"/>
        <v>46856</v>
      </c>
      <c r="R89" s="21">
        <f t="shared" ca="1" si="2"/>
        <v>634.49944016203517</v>
      </c>
      <c r="S89" s="22" t="str">
        <f t="shared" ca="1" si="136"/>
        <v>VIGENTE</v>
      </c>
      <c r="T89" s="20">
        <v>46124</v>
      </c>
      <c r="U89" s="20">
        <f t="shared" si="147"/>
        <v>46854</v>
      </c>
      <c r="V89" s="21">
        <f t="shared" ca="1" si="4"/>
        <v>632.49944016203517</v>
      </c>
      <c r="W89" s="22" t="str">
        <f t="shared" ca="1" si="137"/>
        <v>VIGENTE</v>
      </c>
      <c r="X89" s="23">
        <v>4</v>
      </c>
      <c r="Y89" s="23">
        <v>3</v>
      </c>
      <c r="Z89" s="23">
        <f t="shared" si="6"/>
        <v>4</v>
      </c>
      <c r="AA89" s="23">
        <f t="shared" ca="1" si="7"/>
        <v>3</v>
      </c>
      <c r="AB89" s="24">
        <f t="shared" ref="AB89:AC89" si="154">Z89/X89</f>
        <v>1</v>
      </c>
      <c r="AC89" s="24">
        <f t="shared" ca="1" si="154"/>
        <v>1</v>
      </c>
      <c r="AD89" s="25">
        <f t="shared" ca="1" si="149"/>
        <v>1</v>
      </c>
      <c r="AE89" s="23"/>
      <c r="AF89" s="23"/>
      <c r="AG89" s="23"/>
      <c r="AH89" s="23"/>
    </row>
    <row r="90" spans="1:34" ht="14.4" x14ac:dyDescent="0.3">
      <c r="A90" s="30"/>
      <c r="B90" s="27"/>
      <c r="C90" s="18" t="str">
        <f>LOOKUP(F90,BD!C:C,BD!A:A)</f>
        <v>MARIA CRISTINA</v>
      </c>
      <c r="D90" s="18" t="str">
        <f>LOOKUP(F90,BD!C:C,BD!B:B)</f>
        <v>MESA OCHOA</v>
      </c>
      <c r="E90" s="18">
        <v>3165865291</v>
      </c>
      <c r="F90" s="18">
        <v>1039685400</v>
      </c>
      <c r="G90" s="18">
        <f>LOOKUP(F90,BD!C:C,BD!D:D)</f>
        <v>26060065991</v>
      </c>
      <c r="H90" s="19" t="s">
        <v>30</v>
      </c>
      <c r="I90" s="19" t="s">
        <v>30</v>
      </c>
      <c r="J90" s="19" t="s">
        <v>30</v>
      </c>
      <c r="K90" s="19" t="s">
        <v>30</v>
      </c>
      <c r="L90" s="28">
        <v>45815</v>
      </c>
      <c r="M90" s="20">
        <f>L90+730</f>
        <v>46545</v>
      </c>
      <c r="N90" s="21">
        <f t="shared" ca="1" si="0"/>
        <v>323.49944016203517</v>
      </c>
      <c r="O90" s="22" t="str">
        <f t="shared" ca="1" si="135"/>
        <v>VIGENTE</v>
      </c>
      <c r="P90" s="28">
        <v>45821</v>
      </c>
      <c r="Q90" s="20">
        <f>P90+730</f>
        <v>46551</v>
      </c>
      <c r="R90" s="21">
        <f t="shared" ca="1" si="2"/>
        <v>329.49944016203517</v>
      </c>
      <c r="S90" s="22" t="str">
        <f t="shared" ca="1" si="136"/>
        <v>VIGENTE</v>
      </c>
      <c r="T90" s="28">
        <v>45821</v>
      </c>
      <c r="U90" s="20">
        <f>T90+730</f>
        <v>46551</v>
      </c>
      <c r="V90" s="21">
        <f t="shared" ca="1" si="4"/>
        <v>329.49944016203517</v>
      </c>
      <c r="W90" s="22" t="str">
        <f t="shared" ca="1" si="137"/>
        <v>VIGENTE</v>
      </c>
      <c r="X90" s="23">
        <v>4</v>
      </c>
      <c r="Y90" s="23">
        <v>3</v>
      </c>
      <c r="Z90" s="23">
        <f t="shared" si="6"/>
        <v>4</v>
      </c>
      <c r="AA90" s="23">
        <f t="shared" ca="1" si="7"/>
        <v>3</v>
      </c>
      <c r="AB90" s="24">
        <f t="shared" ref="AB90:AC90" si="155">Z90/X90</f>
        <v>1</v>
      </c>
      <c r="AC90" s="24">
        <f t="shared" ca="1" si="155"/>
        <v>1</v>
      </c>
      <c r="AD90" s="25">
        <f ca="1">(Z90+AA90)/7</f>
        <v>1</v>
      </c>
      <c r="AE90" s="23"/>
      <c r="AF90" s="23"/>
      <c r="AG90" s="23"/>
      <c r="AH90" s="23"/>
    </row>
    <row r="91" spans="1:34" ht="14.4" x14ac:dyDescent="0.3">
      <c r="A91" s="30"/>
      <c r="B91" s="27"/>
      <c r="C91" s="18" t="str">
        <f>LOOKUP(F91,BD!C:C,BD!A:A)</f>
        <v>MARIA FERNANDA</v>
      </c>
      <c r="D91" s="18" t="str">
        <f>LOOKUP(F91,BD!C:C,BD!B:B)</f>
        <v>MONTAÑEZ GIRALDO</v>
      </c>
      <c r="E91" s="18">
        <v>3053067612</v>
      </c>
      <c r="F91" s="18">
        <v>1000549072</v>
      </c>
      <c r="G91" s="18">
        <f>LOOKUP(F91,BD!C:C,BD!D:D)</f>
        <v>25060444779</v>
      </c>
      <c r="H91" s="19" t="s">
        <v>30</v>
      </c>
      <c r="I91" s="19" t="s">
        <v>30</v>
      </c>
      <c r="J91" s="19" t="s">
        <v>30</v>
      </c>
      <c r="K91" s="19" t="s">
        <v>30</v>
      </c>
      <c r="L91" s="20">
        <v>45869</v>
      </c>
      <c r="M91" s="20">
        <f t="shared" ref="M91:M92" si="156">L91+365</f>
        <v>46234</v>
      </c>
      <c r="N91" s="21">
        <f t="shared" ca="1" si="0"/>
        <v>12.499440162035171</v>
      </c>
      <c r="O91" s="22" t="str">
        <f t="shared" ca="1" si="135"/>
        <v>VIGENTE</v>
      </c>
      <c r="P91" s="20">
        <v>45855</v>
      </c>
      <c r="Q91" s="20">
        <f t="shared" ref="Q91:Q92" si="157">P91+365</f>
        <v>46220</v>
      </c>
      <c r="R91" s="21">
        <f t="shared" ca="1" si="2"/>
        <v>-1.5005598379648291</v>
      </c>
      <c r="S91" s="22" t="str">
        <f t="shared" ca="1" si="136"/>
        <v>NO CUMPLE</v>
      </c>
      <c r="T91" s="20">
        <v>45855</v>
      </c>
      <c r="U91" s="20">
        <f>T91+730</f>
        <v>46585</v>
      </c>
      <c r="V91" s="21">
        <f t="shared" ca="1" si="4"/>
        <v>363.49944016203517</v>
      </c>
      <c r="W91" s="22" t="str">
        <f t="shared" ca="1" si="137"/>
        <v>VIGENTE</v>
      </c>
      <c r="X91" s="23">
        <v>4</v>
      </c>
      <c r="Y91" s="23">
        <v>3</v>
      </c>
      <c r="Z91" s="23">
        <f t="shared" si="6"/>
        <v>4</v>
      </c>
      <c r="AA91" s="23">
        <f t="shared" ca="1" si="7"/>
        <v>2</v>
      </c>
      <c r="AB91" s="24">
        <f t="shared" ref="AB91:AC91" si="158">Z91/X91</f>
        <v>1</v>
      </c>
      <c r="AC91" s="24">
        <f t="shared" ca="1" si="158"/>
        <v>0.66666666666666663</v>
      </c>
      <c r="AD91" s="25">
        <f t="shared" ref="AD91:AD92" ca="1" si="159">(Z91+AA91)/7</f>
        <v>0.8571428571428571</v>
      </c>
      <c r="AE91" s="23"/>
      <c r="AF91" s="23"/>
      <c r="AG91" s="23"/>
      <c r="AH91" s="23"/>
    </row>
    <row r="92" spans="1:34" ht="14.4" x14ac:dyDescent="0.3">
      <c r="A92" s="30"/>
      <c r="B92" s="27"/>
      <c r="C92" s="18" t="str">
        <f>LOOKUP(F92,BD!C:C,BD!A:A)</f>
        <v>MARIA LIZETH</v>
      </c>
      <c r="D92" s="18" t="str">
        <f>LOOKUP(F92,BD!C:C,BD!B:B)</f>
        <v>AGUIRRE GOMEZ</v>
      </c>
      <c r="E92" s="18">
        <v>3205502997</v>
      </c>
      <c r="F92" s="18">
        <v>1000662143</v>
      </c>
      <c r="G92" s="18">
        <f>LOOKUP(F92,BD!C:C,BD!D:D)</f>
        <v>5021322</v>
      </c>
      <c r="H92" s="19" t="s">
        <v>30</v>
      </c>
      <c r="I92" s="19" t="s">
        <v>30</v>
      </c>
      <c r="J92" s="19" t="s">
        <v>30</v>
      </c>
      <c r="K92" s="19" t="s">
        <v>30</v>
      </c>
      <c r="L92" s="20">
        <v>45826</v>
      </c>
      <c r="M92" s="20">
        <f t="shared" si="156"/>
        <v>46191</v>
      </c>
      <c r="N92" s="21">
        <f t="shared" ca="1" si="0"/>
        <v>-30.500559837964829</v>
      </c>
      <c r="O92" s="22" t="str">
        <f t="shared" ca="1" si="135"/>
        <v>NO CUMPLE</v>
      </c>
      <c r="P92" s="20">
        <v>45826</v>
      </c>
      <c r="Q92" s="20">
        <f t="shared" si="157"/>
        <v>46191</v>
      </c>
      <c r="R92" s="21">
        <f t="shared" ca="1" si="2"/>
        <v>-30.500559837964829</v>
      </c>
      <c r="S92" s="22" t="str">
        <f t="shared" ca="1" si="136"/>
        <v>NO CUMPLE</v>
      </c>
      <c r="T92" s="20">
        <v>45826</v>
      </c>
      <c r="U92" s="20">
        <f>T92+365</f>
        <v>46191</v>
      </c>
      <c r="V92" s="21">
        <f t="shared" ca="1" si="4"/>
        <v>-30.500559837964829</v>
      </c>
      <c r="W92" s="22" t="str">
        <f t="shared" ca="1" si="137"/>
        <v>NO CUMPLE</v>
      </c>
      <c r="X92" s="23">
        <v>4</v>
      </c>
      <c r="Y92" s="23">
        <v>3</v>
      </c>
      <c r="Z92" s="23">
        <f t="shared" si="6"/>
        <v>4</v>
      </c>
      <c r="AA92" s="23">
        <f t="shared" ca="1" si="7"/>
        <v>0</v>
      </c>
      <c r="AB92" s="24">
        <f t="shared" ref="AB92:AC92" si="160">Z92/X92</f>
        <v>1</v>
      </c>
      <c r="AC92" s="24">
        <f t="shared" ca="1" si="160"/>
        <v>0</v>
      </c>
      <c r="AD92" s="25">
        <f t="shared" ca="1" si="159"/>
        <v>0.5714285714285714</v>
      </c>
      <c r="AE92" s="23"/>
      <c r="AF92" s="23"/>
      <c r="AG92" s="23"/>
      <c r="AH92" s="23"/>
    </row>
    <row r="93" spans="1:34" ht="14.4" x14ac:dyDescent="0.3">
      <c r="A93" s="30"/>
      <c r="B93" s="27"/>
      <c r="C93" s="18" t="str">
        <f>LOOKUP(F93,BD!C:C,BD!A:A)</f>
        <v>MARIA PAULINA</v>
      </c>
      <c r="D93" s="18" t="str">
        <f>LOOKUP(F93,BD!C:C,BD!B:B)</f>
        <v>GIRALDO JARAMILLO</v>
      </c>
      <c r="E93" s="18">
        <v>3193908918</v>
      </c>
      <c r="F93" s="18">
        <v>1035970205</v>
      </c>
      <c r="G93" s="18">
        <f>LOOKUP(F93,BD!C:C,BD!D:D)</f>
        <v>25060180090</v>
      </c>
      <c r="H93" s="19" t="s">
        <v>30</v>
      </c>
      <c r="I93" s="19" t="s">
        <v>30</v>
      </c>
      <c r="J93" s="19" t="s">
        <v>30</v>
      </c>
      <c r="K93" s="19" t="s">
        <v>30</v>
      </c>
      <c r="L93" s="28">
        <v>45657</v>
      </c>
      <c r="M93" s="20">
        <f>L93+730</f>
        <v>46387</v>
      </c>
      <c r="N93" s="21">
        <f t="shared" ca="1" si="0"/>
        <v>165.49944016203517</v>
      </c>
      <c r="O93" s="22" t="str">
        <f t="shared" ca="1" si="135"/>
        <v>VIGENTE</v>
      </c>
      <c r="P93" s="28">
        <v>45968</v>
      </c>
      <c r="Q93" s="20">
        <f>P93+730</f>
        <v>46698</v>
      </c>
      <c r="R93" s="21">
        <f t="shared" ca="1" si="2"/>
        <v>476.49944016203517</v>
      </c>
      <c r="S93" s="22" t="str">
        <f t="shared" ca="1" si="136"/>
        <v>VIGENTE</v>
      </c>
      <c r="T93" s="28">
        <v>45968</v>
      </c>
      <c r="U93" s="20">
        <f>T93+730</f>
        <v>46698</v>
      </c>
      <c r="V93" s="21">
        <f t="shared" ca="1" si="4"/>
        <v>476.49944016203517</v>
      </c>
      <c r="W93" s="22" t="str">
        <f t="shared" ca="1" si="137"/>
        <v>VIGENTE</v>
      </c>
      <c r="X93" s="23">
        <v>4</v>
      </c>
      <c r="Y93" s="23">
        <v>3</v>
      </c>
      <c r="Z93" s="23">
        <f t="shared" si="6"/>
        <v>4</v>
      </c>
      <c r="AA93" s="23">
        <f t="shared" ca="1" si="7"/>
        <v>3</v>
      </c>
      <c r="AB93" s="24">
        <f t="shared" ref="AB93:AC93" si="161">Z93/X93</f>
        <v>1</v>
      </c>
      <c r="AC93" s="24">
        <f t="shared" ca="1" si="161"/>
        <v>1</v>
      </c>
      <c r="AD93" s="25">
        <f ca="1">(Z93+AA93)/7</f>
        <v>1</v>
      </c>
      <c r="AE93" s="23"/>
      <c r="AF93" s="23"/>
      <c r="AG93" s="23"/>
      <c r="AH93" s="23"/>
    </row>
    <row r="94" spans="1:34" ht="14.4" x14ac:dyDescent="0.3">
      <c r="A94" s="16"/>
      <c r="B94" s="27"/>
      <c r="C94" s="18" t="str">
        <f>LOOKUP(F94,BD!C:C,BD!A:A)</f>
        <v>MARIANA</v>
      </c>
      <c r="D94" s="18" t="str">
        <f>LOOKUP(F94,BD!C:C,BD!B:B)</f>
        <v>DIAZ AGUIRRE</v>
      </c>
      <c r="E94" s="18">
        <v>3125396601</v>
      </c>
      <c r="F94" s="18">
        <v>1000902815</v>
      </c>
      <c r="G94" s="18">
        <f>LOOKUP(F94,BD!C:C,BD!D:D)</f>
        <v>5333823</v>
      </c>
      <c r="H94" s="19" t="s">
        <v>30</v>
      </c>
      <c r="I94" s="19" t="s">
        <v>30</v>
      </c>
      <c r="J94" s="19" t="s">
        <v>30</v>
      </c>
      <c r="K94" s="19" t="s">
        <v>30</v>
      </c>
      <c r="L94" s="20">
        <v>45811</v>
      </c>
      <c r="M94" s="20">
        <f t="shared" ref="M94:M100" si="162">L94+730</f>
        <v>46541</v>
      </c>
      <c r="N94" s="21">
        <f t="shared" ca="1" si="0"/>
        <v>319.49944016203517</v>
      </c>
      <c r="O94" s="22" t="str">
        <f t="shared" ca="1" si="135"/>
        <v>VIGENTE</v>
      </c>
      <c r="P94" s="20">
        <v>45811</v>
      </c>
      <c r="Q94" s="20">
        <f t="shared" ref="Q94:Q95" si="163">P94+730</f>
        <v>46541</v>
      </c>
      <c r="R94" s="21">
        <f t="shared" ca="1" si="2"/>
        <v>319.49944016203517</v>
      </c>
      <c r="S94" s="22" t="str">
        <f t="shared" ca="1" si="136"/>
        <v>VIGENTE</v>
      </c>
      <c r="T94" s="20">
        <v>45811</v>
      </c>
      <c r="U94" s="20">
        <f t="shared" ref="U94:U100" si="164">T94+730</f>
        <v>46541</v>
      </c>
      <c r="V94" s="21">
        <f t="shared" ca="1" si="4"/>
        <v>319.49944016203517</v>
      </c>
      <c r="W94" s="22" t="str">
        <f t="shared" ca="1" si="137"/>
        <v>VIGENTE</v>
      </c>
      <c r="X94" s="23">
        <v>4</v>
      </c>
      <c r="Y94" s="23">
        <v>3</v>
      </c>
      <c r="Z94" s="23">
        <f t="shared" si="6"/>
        <v>4</v>
      </c>
      <c r="AA94" s="23">
        <f t="shared" ca="1" si="7"/>
        <v>3</v>
      </c>
      <c r="AB94" s="24">
        <f t="shared" ref="AB94:AC94" si="165">Z94/X94</f>
        <v>1</v>
      </c>
      <c r="AC94" s="24">
        <f t="shared" ca="1" si="165"/>
        <v>1</v>
      </c>
      <c r="AD94" s="25">
        <f t="shared" ref="AD94:AD100" ca="1" si="166">(Z94+AA94)/7</f>
        <v>1</v>
      </c>
      <c r="AE94" s="23"/>
      <c r="AF94" s="23"/>
      <c r="AG94" s="23"/>
      <c r="AH94" s="23"/>
    </row>
    <row r="95" spans="1:34" ht="14.4" x14ac:dyDescent="0.3">
      <c r="A95" s="30"/>
      <c r="B95" s="27"/>
      <c r="C95" s="18" t="str">
        <f>LOOKUP(F95,BD!C:C,BD!A:A)</f>
        <v>MARIBEL</v>
      </c>
      <c r="D95" s="18" t="str">
        <f>LOOKUP(F95,BD!C:C,BD!B:B)</f>
        <v>ELORZA RODRIGUEZ</v>
      </c>
      <c r="E95" s="18">
        <v>3215841523</v>
      </c>
      <c r="F95" s="18">
        <v>1010159183</v>
      </c>
      <c r="G95" s="18">
        <f>LOOKUP(F95,BD!C:C,BD!D:D)</f>
        <v>24060075867</v>
      </c>
      <c r="H95" s="19" t="s">
        <v>30</v>
      </c>
      <c r="I95" s="19" t="s">
        <v>30</v>
      </c>
      <c r="J95" s="19" t="s">
        <v>30</v>
      </c>
      <c r="K95" s="19" t="s">
        <v>30</v>
      </c>
      <c r="L95" s="20">
        <v>46132</v>
      </c>
      <c r="M95" s="20">
        <f t="shared" si="162"/>
        <v>46862</v>
      </c>
      <c r="N95" s="21">
        <f t="shared" ca="1" si="0"/>
        <v>640.49944016203517</v>
      </c>
      <c r="O95" s="22" t="str">
        <f t="shared" ca="1" si="135"/>
        <v>VIGENTE</v>
      </c>
      <c r="P95" s="20">
        <v>45485</v>
      </c>
      <c r="Q95" s="20">
        <f t="shared" si="163"/>
        <v>46215</v>
      </c>
      <c r="R95" s="21">
        <f t="shared" ca="1" si="2"/>
        <v>-6.5005598379648291</v>
      </c>
      <c r="S95" s="22" t="str">
        <f t="shared" ca="1" si="136"/>
        <v>NO CUMPLE</v>
      </c>
      <c r="T95" s="20">
        <v>45628</v>
      </c>
      <c r="U95" s="20">
        <f t="shared" si="164"/>
        <v>46358</v>
      </c>
      <c r="V95" s="21">
        <f t="shared" ca="1" si="4"/>
        <v>136.49944016203517</v>
      </c>
      <c r="W95" s="22" t="str">
        <f t="shared" ca="1" si="137"/>
        <v>VIGENTE</v>
      </c>
      <c r="X95" s="23">
        <v>4</v>
      </c>
      <c r="Y95" s="23">
        <v>3</v>
      </c>
      <c r="Z95" s="23">
        <f t="shared" si="6"/>
        <v>4</v>
      </c>
      <c r="AA95" s="23">
        <f t="shared" ca="1" si="7"/>
        <v>2</v>
      </c>
      <c r="AB95" s="24">
        <f t="shared" ref="AB95:AC95" si="167">Z95/X95</f>
        <v>1</v>
      </c>
      <c r="AC95" s="24">
        <f t="shared" ca="1" si="167"/>
        <v>0.66666666666666663</v>
      </c>
      <c r="AD95" s="25">
        <f t="shared" ca="1" si="166"/>
        <v>0.8571428571428571</v>
      </c>
      <c r="AE95" s="23"/>
      <c r="AF95" s="23"/>
      <c r="AG95" s="23"/>
      <c r="AH95" s="23"/>
    </row>
    <row r="96" spans="1:34" ht="14.4" x14ac:dyDescent="0.3">
      <c r="A96" s="30"/>
      <c r="B96" s="27"/>
      <c r="C96" s="32" t="str">
        <f>LOOKUP(F96,BD!C:C,BD!A:A)</f>
        <v>MARYORI ALEJANDRA</v>
      </c>
      <c r="D96" s="18" t="str">
        <f>LOOKUP(F96,BD!C:C,BD!B:B)</f>
        <v>FRANCO RIOS</v>
      </c>
      <c r="E96" s="18">
        <v>3044993886</v>
      </c>
      <c r="F96" s="18">
        <v>1036674174</v>
      </c>
      <c r="G96" s="18">
        <f>LOOKUP(F96,BD!C:C,BD!D:D)</f>
        <v>5447719</v>
      </c>
      <c r="H96" s="19" t="s">
        <v>30</v>
      </c>
      <c r="I96" s="19" t="s">
        <v>30</v>
      </c>
      <c r="J96" s="19" t="s">
        <v>30</v>
      </c>
      <c r="K96" s="19" t="s">
        <v>30</v>
      </c>
      <c r="L96" s="20">
        <v>46181</v>
      </c>
      <c r="M96" s="20">
        <f t="shared" si="162"/>
        <v>46911</v>
      </c>
      <c r="N96" s="21">
        <f t="shared" ca="1" si="0"/>
        <v>689.49944016203517</v>
      </c>
      <c r="O96" s="22" t="str">
        <f t="shared" ca="1" si="135"/>
        <v>VIGENTE</v>
      </c>
      <c r="P96" s="20">
        <v>46182</v>
      </c>
      <c r="Q96" s="20">
        <f>P96+365</f>
        <v>46547</v>
      </c>
      <c r="R96" s="21">
        <f t="shared" ca="1" si="2"/>
        <v>325.49944016203517</v>
      </c>
      <c r="S96" s="22" t="str">
        <f t="shared" ca="1" si="136"/>
        <v>VIGENTE</v>
      </c>
      <c r="T96" s="20">
        <v>45992</v>
      </c>
      <c r="U96" s="20">
        <f t="shared" si="164"/>
        <v>46722</v>
      </c>
      <c r="V96" s="21">
        <f t="shared" ca="1" si="4"/>
        <v>500.49944016203517</v>
      </c>
      <c r="W96" s="22" t="str">
        <f t="shared" ca="1" si="137"/>
        <v>VIGENTE</v>
      </c>
      <c r="X96" s="23">
        <v>4</v>
      </c>
      <c r="Y96" s="23">
        <v>3</v>
      </c>
      <c r="Z96" s="23">
        <f t="shared" si="6"/>
        <v>4</v>
      </c>
      <c r="AA96" s="23">
        <f t="shared" ca="1" si="7"/>
        <v>3</v>
      </c>
      <c r="AB96" s="24">
        <f t="shared" ref="AB96:AC96" si="168">Z96/X96</f>
        <v>1</v>
      </c>
      <c r="AC96" s="24">
        <f t="shared" ca="1" si="168"/>
        <v>1</v>
      </c>
      <c r="AD96" s="25">
        <f t="shared" ca="1" si="166"/>
        <v>1</v>
      </c>
      <c r="AE96" s="23"/>
      <c r="AF96" s="23"/>
      <c r="AG96" s="23"/>
      <c r="AH96" s="23"/>
    </row>
    <row r="97" spans="1:34" ht="14.4" x14ac:dyDescent="0.3">
      <c r="A97" s="30"/>
      <c r="B97" s="27"/>
      <c r="C97" s="18" t="str">
        <f>LOOKUP(F97,BD!C:C,BD!A:A)</f>
        <v>MATEO</v>
      </c>
      <c r="D97" s="18" t="str">
        <f>LOOKUP(F97,BD!C:C,BD!B:B)</f>
        <v>HEREDIA VASQUEZ</v>
      </c>
      <c r="E97" s="18">
        <v>3146761044</v>
      </c>
      <c r="F97" s="18">
        <v>1001153638</v>
      </c>
      <c r="G97" s="18">
        <f>LOOKUP(F97,BD!C:C,BD!D:D)</f>
        <v>25060171422</v>
      </c>
      <c r="H97" s="19" t="s">
        <v>30</v>
      </c>
      <c r="I97" s="19" t="s">
        <v>30</v>
      </c>
      <c r="J97" s="19" t="s">
        <v>30</v>
      </c>
      <c r="K97" s="19" t="s">
        <v>30</v>
      </c>
      <c r="L97" s="20">
        <v>45597</v>
      </c>
      <c r="M97" s="20">
        <f t="shared" si="162"/>
        <v>46327</v>
      </c>
      <c r="N97" s="21">
        <f t="shared" ca="1" si="0"/>
        <v>105.49944016203517</v>
      </c>
      <c r="O97" s="22" t="str">
        <f t="shared" ca="1" si="135"/>
        <v>VIGENTE</v>
      </c>
      <c r="P97" s="20">
        <v>45847</v>
      </c>
      <c r="Q97" s="20">
        <f t="shared" ref="Q97:Q100" si="169">P97+730</f>
        <v>46577</v>
      </c>
      <c r="R97" s="21">
        <f t="shared" ca="1" si="2"/>
        <v>355.49944016203517</v>
      </c>
      <c r="S97" s="22" t="str">
        <f t="shared" ca="1" si="136"/>
        <v>VIGENTE</v>
      </c>
      <c r="T97" s="20">
        <v>45867</v>
      </c>
      <c r="U97" s="20">
        <f t="shared" si="164"/>
        <v>46597</v>
      </c>
      <c r="V97" s="21">
        <f t="shared" ca="1" si="4"/>
        <v>375.49944016203517</v>
      </c>
      <c r="W97" s="22" t="str">
        <f t="shared" ca="1" si="137"/>
        <v>VIGENTE</v>
      </c>
      <c r="X97" s="23">
        <v>4</v>
      </c>
      <c r="Y97" s="23">
        <v>3</v>
      </c>
      <c r="Z97" s="23">
        <f t="shared" si="6"/>
        <v>4</v>
      </c>
      <c r="AA97" s="23">
        <f t="shared" ca="1" si="7"/>
        <v>3</v>
      </c>
      <c r="AB97" s="24">
        <f t="shared" ref="AB97:AC97" si="170">Z97/X97</f>
        <v>1</v>
      </c>
      <c r="AC97" s="24">
        <f t="shared" ca="1" si="170"/>
        <v>1</v>
      </c>
      <c r="AD97" s="25">
        <f t="shared" ca="1" si="166"/>
        <v>1</v>
      </c>
      <c r="AE97" s="23"/>
      <c r="AF97" s="23"/>
      <c r="AG97" s="23"/>
      <c r="AH97" s="23"/>
    </row>
    <row r="98" spans="1:34" ht="14.4" x14ac:dyDescent="0.3">
      <c r="A98" s="30"/>
      <c r="B98" s="27"/>
      <c r="C98" s="18" t="str">
        <f>LOOKUP(F98,BD!C:C,BD!A:A)</f>
        <v>MATEO</v>
      </c>
      <c r="D98" s="18" t="str">
        <f>LOOKUP(F98,BD!C:C,BD!B:B)</f>
        <v>ZAPATA RESTREPO</v>
      </c>
      <c r="E98" s="18">
        <v>3043657598</v>
      </c>
      <c r="F98" s="18">
        <v>1037651776</v>
      </c>
      <c r="G98" s="18">
        <f>LOOKUP(F98,BD!C:C,BD!D:D)</f>
        <v>5229823</v>
      </c>
      <c r="H98" s="19" t="s">
        <v>30</v>
      </c>
      <c r="I98" s="19" t="s">
        <v>30</v>
      </c>
      <c r="J98" s="19" t="s">
        <v>30</v>
      </c>
      <c r="K98" s="19" t="s">
        <v>30</v>
      </c>
      <c r="L98" s="20">
        <v>45946</v>
      </c>
      <c r="M98" s="20">
        <f t="shared" si="162"/>
        <v>46676</v>
      </c>
      <c r="N98" s="21">
        <f t="shared" ca="1" si="0"/>
        <v>454.49944016203517</v>
      </c>
      <c r="O98" s="22" t="str">
        <f t="shared" ca="1" si="135"/>
        <v>VIGENTE</v>
      </c>
      <c r="P98" s="20">
        <v>45940</v>
      </c>
      <c r="Q98" s="20">
        <f t="shared" si="169"/>
        <v>46670</v>
      </c>
      <c r="R98" s="21">
        <f t="shared" ca="1" si="2"/>
        <v>448.49944016203517</v>
      </c>
      <c r="S98" s="22" t="str">
        <f t="shared" ca="1" si="136"/>
        <v>VIGENTE</v>
      </c>
      <c r="T98" s="20">
        <v>45490</v>
      </c>
      <c r="U98" s="20">
        <f t="shared" si="164"/>
        <v>46220</v>
      </c>
      <c r="V98" s="21">
        <f t="shared" ca="1" si="4"/>
        <v>-1.5005598379648291</v>
      </c>
      <c r="W98" s="22" t="str">
        <f t="shared" ca="1" si="137"/>
        <v>NO CUMPLE</v>
      </c>
      <c r="X98" s="23">
        <v>4</v>
      </c>
      <c r="Y98" s="23">
        <v>3</v>
      </c>
      <c r="Z98" s="23">
        <f t="shared" si="6"/>
        <v>4</v>
      </c>
      <c r="AA98" s="23">
        <f t="shared" ca="1" si="7"/>
        <v>2</v>
      </c>
      <c r="AB98" s="24">
        <f t="shared" ref="AB98:AC98" si="171">Z98/X98</f>
        <v>1</v>
      </c>
      <c r="AC98" s="24">
        <f t="shared" ca="1" si="171"/>
        <v>0.66666666666666663</v>
      </c>
      <c r="AD98" s="25">
        <f t="shared" ca="1" si="166"/>
        <v>0.8571428571428571</v>
      </c>
      <c r="AE98" s="23"/>
      <c r="AF98" s="23"/>
      <c r="AG98" s="23"/>
      <c r="AH98" s="23"/>
    </row>
    <row r="99" spans="1:34" ht="14.4" x14ac:dyDescent="0.3">
      <c r="A99" s="30"/>
      <c r="B99" s="27"/>
      <c r="C99" s="18" t="str">
        <f>LOOKUP(F99,BD!C:C,BD!A:A)</f>
        <v>MELANY</v>
      </c>
      <c r="D99" s="18" t="str">
        <f>LOOKUP(F99,BD!C:C,BD!B:B)</f>
        <v>LOPERA CORREA</v>
      </c>
      <c r="E99" s="18">
        <v>3007920925</v>
      </c>
      <c r="F99" s="18">
        <v>1018232525</v>
      </c>
      <c r="G99" s="18">
        <f>LOOKUP(F99,BD!C:C,BD!D:D)</f>
        <v>25060181730</v>
      </c>
      <c r="H99" s="19" t="s">
        <v>30</v>
      </c>
      <c r="I99" s="19" t="s">
        <v>30</v>
      </c>
      <c r="J99" s="19" t="s">
        <v>30</v>
      </c>
      <c r="K99" s="19" t="s">
        <v>30</v>
      </c>
      <c r="L99" s="20">
        <v>45860</v>
      </c>
      <c r="M99" s="20">
        <f t="shared" si="162"/>
        <v>46590</v>
      </c>
      <c r="N99" s="21">
        <f t="shared" ca="1" si="0"/>
        <v>368.49944016203517</v>
      </c>
      <c r="O99" s="22" t="str">
        <f t="shared" ca="1" si="135"/>
        <v>VIGENTE</v>
      </c>
      <c r="P99" s="20">
        <v>45742</v>
      </c>
      <c r="Q99" s="20">
        <f t="shared" si="169"/>
        <v>46472</v>
      </c>
      <c r="R99" s="21">
        <f t="shared" ca="1" si="2"/>
        <v>250.49944016203517</v>
      </c>
      <c r="S99" s="22" t="str">
        <f t="shared" ca="1" si="136"/>
        <v>VIGENTE</v>
      </c>
      <c r="T99" s="20">
        <v>45861</v>
      </c>
      <c r="U99" s="20">
        <f t="shared" si="164"/>
        <v>46591</v>
      </c>
      <c r="V99" s="21">
        <f t="shared" ca="1" si="4"/>
        <v>369.49944016203517</v>
      </c>
      <c r="W99" s="22" t="str">
        <f t="shared" ca="1" si="137"/>
        <v>VIGENTE</v>
      </c>
      <c r="X99" s="23">
        <v>4</v>
      </c>
      <c r="Y99" s="23">
        <v>3</v>
      </c>
      <c r="Z99" s="23">
        <f t="shared" si="6"/>
        <v>4</v>
      </c>
      <c r="AA99" s="23">
        <f t="shared" ca="1" si="7"/>
        <v>3</v>
      </c>
      <c r="AB99" s="24">
        <f t="shared" ref="AB99:AC99" si="172">Z99/X99</f>
        <v>1</v>
      </c>
      <c r="AC99" s="24">
        <f t="shared" ca="1" si="172"/>
        <v>1</v>
      </c>
      <c r="AD99" s="25">
        <f t="shared" ca="1" si="166"/>
        <v>1</v>
      </c>
      <c r="AE99" s="23"/>
      <c r="AF99" s="23"/>
      <c r="AG99" s="23"/>
      <c r="AH99" s="23"/>
    </row>
    <row r="100" spans="1:34" ht="14.4" x14ac:dyDescent="0.3">
      <c r="A100" s="30"/>
      <c r="B100" s="27"/>
      <c r="C100" s="18" t="str">
        <f>LOOKUP(F100,BD!C:C,BD!A:A)</f>
        <v>MELANY</v>
      </c>
      <c r="D100" s="18" t="str">
        <f>LOOKUP(F100,BD!C:C,BD!B:B)</f>
        <v>BLANDON PUERTA</v>
      </c>
      <c r="E100" s="18">
        <v>3024136728</v>
      </c>
      <c r="F100" s="18">
        <v>1146443718</v>
      </c>
      <c r="G100" s="18">
        <f>LOOKUP(F100,BD!C:C,BD!D:D)</f>
        <v>5117223</v>
      </c>
      <c r="H100" s="19" t="s">
        <v>30</v>
      </c>
      <c r="I100" s="19" t="s">
        <v>30</v>
      </c>
      <c r="J100" s="19" t="s">
        <v>30</v>
      </c>
      <c r="K100" s="19" t="s">
        <v>30</v>
      </c>
      <c r="L100" s="20">
        <v>46020</v>
      </c>
      <c r="M100" s="20">
        <f t="shared" si="162"/>
        <v>46750</v>
      </c>
      <c r="N100" s="21">
        <f t="shared" ca="1" si="0"/>
        <v>528.49944016203517</v>
      </c>
      <c r="O100" s="22" t="str">
        <f t="shared" ca="1" si="135"/>
        <v>VIGENTE</v>
      </c>
      <c r="P100" s="20">
        <v>46020</v>
      </c>
      <c r="Q100" s="20">
        <f t="shared" si="169"/>
        <v>46750</v>
      </c>
      <c r="R100" s="21">
        <f t="shared" ca="1" si="2"/>
        <v>528.49944016203517</v>
      </c>
      <c r="S100" s="22" t="str">
        <f t="shared" ca="1" si="136"/>
        <v>VIGENTE</v>
      </c>
      <c r="T100" s="20">
        <v>46020</v>
      </c>
      <c r="U100" s="20">
        <f t="shared" si="164"/>
        <v>46750</v>
      </c>
      <c r="V100" s="21">
        <f t="shared" ca="1" si="4"/>
        <v>528.49944016203517</v>
      </c>
      <c r="W100" s="22" t="str">
        <f t="shared" ca="1" si="137"/>
        <v>VIGENTE</v>
      </c>
      <c r="X100" s="23">
        <v>4</v>
      </c>
      <c r="Y100" s="23">
        <v>3</v>
      </c>
      <c r="Z100" s="23">
        <f t="shared" si="6"/>
        <v>4</v>
      </c>
      <c r="AA100" s="23">
        <f t="shared" ca="1" si="7"/>
        <v>3</v>
      </c>
      <c r="AB100" s="24">
        <f t="shared" ref="AB100:AC100" si="173">Z100/X100</f>
        <v>1</v>
      </c>
      <c r="AC100" s="24">
        <f t="shared" ca="1" si="173"/>
        <v>1</v>
      </c>
      <c r="AD100" s="25">
        <f t="shared" ca="1" si="166"/>
        <v>1</v>
      </c>
      <c r="AE100" s="23"/>
      <c r="AF100" s="23"/>
      <c r="AG100" s="23"/>
      <c r="AH100" s="23"/>
    </row>
    <row r="101" spans="1:34" ht="14.4" x14ac:dyDescent="0.3">
      <c r="A101" s="30"/>
      <c r="B101" s="27"/>
      <c r="C101" s="18" t="str">
        <f>LOOKUP(F101,BD!C:C,BD!A:A)</f>
        <v>MELINA</v>
      </c>
      <c r="D101" s="18" t="str">
        <f>LOOKUP(F101,BD!C:C,BD!B:B)</f>
        <v>CUARTAS BOTERO</v>
      </c>
      <c r="E101" s="18">
        <v>3027211146</v>
      </c>
      <c r="F101" s="18">
        <v>1023525728</v>
      </c>
      <c r="G101" s="18">
        <f>LOOKUP(F101,BD!C:C,BD!D:D)</f>
        <v>26060043595</v>
      </c>
      <c r="H101" s="19" t="s">
        <v>30</v>
      </c>
      <c r="I101" s="19" t="s">
        <v>30</v>
      </c>
      <c r="J101" s="19" t="s">
        <v>30</v>
      </c>
      <c r="K101" s="19" t="s">
        <v>30</v>
      </c>
      <c r="L101" s="28">
        <v>46167</v>
      </c>
      <c r="M101" s="20">
        <f>L101+730</f>
        <v>46897</v>
      </c>
      <c r="N101" s="21">
        <f t="shared" ca="1" si="0"/>
        <v>675.49944016203517</v>
      </c>
      <c r="O101" s="22" t="str">
        <f t="shared" ca="1" si="135"/>
        <v>VIGENTE</v>
      </c>
      <c r="P101" s="28">
        <v>45932</v>
      </c>
      <c r="Q101" s="20">
        <f>P101+730</f>
        <v>46662</v>
      </c>
      <c r="R101" s="21">
        <f t="shared" ca="1" si="2"/>
        <v>440.49944016203517</v>
      </c>
      <c r="S101" s="22" t="str">
        <f t="shared" ca="1" si="136"/>
        <v>VIGENTE</v>
      </c>
      <c r="T101" s="28">
        <v>46167</v>
      </c>
      <c r="U101" s="20">
        <f>T101+365</f>
        <v>46532</v>
      </c>
      <c r="V101" s="21">
        <f t="shared" ca="1" si="4"/>
        <v>310.49944016203517</v>
      </c>
      <c r="W101" s="22" t="str">
        <f t="shared" ca="1" si="137"/>
        <v>VIGENTE</v>
      </c>
      <c r="X101" s="23">
        <v>4</v>
      </c>
      <c r="Y101" s="23">
        <v>3</v>
      </c>
      <c r="Z101" s="23">
        <f t="shared" si="6"/>
        <v>4</v>
      </c>
      <c r="AA101" s="23">
        <f t="shared" ca="1" si="7"/>
        <v>3</v>
      </c>
      <c r="AB101" s="24">
        <f t="shared" ref="AB101:AC101" si="174">Z101/X101</f>
        <v>1</v>
      </c>
      <c r="AC101" s="24">
        <f t="shared" ca="1" si="174"/>
        <v>1</v>
      </c>
      <c r="AD101" s="25">
        <f ca="1">(Z101+AA101)/7</f>
        <v>1</v>
      </c>
      <c r="AE101" s="23"/>
      <c r="AF101" s="23"/>
      <c r="AG101" s="23"/>
      <c r="AH101" s="23"/>
    </row>
    <row r="102" spans="1:34" ht="14.4" x14ac:dyDescent="0.3">
      <c r="A102" s="30"/>
      <c r="B102" s="27"/>
      <c r="C102" s="18" t="str">
        <f>LOOKUP(F102,BD!C:C,BD!A:A)</f>
        <v>MELISA</v>
      </c>
      <c r="D102" s="18" t="str">
        <f>LOOKUP(F102,BD!C:C,BD!B:B)</f>
        <v>PARRA VALENCIA</v>
      </c>
      <c r="E102" s="18">
        <v>3128269586</v>
      </c>
      <c r="F102" s="18">
        <v>1007242992</v>
      </c>
      <c r="G102" s="18">
        <f>LOOKUP(F102,BD!C:C,BD!D:D)</f>
        <v>5514519</v>
      </c>
      <c r="H102" s="19" t="s">
        <v>30</v>
      </c>
      <c r="I102" s="19" t="s">
        <v>30</v>
      </c>
      <c r="J102" s="19" t="s">
        <v>30</v>
      </c>
      <c r="K102" s="19" t="s">
        <v>30</v>
      </c>
      <c r="L102" s="20">
        <v>45938</v>
      </c>
      <c r="M102" s="20">
        <f t="shared" ref="M102:M113" si="175">L102+730</f>
        <v>46668</v>
      </c>
      <c r="N102" s="21">
        <f t="shared" ca="1" si="0"/>
        <v>446.49944016203517</v>
      </c>
      <c r="O102" s="22" t="str">
        <f t="shared" ca="1" si="135"/>
        <v>VIGENTE</v>
      </c>
      <c r="P102" s="20">
        <v>45942</v>
      </c>
      <c r="Q102" s="20">
        <f t="shared" ref="Q102:Q104" si="176">P102+730</f>
        <v>46672</v>
      </c>
      <c r="R102" s="21">
        <f t="shared" ca="1" si="2"/>
        <v>450.49944016203517</v>
      </c>
      <c r="S102" s="22" t="str">
        <f t="shared" ca="1" si="136"/>
        <v>VIGENTE</v>
      </c>
      <c r="T102" s="20">
        <v>45940</v>
      </c>
      <c r="U102" s="20">
        <f t="shared" ref="U102:U104" si="177">T102+730</f>
        <v>46670</v>
      </c>
      <c r="V102" s="21">
        <f t="shared" ca="1" si="4"/>
        <v>448.49944016203517</v>
      </c>
      <c r="W102" s="22" t="str">
        <f t="shared" ca="1" si="137"/>
        <v>VIGENTE</v>
      </c>
      <c r="X102" s="23">
        <v>4</v>
      </c>
      <c r="Y102" s="23">
        <v>3</v>
      </c>
      <c r="Z102" s="23">
        <f t="shared" si="6"/>
        <v>4</v>
      </c>
      <c r="AA102" s="23">
        <f t="shared" ca="1" si="7"/>
        <v>3</v>
      </c>
      <c r="AB102" s="24">
        <f t="shared" ref="AB102:AC102" si="178">Z102/X102</f>
        <v>1</v>
      </c>
      <c r="AC102" s="24">
        <f t="shared" ca="1" si="178"/>
        <v>1</v>
      </c>
      <c r="AD102" s="25">
        <f t="shared" ref="AD102:AD109" ca="1" si="179">(Z102+AA102)/7</f>
        <v>1</v>
      </c>
      <c r="AE102" s="23"/>
      <c r="AF102" s="23"/>
      <c r="AG102" s="23"/>
      <c r="AH102" s="23"/>
    </row>
    <row r="103" spans="1:34" ht="14.4" x14ac:dyDescent="0.3">
      <c r="A103" s="30"/>
      <c r="B103" s="27"/>
      <c r="C103" s="18" t="str">
        <f>LOOKUP(F103,BD!C:C,BD!A:A)</f>
        <v>MELISSA ALEXANDRA</v>
      </c>
      <c r="D103" s="18" t="str">
        <f>LOOKUP(F103,BD!C:C,BD!B:B)</f>
        <v>VERGARA SEPULVEDA</v>
      </c>
      <c r="E103" s="18">
        <v>3044376133</v>
      </c>
      <c r="F103" s="18">
        <v>1010092679</v>
      </c>
      <c r="G103" s="33">
        <f>LOOKUP(F103,BD!C:C,BD!D:D)</f>
        <v>2024060024727</v>
      </c>
      <c r="H103" s="19" t="s">
        <v>30</v>
      </c>
      <c r="I103" s="19" t="s">
        <v>30</v>
      </c>
      <c r="J103" s="19" t="s">
        <v>30</v>
      </c>
      <c r="K103" s="19" t="s">
        <v>30</v>
      </c>
      <c r="L103" s="20">
        <v>45947</v>
      </c>
      <c r="M103" s="20">
        <f t="shared" si="175"/>
        <v>46677</v>
      </c>
      <c r="N103" s="21">
        <f t="shared" ca="1" si="0"/>
        <v>455.49944016203517</v>
      </c>
      <c r="O103" s="22" t="str">
        <f t="shared" ca="1" si="135"/>
        <v>VIGENTE</v>
      </c>
      <c r="P103" s="20">
        <v>45945</v>
      </c>
      <c r="Q103" s="20">
        <f t="shared" si="176"/>
        <v>46675</v>
      </c>
      <c r="R103" s="21">
        <f t="shared" ca="1" si="2"/>
        <v>453.49944016203517</v>
      </c>
      <c r="S103" s="22" t="str">
        <f t="shared" ca="1" si="136"/>
        <v>VIGENTE</v>
      </c>
      <c r="T103" s="20">
        <v>45943</v>
      </c>
      <c r="U103" s="20">
        <f t="shared" si="177"/>
        <v>46673</v>
      </c>
      <c r="V103" s="21">
        <f t="shared" ca="1" si="4"/>
        <v>451.49944016203517</v>
      </c>
      <c r="W103" s="22" t="str">
        <f t="shared" ca="1" si="137"/>
        <v>VIGENTE</v>
      </c>
      <c r="X103" s="23">
        <v>4</v>
      </c>
      <c r="Y103" s="23">
        <v>3</v>
      </c>
      <c r="Z103" s="23">
        <f t="shared" si="6"/>
        <v>4</v>
      </c>
      <c r="AA103" s="23">
        <f t="shared" ca="1" si="7"/>
        <v>3</v>
      </c>
      <c r="AB103" s="24">
        <f t="shared" ref="AB103:AC103" si="180">Z103/X103</f>
        <v>1</v>
      </c>
      <c r="AC103" s="24">
        <f t="shared" ca="1" si="180"/>
        <v>1</v>
      </c>
      <c r="AD103" s="25">
        <f t="shared" ca="1" si="179"/>
        <v>1</v>
      </c>
      <c r="AE103" s="23"/>
      <c r="AF103" s="23"/>
      <c r="AG103" s="23"/>
      <c r="AH103" s="23"/>
    </row>
    <row r="104" spans="1:34" ht="14.4" x14ac:dyDescent="0.3">
      <c r="A104" s="30"/>
      <c r="B104" s="27"/>
      <c r="C104" s="18" t="str">
        <f>LOOKUP(F104,BD!C:C,BD!A:A)</f>
        <v>MIGUEL ANGEL</v>
      </c>
      <c r="D104" s="18" t="str">
        <f>LOOKUP(F104,BD!C:C,BD!B:B)</f>
        <v>CAMPILLO ATEHORTUA</v>
      </c>
      <c r="E104" s="18">
        <v>3126771812</v>
      </c>
      <c r="F104" s="18">
        <v>1000898470</v>
      </c>
      <c r="G104" s="18">
        <f>LOOKUP(F104,BD!C:C,BD!D:D)</f>
        <v>5122123</v>
      </c>
      <c r="H104" s="19" t="s">
        <v>30</v>
      </c>
      <c r="I104" s="19" t="s">
        <v>30</v>
      </c>
      <c r="J104" s="19" t="s">
        <v>30</v>
      </c>
      <c r="K104" s="19" t="s">
        <v>30</v>
      </c>
      <c r="L104" s="20">
        <v>45759</v>
      </c>
      <c r="M104" s="20">
        <f t="shared" si="175"/>
        <v>46489</v>
      </c>
      <c r="N104" s="21">
        <f t="shared" ca="1" si="0"/>
        <v>267.49944016203517</v>
      </c>
      <c r="O104" s="22" t="str">
        <f t="shared" ca="1" si="135"/>
        <v>VIGENTE</v>
      </c>
      <c r="P104" s="20">
        <v>45904</v>
      </c>
      <c r="Q104" s="20">
        <f t="shared" si="176"/>
        <v>46634</v>
      </c>
      <c r="R104" s="21">
        <f t="shared" ca="1" si="2"/>
        <v>412.49944016203517</v>
      </c>
      <c r="S104" s="22" t="str">
        <f t="shared" ca="1" si="136"/>
        <v>VIGENTE</v>
      </c>
      <c r="T104" s="20">
        <v>45904</v>
      </c>
      <c r="U104" s="20">
        <f t="shared" si="177"/>
        <v>46634</v>
      </c>
      <c r="V104" s="21">
        <f t="shared" ca="1" si="4"/>
        <v>412.49944016203517</v>
      </c>
      <c r="W104" s="22" t="str">
        <f t="shared" ca="1" si="137"/>
        <v>VIGENTE</v>
      </c>
      <c r="X104" s="23">
        <v>4</v>
      </c>
      <c r="Y104" s="23">
        <v>3</v>
      </c>
      <c r="Z104" s="23">
        <f t="shared" si="6"/>
        <v>4</v>
      </c>
      <c r="AA104" s="23">
        <f t="shared" ca="1" si="7"/>
        <v>3</v>
      </c>
      <c r="AB104" s="24">
        <f t="shared" ref="AB104:AC104" si="181">Z104/X104</f>
        <v>1</v>
      </c>
      <c r="AC104" s="24">
        <f t="shared" ca="1" si="181"/>
        <v>1</v>
      </c>
      <c r="AD104" s="25">
        <f t="shared" ca="1" si="179"/>
        <v>1</v>
      </c>
      <c r="AE104" s="23"/>
      <c r="AF104" s="23"/>
      <c r="AG104" s="23"/>
      <c r="AH104" s="23"/>
    </row>
    <row r="105" spans="1:34" ht="14.4" x14ac:dyDescent="0.3">
      <c r="A105" s="30"/>
      <c r="B105" s="27"/>
      <c r="C105" s="18" t="str">
        <f>LOOKUP(F105,BD!C:C,BD!A:A)</f>
        <v>NAILA BRITNEY</v>
      </c>
      <c r="D105" s="18" t="str">
        <f>LOOKUP(F105,BD!C:C,BD!B:B)</f>
        <v>MESA AGUDELO</v>
      </c>
      <c r="E105" s="18">
        <v>3207028181</v>
      </c>
      <c r="F105" s="18">
        <v>1002147037</v>
      </c>
      <c r="G105" s="18">
        <f>LOOKUP(F105,BD!C:C,BD!D:D)</f>
        <v>5151123</v>
      </c>
      <c r="H105" s="19" t="s">
        <v>30</v>
      </c>
      <c r="I105" s="19" t="s">
        <v>30</v>
      </c>
      <c r="J105" s="19" t="s">
        <v>30</v>
      </c>
      <c r="K105" s="19" t="s">
        <v>30</v>
      </c>
      <c r="L105" s="20">
        <v>46064</v>
      </c>
      <c r="M105" s="20">
        <f t="shared" si="175"/>
        <v>46794</v>
      </c>
      <c r="N105" s="21">
        <f t="shared" ca="1" si="0"/>
        <v>572.49944016203517</v>
      </c>
      <c r="O105" s="22" t="str">
        <f t="shared" ca="1" si="135"/>
        <v>VIGENTE</v>
      </c>
      <c r="P105" s="20">
        <v>46067</v>
      </c>
      <c r="Q105" s="20">
        <f>P105+365</f>
        <v>46432</v>
      </c>
      <c r="R105" s="21">
        <f t="shared" ca="1" si="2"/>
        <v>210.49944016203517</v>
      </c>
      <c r="S105" s="22" t="str">
        <f t="shared" ca="1" si="136"/>
        <v>VIGENTE</v>
      </c>
      <c r="T105" s="20">
        <v>46067</v>
      </c>
      <c r="U105" s="20">
        <f>T105+365</f>
        <v>46432</v>
      </c>
      <c r="V105" s="21">
        <f t="shared" ca="1" si="4"/>
        <v>210.49944016203517</v>
      </c>
      <c r="W105" s="22" t="str">
        <f t="shared" ca="1" si="137"/>
        <v>VIGENTE</v>
      </c>
      <c r="X105" s="23">
        <v>4</v>
      </c>
      <c r="Y105" s="23">
        <v>3</v>
      </c>
      <c r="Z105" s="23">
        <f t="shared" si="6"/>
        <v>4</v>
      </c>
      <c r="AA105" s="23">
        <f t="shared" ca="1" si="7"/>
        <v>3</v>
      </c>
      <c r="AB105" s="24">
        <f t="shared" ref="AB105:AC105" si="182">Z105/X105</f>
        <v>1</v>
      </c>
      <c r="AC105" s="24">
        <f t="shared" ca="1" si="182"/>
        <v>1</v>
      </c>
      <c r="AD105" s="25">
        <f t="shared" ca="1" si="179"/>
        <v>1</v>
      </c>
      <c r="AE105" s="23"/>
      <c r="AF105" s="23"/>
      <c r="AG105" s="23"/>
      <c r="AH105" s="23"/>
    </row>
    <row r="106" spans="1:34" ht="14.4" x14ac:dyDescent="0.3">
      <c r="A106" s="30"/>
      <c r="B106" s="27"/>
      <c r="C106" s="18" t="str">
        <f>LOOKUP(F106,BD!C:C,BD!A:A)</f>
        <v>NANCY CRISTINA</v>
      </c>
      <c r="D106" s="18" t="str">
        <f>LOOKUP(F106,BD!C:C,BD!B:B)</f>
        <v>MONSALVE</v>
      </c>
      <c r="E106" s="18">
        <v>3104630519</v>
      </c>
      <c r="F106" s="18">
        <v>43623145</v>
      </c>
      <c r="G106" s="18">
        <f>LOOKUP(F106,BD!C:C,BD!D:D)</f>
        <v>60018289</v>
      </c>
      <c r="H106" s="19" t="s">
        <v>30</v>
      </c>
      <c r="I106" s="19" t="s">
        <v>30</v>
      </c>
      <c r="J106" s="19" t="s">
        <v>30</v>
      </c>
      <c r="K106" s="19" t="s">
        <v>30</v>
      </c>
      <c r="L106" s="20">
        <v>45525</v>
      </c>
      <c r="M106" s="20">
        <f t="shared" si="175"/>
        <v>46255</v>
      </c>
      <c r="N106" s="21">
        <f t="shared" ca="1" si="0"/>
        <v>33.499440162035171</v>
      </c>
      <c r="O106" s="22" t="str">
        <f t="shared" ca="1" si="135"/>
        <v>VIGENTE</v>
      </c>
      <c r="P106" s="20">
        <v>45930</v>
      </c>
      <c r="Q106" s="20">
        <f>P106+730</f>
        <v>46660</v>
      </c>
      <c r="R106" s="21">
        <f t="shared" ca="1" si="2"/>
        <v>438.49944016203517</v>
      </c>
      <c r="S106" s="22" t="str">
        <f t="shared" ca="1" si="136"/>
        <v>VIGENTE</v>
      </c>
      <c r="T106" s="20">
        <v>45517</v>
      </c>
      <c r="U106" s="20">
        <f>T106+730</f>
        <v>46247</v>
      </c>
      <c r="V106" s="21">
        <f t="shared" ca="1" si="4"/>
        <v>25.499440162035171</v>
      </c>
      <c r="W106" s="22" t="str">
        <f t="shared" ca="1" si="137"/>
        <v>VIGENTE</v>
      </c>
      <c r="X106" s="23">
        <v>4</v>
      </c>
      <c r="Y106" s="23">
        <v>3</v>
      </c>
      <c r="Z106" s="23">
        <f t="shared" si="6"/>
        <v>4</v>
      </c>
      <c r="AA106" s="23">
        <f t="shared" ca="1" si="7"/>
        <v>3</v>
      </c>
      <c r="AB106" s="24">
        <f t="shared" ref="AB106:AC106" si="183">Z106/X106</f>
        <v>1</v>
      </c>
      <c r="AC106" s="24">
        <f t="shared" ca="1" si="183"/>
        <v>1</v>
      </c>
      <c r="AD106" s="25">
        <f t="shared" ca="1" si="179"/>
        <v>1</v>
      </c>
      <c r="AE106" s="23"/>
      <c r="AF106" s="23"/>
      <c r="AG106" s="23"/>
      <c r="AH106" s="23"/>
    </row>
    <row r="107" spans="1:34" ht="14.4" x14ac:dyDescent="0.3">
      <c r="A107" s="30"/>
      <c r="B107" s="27"/>
      <c r="C107" s="18" t="str">
        <f>LOOKUP(F107,BD!C:C,BD!A:A)</f>
        <v>NARLY PAOLA</v>
      </c>
      <c r="D107" s="18" t="str">
        <f>LOOKUP(F107,BD!C:C,BD!B:B)</f>
        <v>NARVAEZ CHALA</v>
      </c>
      <c r="E107" s="18">
        <v>3178598675</v>
      </c>
      <c r="F107" s="18">
        <v>1006417562</v>
      </c>
      <c r="G107" s="18">
        <f>LOOKUP(F107,BD!C:C,BD!D:D)</f>
        <v>5153222</v>
      </c>
      <c r="H107" s="19" t="s">
        <v>30</v>
      </c>
      <c r="I107" s="19" t="s">
        <v>30</v>
      </c>
      <c r="J107" s="19" t="s">
        <v>30</v>
      </c>
      <c r="K107" s="19" t="s">
        <v>30</v>
      </c>
      <c r="L107" s="20">
        <v>45904</v>
      </c>
      <c r="M107" s="20">
        <f t="shared" si="175"/>
        <v>46634</v>
      </c>
      <c r="N107" s="21">
        <f t="shared" ca="1" si="0"/>
        <v>412.49944016203517</v>
      </c>
      <c r="O107" s="22" t="str">
        <f t="shared" ca="1" si="135"/>
        <v>VIGENTE</v>
      </c>
      <c r="P107" s="20">
        <v>45903</v>
      </c>
      <c r="Q107" s="20">
        <f>P107+365</f>
        <v>46268</v>
      </c>
      <c r="R107" s="21">
        <f t="shared" ca="1" si="2"/>
        <v>46.499440162035171</v>
      </c>
      <c r="S107" s="22" t="str">
        <f t="shared" ca="1" si="136"/>
        <v>VIGENTE</v>
      </c>
      <c r="T107" s="20">
        <v>45902</v>
      </c>
      <c r="U107" s="20">
        <f>T107+365</f>
        <v>46267</v>
      </c>
      <c r="V107" s="21">
        <f t="shared" ca="1" si="4"/>
        <v>45.499440162035171</v>
      </c>
      <c r="W107" s="22" t="str">
        <f t="shared" ca="1" si="137"/>
        <v>VIGENTE</v>
      </c>
      <c r="X107" s="23">
        <v>4</v>
      </c>
      <c r="Y107" s="23">
        <v>3</v>
      </c>
      <c r="Z107" s="23">
        <f t="shared" si="6"/>
        <v>4</v>
      </c>
      <c r="AA107" s="23">
        <f t="shared" ca="1" si="7"/>
        <v>3</v>
      </c>
      <c r="AB107" s="24">
        <f t="shared" ref="AB107:AC107" si="184">Z107/X107</f>
        <v>1</v>
      </c>
      <c r="AC107" s="24">
        <f t="shared" ca="1" si="184"/>
        <v>1</v>
      </c>
      <c r="AD107" s="25">
        <f t="shared" ca="1" si="179"/>
        <v>1</v>
      </c>
      <c r="AE107" s="23"/>
      <c r="AF107" s="23"/>
      <c r="AG107" s="23"/>
      <c r="AH107" s="23"/>
    </row>
    <row r="108" spans="1:34" ht="14.4" x14ac:dyDescent="0.3">
      <c r="A108" s="30"/>
      <c r="B108" s="27"/>
      <c r="C108" s="18" t="str">
        <f>LOOKUP(F108,BD!C:C,BD!A:A)</f>
        <v>NATALIA CAROLINA</v>
      </c>
      <c r="D108" s="18" t="str">
        <f>LOOKUP(F108,BD!C:C,BD!B:B)</f>
        <v>MEJÍA</v>
      </c>
      <c r="E108" s="18">
        <v>3146520326</v>
      </c>
      <c r="F108" s="18">
        <v>32258110</v>
      </c>
      <c r="G108" s="18">
        <f>LOOKUP(F108,BD!C:C,BD!D:D)</f>
        <v>25060163402</v>
      </c>
      <c r="H108" s="19" t="s">
        <v>30</v>
      </c>
      <c r="I108" s="19" t="s">
        <v>30</v>
      </c>
      <c r="J108" s="19" t="s">
        <v>30</v>
      </c>
      <c r="K108" s="19" t="s">
        <v>30</v>
      </c>
      <c r="L108" s="20">
        <v>46051</v>
      </c>
      <c r="M108" s="20">
        <f t="shared" si="175"/>
        <v>46781</v>
      </c>
      <c r="N108" s="21">
        <f t="shared" ca="1" si="0"/>
        <v>559.49944016203517</v>
      </c>
      <c r="O108" s="22" t="str">
        <f t="shared" ca="1" si="135"/>
        <v>VIGENTE</v>
      </c>
      <c r="P108" s="20">
        <v>46051</v>
      </c>
      <c r="Q108" s="20">
        <f t="shared" ref="Q108:Q109" si="185">P108+730</f>
        <v>46781</v>
      </c>
      <c r="R108" s="21">
        <f t="shared" ca="1" si="2"/>
        <v>559.49944016203517</v>
      </c>
      <c r="S108" s="22" t="str">
        <f t="shared" ca="1" si="136"/>
        <v>VIGENTE</v>
      </c>
      <c r="T108" s="20">
        <v>46051</v>
      </c>
      <c r="U108" s="20">
        <f>T108+730</f>
        <v>46781</v>
      </c>
      <c r="V108" s="21">
        <f t="shared" ca="1" si="4"/>
        <v>559.49944016203517</v>
      </c>
      <c r="W108" s="22" t="str">
        <f t="shared" ca="1" si="137"/>
        <v>VIGENTE</v>
      </c>
      <c r="X108" s="23">
        <v>4</v>
      </c>
      <c r="Y108" s="23">
        <v>3</v>
      </c>
      <c r="Z108" s="23">
        <f t="shared" si="6"/>
        <v>4</v>
      </c>
      <c r="AA108" s="23">
        <f t="shared" ca="1" si="7"/>
        <v>3</v>
      </c>
      <c r="AB108" s="24">
        <f t="shared" ref="AB108:AC108" si="186">Z108/X108</f>
        <v>1</v>
      </c>
      <c r="AC108" s="24">
        <f t="shared" ca="1" si="186"/>
        <v>1</v>
      </c>
      <c r="AD108" s="25">
        <f t="shared" ca="1" si="179"/>
        <v>1</v>
      </c>
      <c r="AE108" s="23"/>
      <c r="AF108" s="23"/>
      <c r="AG108" s="23"/>
      <c r="AH108" s="23"/>
    </row>
    <row r="109" spans="1:34" ht="14.4" x14ac:dyDescent="0.3">
      <c r="A109" s="30"/>
      <c r="B109" s="27"/>
      <c r="C109" s="18" t="str">
        <f>LOOKUP(F109,BD!C:C,BD!A:A)</f>
        <v>NATALY</v>
      </c>
      <c r="D109" s="18" t="str">
        <f>LOOKUP(F109,BD!C:C,BD!B:B)</f>
        <v>MONTOYA GOMEZ</v>
      </c>
      <c r="E109" s="18">
        <v>3243289593</v>
      </c>
      <c r="F109" s="18">
        <v>1036864630</v>
      </c>
      <c r="G109" s="18">
        <f>LOOKUP(F109,BD!C:C,BD!D:D)</f>
        <v>24060431592</v>
      </c>
      <c r="H109" s="19" t="s">
        <v>30</v>
      </c>
      <c r="I109" s="19" t="s">
        <v>30</v>
      </c>
      <c r="J109" s="19" t="s">
        <v>30</v>
      </c>
      <c r="K109" s="19" t="s">
        <v>30</v>
      </c>
      <c r="L109" s="20">
        <v>45486</v>
      </c>
      <c r="M109" s="20">
        <f t="shared" si="175"/>
        <v>46216</v>
      </c>
      <c r="N109" s="21">
        <f t="shared" ca="1" si="0"/>
        <v>-5.5005598379648291</v>
      </c>
      <c r="O109" s="22" t="str">
        <f t="shared" ca="1" si="135"/>
        <v>NO CUMPLE</v>
      </c>
      <c r="P109" s="20">
        <v>45486</v>
      </c>
      <c r="Q109" s="20">
        <f t="shared" si="185"/>
        <v>46216</v>
      </c>
      <c r="R109" s="21">
        <f t="shared" ca="1" si="2"/>
        <v>-5.5005598379648291</v>
      </c>
      <c r="S109" s="22" t="str">
        <f t="shared" ca="1" si="136"/>
        <v>NO CUMPLE</v>
      </c>
      <c r="T109" s="20">
        <v>45966</v>
      </c>
      <c r="U109" s="20">
        <f t="shared" ref="U109:U110" si="187">T109+365</f>
        <v>46331</v>
      </c>
      <c r="V109" s="21">
        <f t="shared" ca="1" si="4"/>
        <v>109.49944016203517</v>
      </c>
      <c r="W109" s="22" t="str">
        <f t="shared" ca="1" si="137"/>
        <v>VIGENTE</v>
      </c>
      <c r="X109" s="23">
        <v>4</v>
      </c>
      <c r="Y109" s="23">
        <v>3</v>
      </c>
      <c r="Z109" s="23">
        <f t="shared" si="6"/>
        <v>4</v>
      </c>
      <c r="AA109" s="23">
        <f t="shared" ca="1" si="7"/>
        <v>1</v>
      </c>
      <c r="AB109" s="24">
        <f t="shared" ref="AB109:AC109" si="188">Z109/X109</f>
        <v>1</v>
      </c>
      <c r="AC109" s="24">
        <f t="shared" ca="1" si="188"/>
        <v>0.33333333333333331</v>
      </c>
      <c r="AD109" s="25">
        <f t="shared" ca="1" si="179"/>
        <v>0.7142857142857143</v>
      </c>
      <c r="AE109" s="23"/>
      <c r="AF109" s="23"/>
      <c r="AG109" s="23"/>
      <c r="AH109" s="23"/>
    </row>
    <row r="110" spans="1:34" ht="14.4" x14ac:dyDescent="0.3">
      <c r="A110" s="30"/>
      <c r="B110" s="27"/>
      <c r="C110" s="18" t="str">
        <f>LOOKUP(F110,BD!C:C,BD!A:A)</f>
        <v>NATALY ANDREA</v>
      </c>
      <c r="D110" s="18" t="str">
        <f>LOOKUP(F110,BD!C:C,BD!B:B)</f>
        <v>ECHEVERRY OSORIO</v>
      </c>
      <c r="E110" s="18">
        <v>3005653233</v>
      </c>
      <c r="F110" s="18">
        <v>1020463192</v>
      </c>
      <c r="G110" s="18">
        <f>LOOKUP(F110,BD!C:C,BD!D:D)</f>
        <v>24060076828</v>
      </c>
      <c r="H110" s="19" t="s">
        <v>30</v>
      </c>
      <c r="I110" s="19" t="s">
        <v>30</v>
      </c>
      <c r="J110" s="19" t="s">
        <v>30</v>
      </c>
      <c r="K110" s="19" t="s">
        <v>30</v>
      </c>
      <c r="L110" s="20">
        <v>45899</v>
      </c>
      <c r="M110" s="20">
        <f t="shared" si="175"/>
        <v>46629</v>
      </c>
      <c r="N110" s="21">
        <f t="shared" ca="1" si="0"/>
        <v>407.49944016203517</v>
      </c>
      <c r="O110" s="22" t="str">
        <f t="shared" ca="1" si="135"/>
        <v>VIGENTE</v>
      </c>
      <c r="P110" s="20">
        <v>46175</v>
      </c>
      <c r="Q110" s="20">
        <f>P110+365</f>
        <v>46540</v>
      </c>
      <c r="R110" s="21">
        <f t="shared" ca="1" si="2"/>
        <v>318.49944016203517</v>
      </c>
      <c r="S110" s="22" t="str">
        <f t="shared" ca="1" si="136"/>
        <v>VIGENTE</v>
      </c>
      <c r="T110" s="20">
        <v>46175</v>
      </c>
      <c r="U110" s="20">
        <f t="shared" si="187"/>
        <v>46540</v>
      </c>
      <c r="V110" s="21">
        <f t="shared" ca="1" si="4"/>
        <v>318.49944016203517</v>
      </c>
      <c r="W110" s="22" t="str">
        <f t="shared" ca="1" si="137"/>
        <v>VIGENTE</v>
      </c>
      <c r="X110" s="23">
        <v>4</v>
      </c>
      <c r="Y110" s="23">
        <v>3</v>
      </c>
      <c r="Z110" s="23">
        <f t="shared" si="6"/>
        <v>4</v>
      </c>
      <c r="AA110" s="23">
        <f t="shared" ca="1" si="7"/>
        <v>3</v>
      </c>
      <c r="AB110" s="24">
        <f t="shared" ref="AB110:AC110" si="189">Z110/X110</f>
        <v>1</v>
      </c>
      <c r="AC110" s="24">
        <f t="shared" ca="1" si="189"/>
        <v>1</v>
      </c>
      <c r="AD110" s="25">
        <f t="shared" ref="AD110:AD116" ca="1" si="190">(Z110+AA110)/7</f>
        <v>1</v>
      </c>
      <c r="AE110" s="23"/>
      <c r="AF110" s="23"/>
      <c r="AG110" s="23"/>
      <c r="AH110" s="23"/>
    </row>
    <row r="111" spans="1:34" ht="14.4" x14ac:dyDescent="0.3">
      <c r="A111" s="30"/>
      <c r="B111" s="27"/>
      <c r="C111" s="18" t="str">
        <f>LOOKUP(F111,BD!C:C,BD!A:A)</f>
        <v>NICOLE</v>
      </c>
      <c r="D111" s="18" t="str">
        <f>LOOKUP(F111,BD!C:C,BD!B:B)</f>
        <v>VILLA GONZALEZ</v>
      </c>
      <c r="E111" s="18">
        <v>3006850354</v>
      </c>
      <c r="F111" s="18">
        <v>1025888183</v>
      </c>
      <c r="G111" s="18">
        <f>LOOKUP(F111,BD!C:C,BD!D:D)</f>
        <v>25060174670</v>
      </c>
      <c r="H111" s="19" t="s">
        <v>30</v>
      </c>
      <c r="I111" s="19" t="s">
        <v>30</v>
      </c>
      <c r="J111" s="19" t="s">
        <v>30</v>
      </c>
      <c r="K111" s="19" t="s">
        <v>30</v>
      </c>
      <c r="L111" s="20">
        <v>45787</v>
      </c>
      <c r="M111" s="20">
        <f t="shared" si="175"/>
        <v>46517</v>
      </c>
      <c r="N111" s="21">
        <f t="shared" ca="1" si="0"/>
        <v>295.49944016203517</v>
      </c>
      <c r="O111" s="22" t="str">
        <f t="shared" ca="1" si="135"/>
        <v>VIGENTE</v>
      </c>
      <c r="P111" s="20">
        <v>45888</v>
      </c>
      <c r="Q111" s="20">
        <f t="shared" ref="Q111:Q112" si="191">P111+730</f>
        <v>46618</v>
      </c>
      <c r="R111" s="21">
        <f t="shared" ca="1" si="2"/>
        <v>396.49944016203517</v>
      </c>
      <c r="S111" s="22" t="str">
        <f t="shared" ca="1" si="136"/>
        <v>VIGENTE</v>
      </c>
      <c r="T111" s="20">
        <v>45893</v>
      </c>
      <c r="U111" s="20">
        <f t="shared" ref="U111:U112" si="192">T111+730</f>
        <v>46623</v>
      </c>
      <c r="V111" s="21">
        <f t="shared" ca="1" si="4"/>
        <v>401.49944016203517</v>
      </c>
      <c r="W111" s="22" t="str">
        <f t="shared" ca="1" si="137"/>
        <v>VIGENTE</v>
      </c>
      <c r="X111" s="23">
        <v>4</v>
      </c>
      <c r="Y111" s="23">
        <v>3</v>
      </c>
      <c r="Z111" s="23">
        <f t="shared" si="6"/>
        <v>4</v>
      </c>
      <c r="AA111" s="23">
        <f t="shared" ca="1" si="7"/>
        <v>3</v>
      </c>
      <c r="AB111" s="24">
        <f t="shared" ref="AB111:AC111" si="193">Z111/X111</f>
        <v>1</v>
      </c>
      <c r="AC111" s="24">
        <f t="shared" ca="1" si="193"/>
        <v>1</v>
      </c>
      <c r="AD111" s="25">
        <f t="shared" ca="1" si="190"/>
        <v>1</v>
      </c>
      <c r="AE111" s="23"/>
      <c r="AF111" s="23"/>
      <c r="AG111" s="23"/>
      <c r="AH111" s="23"/>
    </row>
    <row r="112" spans="1:34" ht="14.4" x14ac:dyDescent="0.3">
      <c r="A112" s="30"/>
      <c r="B112" s="27"/>
      <c r="C112" s="18" t="str">
        <f>LOOKUP(F112,BD!C:C,BD!A:A)</f>
        <v>NORELA</v>
      </c>
      <c r="D112" s="18" t="str">
        <f>LOOKUP(F112,BD!C:C,BD!B:B)</f>
        <v>MONSALVE BRAN</v>
      </c>
      <c r="E112" s="18">
        <v>3217208091</v>
      </c>
      <c r="F112" s="18">
        <v>1035861721</v>
      </c>
      <c r="G112" s="18">
        <f>LOOKUP(F112,BD!C:C,BD!D:D)</f>
        <v>5657222</v>
      </c>
      <c r="H112" s="19" t="s">
        <v>30</v>
      </c>
      <c r="I112" s="19" t="s">
        <v>30</v>
      </c>
      <c r="J112" s="19" t="s">
        <v>30</v>
      </c>
      <c r="K112" s="19" t="s">
        <v>30</v>
      </c>
      <c r="L112" s="20">
        <v>45789</v>
      </c>
      <c r="M112" s="20">
        <f t="shared" si="175"/>
        <v>46519</v>
      </c>
      <c r="N112" s="21">
        <f t="shared" ca="1" si="0"/>
        <v>297.49944016203517</v>
      </c>
      <c r="O112" s="22" t="str">
        <f t="shared" ca="1" si="135"/>
        <v>VIGENTE</v>
      </c>
      <c r="P112" s="20">
        <v>45789</v>
      </c>
      <c r="Q112" s="20">
        <f t="shared" si="191"/>
        <v>46519</v>
      </c>
      <c r="R112" s="21">
        <f t="shared" ca="1" si="2"/>
        <v>297.49944016203517</v>
      </c>
      <c r="S112" s="22" t="str">
        <f t="shared" ca="1" si="136"/>
        <v>VIGENTE</v>
      </c>
      <c r="T112" s="20">
        <v>45789</v>
      </c>
      <c r="U112" s="20">
        <f t="shared" si="192"/>
        <v>46519</v>
      </c>
      <c r="V112" s="21">
        <f t="shared" ca="1" si="4"/>
        <v>297.49944016203517</v>
      </c>
      <c r="W112" s="22" t="str">
        <f t="shared" ca="1" si="137"/>
        <v>VIGENTE</v>
      </c>
      <c r="X112" s="23">
        <v>4</v>
      </c>
      <c r="Y112" s="23">
        <v>3</v>
      </c>
      <c r="Z112" s="23">
        <f t="shared" si="6"/>
        <v>4</v>
      </c>
      <c r="AA112" s="23">
        <f t="shared" ca="1" si="7"/>
        <v>3</v>
      </c>
      <c r="AB112" s="24">
        <f t="shared" ref="AB112:AC112" si="194">Z112/X112</f>
        <v>1</v>
      </c>
      <c r="AC112" s="24">
        <f t="shared" ca="1" si="194"/>
        <v>1</v>
      </c>
      <c r="AD112" s="25">
        <f t="shared" ca="1" si="190"/>
        <v>1</v>
      </c>
      <c r="AE112" s="23"/>
      <c r="AF112" s="23"/>
      <c r="AG112" s="23"/>
      <c r="AH112" s="23"/>
    </row>
    <row r="113" spans="1:34" ht="14.4" x14ac:dyDescent="0.3">
      <c r="A113" s="30"/>
      <c r="B113" s="27"/>
      <c r="C113" s="18" t="str">
        <f>LOOKUP(F113,BD!C:C,BD!A:A)</f>
        <v>OLMER ANTONIO</v>
      </c>
      <c r="D113" s="18" t="str">
        <f>LOOKUP(F113,BD!C:C,BD!B:B)</f>
        <v>TANGARIFE HIGUITA</v>
      </c>
      <c r="E113" s="18">
        <v>3217152790</v>
      </c>
      <c r="F113" s="18">
        <v>98540523</v>
      </c>
      <c r="G113" s="18">
        <f>LOOKUP(F113,BD!C:C,BD!D:D)</f>
        <v>5347011</v>
      </c>
      <c r="H113" s="19" t="s">
        <v>30</v>
      </c>
      <c r="I113" s="19" t="s">
        <v>30</v>
      </c>
      <c r="J113" s="19" t="s">
        <v>30</v>
      </c>
      <c r="K113" s="19" t="s">
        <v>30</v>
      </c>
      <c r="L113" s="20">
        <v>45889</v>
      </c>
      <c r="M113" s="20">
        <f t="shared" si="175"/>
        <v>46619</v>
      </c>
      <c r="N113" s="21">
        <f t="shared" ca="1" si="0"/>
        <v>397.49944016203517</v>
      </c>
      <c r="O113" s="22" t="str">
        <f t="shared" ca="1" si="135"/>
        <v>VIGENTE</v>
      </c>
      <c r="P113" s="20">
        <v>45888</v>
      </c>
      <c r="Q113" s="20">
        <f t="shared" ref="Q113:Q114" si="195">P113+365</f>
        <v>46253</v>
      </c>
      <c r="R113" s="21">
        <f t="shared" ca="1" si="2"/>
        <v>31.499440162035171</v>
      </c>
      <c r="S113" s="22" t="str">
        <f t="shared" ca="1" si="136"/>
        <v>VIGENTE</v>
      </c>
      <c r="T113" s="20">
        <v>45892</v>
      </c>
      <c r="U113" s="20">
        <f t="shared" ref="U113:U114" si="196">T113+365</f>
        <v>46257</v>
      </c>
      <c r="V113" s="21">
        <f t="shared" ca="1" si="4"/>
        <v>35.499440162035171</v>
      </c>
      <c r="W113" s="22" t="str">
        <f t="shared" ca="1" si="137"/>
        <v>VIGENTE</v>
      </c>
      <c r="X113" s="23">
        <v>4</v>
      </c>
      <c r="Y113" s="23">
        <v>3</v>
      </c>
      <c r="Z113" s="23">
        <f t="shared" si="6"/>
        <v>4</v>
      </c>
      <c r="AA113" s="23">
        <f t="shared" ca="1" si="7"/>
        <v>3</v>
      </c>
      <c r="AB113" s="24">
        <f t="shared" ref="AB113:AC113" si="197">Z113/X113</f>
        <v>1</v>
      </c>
      <c r="AC113" s="24">
        <f t="shared" ca="1" si="197"/>
        <v>1</v>
      </c>
      <c r="AD113" s="25">
        <f t="shared" ca="1" si="190"/>
        <v>1</v>
      </c>
      <c r="AE113" s="23"/>
      <c r="AF113" s="23"/>
      <c r="AG113" s="23"/>
      <c r="AH113" s="23"/>
    </row>
    <row r="114" spans="1:34" ht="14.4" x14ac:dyDescent="0.3">
      <c r="A114" s="30"/>
      <c r="B114" s="27"/>
      <c r="C114" s="18" t="str">
        <f>LOOKUP(F114,BD!C:C,BD!A:A)</f>
        <v>ORIANA MARIA</v>
      </c>
      <c r="D114" s="18" t="str">
        <f>LOOKUP(F114,BD!C:C,BD!B:B)</f>
        <v>DAVID MARULANDA</v>
      </c>
      <c r="E114" s="18">
        <v>3045591418</v>
      </c>
      <c r="F114" s="18">
        <v>1038334858</v>
      </c>
      <c r="G114" s="18">
        <f>LOOKUP(F114,BD!C:C,BD!D:D)</f>
        <v>5797015</v>
      </c>
      <c r="H114" s="19" t="s">
        <v>30</v>
      </c>
      <c r="I114" s="19" t="s">
        <v>30</v>
      </c>
      <c r="J114" s="19" t="s">
        <v>30</v>
      </c>
      <c r="K114" s="19" t="s">
        <v>30</v>
      </c>
      <c r="L114" s="20">
        <v>46127</v>
      </c>
      <c r="M114" s="20">
        <f>L114+365</f>
        <v>46492</v>
      </c>
      <c r="N114" s="21">
        <f t="shared" ca="1" si="0"/>
        <v>270.49944016203517</v>
      </c>
      <c r="O114" s="22" t="str">
        <f t="shared" ca="1" si="135"/>
        <v>VIGENTE</v>
      </c>
      <c r="P114" s="20">
        <v>46127</v>
      </c>
      <c r="Q114" s="20">
        <f t="shared" si="195"/>
        <v>46492</v>
      </c>
      <c r="R114" s="21">
        <f t="shared" ca="1" si="2"/>
        <v>270.49944016203517</v>
      </c>
      <c r="S114" s="22" t="str">
        <f t="shared" ca="1" si="136"/>
        <v>VIGENTE</v>
      </c>
      <c r="T114" s="20">
        <v>46127</v>
      </c>
      <c r="U114" s="20">
        <f t="shared" si="196"/>
        <v>46492</v>
      </c>
      <c r="V114" s="21">
        <f t="shared" ca="1" si="4"/>
        <v>270.49944016203517</v>
      </c>
      <c r="W114" s="22" t="str">
        <f t="shared" ca="1" si="137"/>
        <v>VIGENTE</v>
      </c>
      <c r="X114" s="23">
        <v>4</v>
      </c>
      <c r="Y114" s="23">
        <v>3</v>
      </c>
      <c r="Z114" s="23">
        <f t="shared" si="6"/>
        <v>4</v>
      </c>
      <c r="AA114" s="23">
        <f t="shared" ca="1" si="7"/>
        <v>3</v>
      </c>
      <c r="AB114" s="24">
        <f t="shared" ref="AB114:AC114" si="198">Z114/X114</f>
        <v>1</v>
      </c>
      <c r="AC114" s="24">
        <f t="shared" ca="1" si="198"/>
        <v>1</v>
      </c>
      <c r="AD114" s="25">
        <f t="shared" ca="1" si="190"/>
        <v>1</v>
      </c>
      <c r="AE114" s="23"/>
      <c r="AF114" s="23"/>
      <c r="AG114" s="23"/>
      <c r="AH114" s="23"/>
    </row>
    <row r="115" spans="1:34" ht="14.4" x14ac:dyDescent="0.3">
      <c r="A115" s="30"/>
      <c r="B115" s="27"/>
      <c r="C115" s="18" t="str">
        <f>LOOKUP(F115,BD!C:C,BD!A:A)</f>
        <v>PAOLA</v>
      </c>
      <c r="D115" s="18" t="str">
        <f>LOOKUP(F115,BD!C:C,BD!B:B)</f>
        <v>ACEVEDO PABON</v>
      </c>
      <c r="E115" s="18">
        <v>3102131646</v>
      </c>
      <c r="F115" s="18">
        <v>53037574</v>
      </c>
      <c r="G115" s="18">
        <f>LOOKUP(F115,BD!C:C,BD!D:D)</f>
        <v>8927</v>
      </c>
      <c r="H115" s="19" t="s">
        <v>30</v>
      </c>
      <c r="I115" s="19" t="s">
        <v>30</v>
      </c>
      <c r="J115" s="19" t="s">
        <v>30</v>
      </c>
      <c r="K115" s="19" t="s">
        <v>30</v>
      </c>
      <c r="L115" s="20">
        <v>45535</v>
      </c>
      <c r="M115" s="20">
        <f>L115+730</f>
        <v>46265</v>
      </c>
      <c r="N115" s="21">
        <f t="shared" ca="1" si="0"/>
        <v>43.499440162035171</v>
      </c>
      <c r="O115" s="22" t="str">
        <f t="shared" ca="1" si="135"/>
        <v>VIGENTE</v>
      </c>
      <c r="P115" s="20">
        <v>45537</v>
      </c>
      <c r="Q115" s="20">
        <f>P115+730</f>
        <v>46267</v>
      </c>
      <c r="R115" s="21">
        <f t="shared" ca="1" si="2"/>
        <v>45.499440162035171</v>
      </c>
      <c r="S115" s="22" t="str">
        <f t="shared" ca="1" si="136"/>
        <v>VIGENTE</v>
      </c>
      <c r="T115" s="20">
        <v>45784</v>
      </c>
      <c r="U115" s="20">
        <f>T115+730</f>
        <v>46514</v>
      </c>
      <c r="V115" s="21">
        <f t="shared" ca="1" si="4"/>
        <v>292.49944016203517</v>
      </c>
      <c r="W115" s="22" t="str">
        <f t="shared" ca="1" si="137"/>
        <v>VIGENTE</v>
      </c>
      <c r="X115" s="23">
        <v>4</v>
      </c>
      <c r="Y115" s="23">
        <v>3</v>
      </c>
      <c r="Z115" s="23">
        <f t="shared" si="6"/>
        <v>4</v>
      </c>
      <c r="AA115" s="23">
        <f t="shared" ca="1" si="7"/>
        <v>3</v>
      </c>
      <c r="AB115" s="24">
        <f t="shared" ref="AB115:AC115" si="199">Z115/X115</f>
        <v>1</v>
      </c>
      <c r="AC115" s="24">
        <f t="shared" ca="1" si="199"/>
        <v>1</v>
      </c>
      <c r="AD115" s="25">
        <f t="shared" ca="1" si="190"/>
        <v>1</v>
      </c>
      <c r="AE115" s="23"/>
      <c r="AF115" s="23"/>
      <c r="AG115" s="23"/>
      <c r="AH115" s="23"/>
    </row>
    <row r="116" spans="1:34" ht="14.4" x14ac:dyDescent="0.3">
      <c r="A116" s="29"/>
      <c r="B116" s="27"/>
      <c r="C116" s="18" t="str">
        <f>LOOKUP(F116,BD!C:C,BD!A:A)</f>
        <v>PAULA ANDREA</v>
      </c>
      <c r="D116" s="18" t="str">
        <f>LOOKUP(F116,BD!C:C,BD!B:B)</f>
        <v>BETANCUR GRACIANO</v>
      </c>
      <c r="E116" s="18">
        <v>3218769382</v>
      </c>
      <c r="F116" s="18">
        <v>1011591746</v>
      </c>
      <c r="G116" s="18">
        <f>LOOKUP(F116,BD!C:C,BD!D:D)</f>
        <v>25061415213</v>
      </c>
      <c r="H116" s="19" t="s">
        <v>30</v>
      </c>
      <c r="I116" s="19" t="s">
        <v>30</v>
      </c>
      <c r="J116" s="19" t="s">
        <v>30</v>
      </c>
      <c r="K116" s="19" t="s">
        <v>30</v>
      </c>
      <c r="L116" s="20">
        <v>45801</v>
      </c>
      <c r="M116" s="20">
        <f t="shared" ref="M116:M117" si="200">L116+730</f>
        <v>46531</v>
      </c>
      <c r="N116" s="21">
        <f t="shared" ca="1" si="0"/>
        <v>309.49944016203517</v>
      </c>
      <c r="O116" s="22" t="str">
        <f t="shared" ca="1" si="135"/>
        <v>VIGENTE</v>
      </c>
      <c r="P116" s="20">
        <v>46079</v>
      </c>
      <c r="Q116" s="20">
        <f t="shared" ref="Q116:Q117" si="201">P116+730</f>
        <v>46809</v>
      </c>
      <c r="R116" s="21">
        <f t="shared" ca="1" si="2"/>
        <v>587.49944016203517</v>
      </c>
      <c r="S116" s="22" t="str">
        <f t="shared" ca="1" si="136"/>
        <v>VIGENTE</v>
      </c>
      <c r="T116" s="20">
        <v>46069</v>
      </c>
      <c r="U116" s="20">
        <f t="shared" ref="U116:U117" si="202">T116+730</f>
        <v>46799</v>
      </c>
      <c r="V116" s="21">
        <f t="shared" ca="1" si="4"/>
        <v>577.49944016203517</v>
      </c>
      <c r="W116" s="22" t="str">
        <f t="shared" ca="1" si="137"/>
        <v>VIGENTE</v>
      </c>
      <c r="X116" s="23">
        <v>4</v>
      </c>
      <c r="Y116" s="23">
        <v>3</v>
      </c>
      <c r="Z116" s="23">
        <f t="shared" si="6"/>
        <v>4</v>
      </c>
      <c r="AA116" s="23">
        <f t="shared" ca="1" si="7"/>
        <v>3</v>
      </c>
      <c r="AB116" s="24">
        <f t="shared" ref="AB116:AC116" si="203">Z116/X116</f>
        <v>1</v>
      </c>
      <c r="AC116" s="24">
        <f t="shared" ca="1" si="203"/>
        <v>1</v>
      </c>
      <c r="AD116" s="25">
        <f t="shared" ca="1" si="190"/>
        <v>1</v>
      </c>
      <c r="AE116" s="23"/>
      <c r="AF116" s="23"/>
      <c r="AG116" s="23"/>
      <c r="AH116" s="23"/>
    </row>
    <row r="117" spans="1:34" ht="14.4" x14ac:dyDescent="0.3">
      <c r="A117" s="30"/>
      <c r="B117" s="27"/>
      <c r="C117" s="18" t="str">
        <f>LOOKUP(F117,BD!C:C,BD!A:A)</f>
        <v>PAULA ANDREA</v>
      </c>
      <c r="D117" s="18" t="str">
        <f>LOOKUP(F117,BD!C:C,BD!B:B)</f>
        <v>OTALVARO PATIÑO</v>
      </c>
      <c r="E117" s="18">
        <v>3136642278</v>
      </c>
      <c r="F117" s="18">
        <v>1037643555</v>
      </c>
      <c r="G117" s="18">
        <f>LOOKUP(F117,BD!C:C,BD!D:D)</f>
        <v>5467116</v>
      </c>
      <c r="H117" s="19" t="s">
        <v>30</v>
      </c>
      <c r="I117" s="19" t="s">
        <v>30</v>
      </c>
      <c r="J117" s="19" t="s">
        <v>30</v>
      </c>
      <c r="K117" s="19" t="s">
        <v>30</v>
      </c>
      <c r="L117" s="20">
        <v>45820</v>
      </c>
      <c r="M117" s="20">
        <f t="shared" si="200"/>
        <v>46550</v>
      </c>
      <c r="N117" s="21">
        <f t="shared" ca="1" si="0"/>
        <v>328.49944016203517</v>
      </c>
      <c r="O117" s="22" t="str">
        <f t="shared" ca="1" si="135"/>
        <v>VIGENTE</v>
      </c>
      <c r="P117" s="20">
        <v>46031</v>
      </c>
      <c r="Q117" s="20">
        <f t="shared" si="201"/>
        <v>46761</v>
      </c>
      <c r="R117" s="21">
        <f t="shared" ca="1" si="2"/>
        <v>539.49944016203517</v>
      </c>
      <c r="S117" s="22" t="str">
        <f t="shared" ca="1" si="136"/>
        <v>VIGENTE</v>
      </c>
      <c r="T117" s="20">
        <v>46031</v>
      </c>
      <c r="U117" s="20">
        <f t="shared" si="202"/>
        <v>46761</v>
      </c>
      <c r="V117" s="21">
        <f t="shared" ca="1" si="4"/>
        <v>539.49944016203517</v>
      </c>
      <c r="W117" s="22" t="str">
        <f t="shared" ca="1" si="137"/>
        <v>VIGENTE</v>
      </c>
      <c r="X117" s="23">
        <v>4</v>
      </c>
      <c r="Y117" s="23">
        <v>3</v>
      </c>
      <c r="Z117" s="23">
        <f t="shared" si="6"/>
        <v>4</v>
      </c>
      <c r="AA117" s="23">
        <f t="shared" ca="1" si="7"/>
        <v>3</v>
      </c>
      <c r="AB117" s="24">
        <f t="shared" ref="AB117:AC117" si="204">Z117/X117</f>
        <v>1</v>
      </c>
      <c r="AC117" s="24">
        <f t="shared" ca="1" si="204"/>
        <v>1</v>
      </c>
      <c r="AD117" s="25">
        <f t="shared" ref="AD117:AD118" ca="1" si="205">(Z117+AA117)/7</f>
        <v>1</v>
      </c>
      <c r="AE117" s="23"/>
      <c r="AF117" s="23"/>
      <c r="AG117" s="23"/>
      <c r="AH117" s="23"/>
    </row>
    <row r="118" spans="1:34" ht="14.4" x14ac:dyDescent="0.3">
      <c r="A118" s="16"/>
      <c r="B118" s="27"/>
      <c r="C118" s="18" t="str">
        <f>LOOKUP(F118,BD!C:C,BD!A:A)</f>
        <v>SALOME</v>
      </c>
      <c r="D118" s="18" t="str">
        <f>LOOKUP(F118,BD!C:C,BD!B:B)</f>
        <v>NANCLARES ORTIZ</v>
      </c>
      <c r="E118" s="18">
        <v>3042517953</v>
      </c>
      <c r="F118" s="18">
        <v>1011396122</v>
      </c>
      <c r="G118" s="18">
        <f>LOOKUP(F118,BD!C:C,BD!D:D)</f>
        <v>25060182536</v>
      </c>
      <c r="H118" s="19" t="s">
        <v>30</v>
      </c>
      <c r="I118" s="19" t="s">
        <v>30</v>
      </c>
      <c r="J118" s="19" t="s">
        <v>30</v>
      </c>
      <c r="K118" s="19" t="s">
        <v>30</v>
      </c>
      <c r="L118" s="20">
        <v>45896</v>
      </c>
      <c r="M118" s="20">
        <f>L118+730</f>
        <v>46626</v>
      </c>
      <c r="N118" s="21">
        <f t="shared" ca="1" si="0"/>
        <v>404.49944016203517</v>
      </c>
      <c r="O118" s="22" t="str">
        <f t="shared" ca="1" si="135"/>
        <v>VIGENTE</v>
      </c>
      <c r="P118" s="20">
        <v>45889</v>
      </c>
      <c r="Q118" s="20">
        <f>P118+730</f>
        <v>46619</v>
      </c>
      <c r="R118" s="21">
        <f t="shared" ca="1" si="2"/>
        <v>397.49944016203517</v>
      </c>
      <c r="S118" s="22" t="str">
        <f t="shared" ca="1" si="136"/>
        <v>VIGENTE</v>
      </c>
      <c r="T118" s="20">
        <v>45894</v>
      </c>
      <c r="U118" s="20">
        <f>T118+730</f>
        <v>46624</v>
      </c>
      <c r="V118" s="21">
        <f t="shared" ca="1" si="4"/>
        <v>402.49944016203517</v>
      </c>
      <c r="W118" s="22" t="str">
        <f t="shared" ca="1" si="137"/>
        <v>VIGENTE</v>
      </c>
      <c r="X118" s="23">
        <v>4</v>
      </c>
      <c r="Y118" s="23">
        <v>3</v>
      </c>
      <c r="Z118" s="23">
        <f t="shared" si="6"/>
        <v>4</v>
      </c>
      <c r="AA118" s="23">
        <f t="shared" ca="1" si="7"/>
        <v>3</v>
      </c>
      <c r="AB118" s="24">
        <f t="shared" ref="AB118:AC118" si="206">Z118/X118</f>
        <v>1</v>
      </c>
      <c r="AC118" s="24">
        <f t="shared" ca="1" si="206"/>
        <v>1</v>
      </c>
      <c r="AD118" s="25">
        <f t="shared" ca="1" si="205"/>
        <v>1</v>
      </c>
      <c r="AE118" s="23"/>
      <c r="AF118" s="23"/>
      <c r="AG118" s="23"/>
      <c r="AH118" s="23"/>
    </row>
    <row r="119" spans="1:34" ht="14.4" x14ac:dyDescent="0.3">
      <c r="A119" s="30"/>
      <c r="B119" s="27"/>
      <c r="C119" s="18" t="str">
        <f>LOOKUP(F119,BD!C:C,BD!A:A)</f>
        <v>SAMUEL DAVID</v>
      </c>
      <c r="D119" s="18" t="str">
        <f>LOOKUP(F119,BD!C:C,BD!B:B)</f>
        <v>CASTILLO CASTELLANOS</v>
      </c>
      <c r="E119" s="18">
        <v>3245085270</v>
      </c>
      <c r="F119" s="18">
        <v>7533411</v>
      </c>
      <c r="G119" s="18">
        <f>LOOKUP(F119,BD!C:C,BD!D:D)</f>
        <v>24060018911</v>
      </c>
      <c r="H119" s="19" t="s">
        <v>30</v>
      </c>
      <c r="I119" s="19" t="s">
        <v>30</v>
      </c>
      <c r="J119" s="19" t="s">
        <v>30</v>
      </c>
      <c r="K119" s="19" t="s">
        <v>30</v>
      </c>
      <c r="L119" s="20">
        <v>45835</v>
      </c>
      <c r="M119" s="20">
        <f t="shared" ref="M119:M120" si="207">L119+730</f>
        <v>46565</v>
      </c>
      <c r="N119" s="21">
        <f t="shared" ca="1" si="0"/>
        <v>343.49944016203517</v>
      </c>
      <c r="O119" s="22" t="str">
        <f t="shared" ca="1" si="135"/>
        <v>VIGENTE</v>
      </c>
      <c r="P119" s="20">
        <v>45839</v>
      </c>
      <c r="Q119" s="20">
        <f>P119+730</f>
        <v>46569</v>
      </c>
      <c r="R119" s="21">
        <f t="shared" ca="1" si="2"/>
        <v>347.49944016203517</v>
      </c>
      <c r="S119" s="22" t="str">
        <f t="shared" ca="1" si="136"/>
        <v>VIGENTE</v>
      </c>
      <c r="T119" s="20">
        <v>45825</v>
      </c>
      <c r="U119" s="20">
        <f>T119+730</f>
        <v>46555</v>
      </c>
      <c r="V119" s="21">
        <f t="shared" ca="1" si="4"/>
        <v>333.49944016203517</v>
      </c>
      <c r="W119" s="22" t="str">
        <f t="shared" ca="1" si="137"/>
        <v>VIGENTE</v>
      </c>
      <c r="X119" s="23">
        <v>4</v>
      </c>
      <c r="Y119" s="23">
        <v>3</v>
      </c>
      <c r="Z119" s="23">
        <f t="shared" si="6"/>
        <v>4</v>
      </c>
      <c r="AA119" s="23">
        <f t="shared" ca="1" si="7"/>
        <v>3</v>
      </c>
      <c r="AB119" s="24">
        <f t="shared" ref="AB119:AC119" si="208">Z119/X119</f>
        <v>1</v>
      </c>
      <c r="AC119" s="24">
        <f t="shared" ca="1" si="208"/>
        <v>1</v>
      </c>
      <c r="AD119" s="25">
        <f ca="1">(Z119+AA119)/7</f>
        <v>1</v>
      </c>
      <c r="AE119" s="23"/>
      <c r="AF119" s="23"/>
      <c r="AG119" s="23"/>
      <c r="AH119" s="23"/>
    </row>
    <row r="120" spans="1:34" ht="14.4" x14ac:dyDescent="0.3">
      <c r="A120" s="30"/>
      <c r="B120" s="27"/>
      <c r="C120" s="18" t="str">
        <f>LOOKUP(F120,BD!C:C,BD!A:A)</f>
        <v>SANDRA MILENA</v>
      </c>
      <c r="D120" s="18" t="str">
        <f>LOOKUP(F120,BD!C:C,BD!B:B)</f>
        <v>FERNANDEZ CORTES</v>
      </c>
      <c r="E120" s="18">
        <v>3136346358</v>
      </c>
      <c r="F120" s="18">
        <v>43754698</v>
      </c>
      <c r="G120" s="18">
        <f>LOOKUP(F120,BD!C:C,BD!D:D)</f>
        <v>5132202</v>
      </c>
      <c r="H120" s="19" t="s">
        <v>30</v>
      </c>
      <c r="I120" s="19" t="s">
        <v>30</v>
      </c>
      <c r="J120" s="19" t="s">
        <v>30</v>
      </c>
      <c r="K120" s="19" t="s">
        <v>30</v>
      </c>
      <c r="L120" s="20">
        <v>45897</v>
      </c>
      <c r="M120" s="20">
        <f t="shared" si="207"/>
        <v>46627</v>
      </c>
      <c r="N120" s="21">
        <f t="shared" ca="1" si="0"/>
        <v>405.49944016203517</v>
      </c>
      <c r="O120" s="22" t="str">
        <f t="shared" ca="1" si="135"/>
        <v>VIGENTE</v>
      </c>
      <c r="P120" s="20">
        <v>45897</v>
      </c>
      <c r="Q120" s="20">
        <f>P120+365</f>
        <v>46262</v>
      </c>
      <c r="R120" s="21">
        <f t="shared" ca="1" si="2"/>
        <v>40.499440162035171</v>
      </c>
      <c r="S120" s="22" t="str">
        <f t="shared" ca="1" si="136"/>
        <v>VIGENTE</v>
      </c>
      <c r="T120" s="20">
        <v>45897</v>
      </c>
      <c r="U120" s="20">
        <f>T120+365</f>
        <v>46262</v>
      </c>
      <c r="V120" s="21">
        <f t="shared" ca="1" si="4"/>
        <v>40.499440162035171</v>
      </c>
      <c r="W120" s="22" t="str">
        <f t="shared" ca="1" si="137"/>
        <v>VIGENTE</v>
      </c>
      <c r="X120" s="23">
        <v>4</v>
      </c>
      <c r="Y120" s="23">
        <v>3</v>
      </c>
      <c r="Z120" s="23">
        <f t="shared" si="6"/>
        <v>4</v>
      </c>
      <c r="AA120" s="23">
        <f t="shared" ca="1" si="7"/>
        <v>3</v>
      </c>
      <c r="AB120" s="24">
        <f t="shared" ref="AB120:AC120" si="209">Z120/X120</f>
        <v>1</v>
      </c>
      <c r="AC120" s="24">
        <f t="shared" ca="1" si="209"/>
        <v>1</v>
      </c>
      <c r="AD120" s="25">
        <f t="shared" ref="AD120:AD130" ca="1" si="210">(Z120+AA120)/7</f>
        <v>1</v>
      </c>
      <c r="AE120" s="23"/>
      <c r="AF120" s="23"/>
      <c r="AG120" s="23"/>
      <c r="AH120" s="23"/>
    </row>
    <row r="121" spans="1:34" ht="14.4" x14ac:dyDescent="0.3">
      <c r="A121" s="30"/>
      <c r="B121" s="27"/>
      <c r="C121" s="18" t="str">
        <f>LOOKUP(F121,BD!C:C,BD!A:A)</f>
        <v>SANTIAGO</v>
      </c>
      <c r="D121" s="18" t="str">
        <f>LOOKUP(F121,BD!C:C,BD!B:B)</f>
        <v>PULGARÍN GÓMEZ</v>
      </c>
      <c r="E121" s="18">
        <v>3187064832</v>
      </c>
      <c r="F121" s="18">
        <v>1015069127</v>
      </c>
      <c r="G121" s="18">
        <f>LOOKUP(F121,BD!C:C,BD!D:D)</f>
        <v>24060245452</v>
      </c>
      <c r="H121" s="19" t="s">
        <v>30</v>
      </c>
      <c r="I121" s="19" t="s">
        <v>30</v>
      </c>
      <c r="J121" s="19" t="s">
        <v>30</v>
      </c>
      <c r="K121" s="19" t="s">
        <v>30</v>
      </c>
      <c r="L121" s="20">
        <v>45988</v>
      </c>
      <c r="M121" s="20">
        <f t="shared" ref="M121:M122" si="211">L121+730</f>
        <v>46718</v>
      </c>
      <c r="N121" s="21">
        <f t="shared" ca="1" si="0"/>
        <v>496.49944016203517</v>
      </c>
      <c r="O121" s="22" t="str">
        <f t="shared" ca="1" si="135"/>
        <v>VIGENTE</v>
      </c>
      <c r="P121" s="20">
        <v>45988</v>
      </c>
      <c r="Q121" s="20">
        <f t="shared" ref="Q121:Q122" si="212">P121+730</f>
        <v>46718</v>
      </c>
      <c r="R121" s="21">
        <f t="shared" ca="1" si="2"/>
        <v>496.49944016203517</v>
      </c>
      <c r="S121" s="22" t="str">
        <f t="shared" ca="1" si="136"/>
        <v>VIGENTE</v>
      </c>
      <c r="T121" s="20">
        <v>45834</v>
      </c>
      <c r="U121" s="20">
        <f t="shared" ref="U121:U122" si="213">T121+730</f>
        <v>46564</v>
      </c>
      <c r="V121" s="21">
        <f t="shared" ca="1" si="4"/>
        <v>342.49944016203517</v>
      </c>
      <c r="W121" s="22" t="str">
        <f t="shared" ca="1" si="137"/>
        <v>VIGENTE</v>
      </c>
      <c r="X121" s="23">
        <v>4</v>
      </c>
      <c r="Y121" s="23">
        <v>3</v>
      </c>
      <c r="Z121" s="23">
        <f t="shared" si="6"/>
        <v>4</v>
      </c>
      <c r="AA121" s="23">
        <f t="shared" ca="1" si="7"/>
        <v>3</v>
      </c>
      <c r="AB121" s="24">
        <f t="shared" ref="AB121:AC121" si="214">Z121/X121</f>
        <v>1</v>
      </c>
      <c r="AC121" s="24">
        <f t="shared" ca="1" si="214"/>
        <v>1</v>
      </c>
      <c r="AD121" s="25">
        <f t="shared" ca="1" si="210"/>
        <v>1</v>
      </c>
      <c r="AE121" s="23"/>
      <c r="AF121" s="23"/>
      <c r="AG121" s="23"/>
      <c r="AH121" s="23"/>
    </row>
    <row r="122" spans="1:34" ht="14.4" x14ac:dyDescent="0.3">
      <c r="A122" s="30"/>
      <c r="B122" s="27"/>
      <c r="C122" s="18" t="str">
        <f>LOOKUP(F122,BD!C:C,BD!A:A)</f>
        <v>SARA</v>
      </c>
      <c r="D122" s="18" t="str">
        <f>LOOKUP(F122,BD!C:C,BD!B:B)</f>
        <v>HERNADEZ GRISALES</v>
      </c>
      <c r="E122" s="18">
        <v>3007347294</v>
      </c>
      <c r="F122" s="18">
        <v>1000207860</v>
      </c>
      <c r="G122" s="18">
        <f>LOOKUP(F122,BD!C:C,BD!D:D)</f>
        <v>25060179513</v>
      </c>
      <c r="H122" s="19" t="s">
        <v>30</v>
      </c>
      <c r="I122" s="19" t="s">
        <v>30</v>
      </c>
      <c r="J122" s="19" t="s">
        <v>30</v>
      </c>
      <c r="K122" s="19" t="s">
        <v>30</v>
      </c>
      <c r="L122" s="20">
        <v>45861</v>
      </c>
      <c r="M122" s="20">
        <f t="shared" si="211"/>
        <v>46591</v>
      </c>
      <c r="N122" s="21">
        <f t="shared" ca="1" si="0"/>
        <v>369.49944016203517</v>
      </c>
      <c r="O122" s="22" t="str">
        <f t="shared" ca="1" si="135"/>
        <v>VIGENTE</v>
      </c>
      <c r="P122" s="20">
        <v>45618</v>
      </c>
      <c r="Q122" s="20">
        <f t="shared" si="212"/>
        <v>46348</v>
      </c>
      <c r="R122" s="21">
        <f t="shared" ca="1" si="2"/>
        <v>126.49944016203517</v>
      </c>
      <c r="S122" s="22" t="str">
        <f t="shared" ca="1" si="136"/>
        <v>VIGENTE</v>
      </c>
      <c r="T122" s="20">
        <v>45835</v>
      </c>
      <c r="U122" s="20">
        <f t="shared" si="213"/>
        <v>46565</v>
      </c>
      <c r="V122" s="21">
        <f t="shared" ca="1" si="4"/>
        <v>343.49944016203517</v>
      </c>
      <c r="W122" s="22" t="str">
        <f t="shared" ca="1" si="137"/>
        <v>VIGENTE</v>
      </c>
      <c r="X122" s="23">
        <v>4</v>
      </c>
      <c r="Y122" s="23">
        <v>3</v>
      </c>
      <c r="Z122" s="23">
        <f t="shared" si="6"/>
        <v>4</v>
      </c>
      <c r="AA122" s="23">
        <f t="shared" ca="1" si="7"/>
        <v>3</v>
      </c>
      <c r="AB122" s="24">
        <f t="shared" ref="AB122:AC122" si="215">Z122/X122</f>
        <v>1</v>
      </c>
      <c r="AC122" s="24">
        <f t="shared" ca="1" si="215"/>
        <v>1</v>
      </c>
      <c r="AD122" s="25">
        <f t="shared" ca="1" si="210"/>
        <v>1</v>
      </c>
      <c r="AE122" s="23"/>
      <c r="AF122" s="23"/>
      <c r="AG122" s="23"/>
      <c r="AH122" s="23"/>
    </row>
    <row r="123" spans="1:34" ht="14.4" x14ac:dyDescent="0.3">
      <c r="A123" s="30"/>
      <c r="B123" s="27"/>
      <c r="C123" s="18" t="str">
        <f>LOOKUP(F123,BD!C:C,BD!A:A)</f>
        <v>SARA</v>
      </c>
      <c r="D123" s="18" t="str">
        <f>LOOKUP(F123,BD!C:C,BD!B:B)</f>
        <v>MONSALVE CASTILLO</v>
      </c>
      <c r="E123" s="18">
        <v>3023258019</v>
      </c>
      <c r="F123" s="18">
        <v>1152700379</v>
      </c>
      <c r="G123" s="18">
        <f>LOOKUP(F123,BD!C:C,BD!D:D)</f>
        <v>5256920</v>
      </c>
      <c r="H123" s="19" t="s">
        <v>30</v>
      </c>
      <c r="I123" s="19" t="s">
        <v>30</v>
      </c>
      <c r="J123" s="19" t="s">
        <v>30</v>
      </c>
      <c r="K123" s="19" t="s">
        <v>30</v>
      </c>
      <c r="L123" s="20">
        <v>46113</v>
      </c>
      <c r="M123" s="20">
        <f>L123+730</f>
        <v>46843</v>
      </c>
      <c r="N123" s="21">
        <f t="shared" ca="1" si="0"/>
        <v>621.49944016203517</v>
      </c>
      <c r="O123" s="22" t="str">
        <f t="shared" ca="1" si="135"/>
        <v>VIGENTE</v>
      </c>
      <c r="P123" s="20">
        <v>46036</v>
      </c>
      <c r="Q123" s="20">
        <f>P123+730</f>
        <v>46766</v>
      </c>
      <c r="R123" s="21">
        <f t="shared" ca="1" si="2"/>
        <v>544.49944016203517</v>
      </c>
      <c r="S123" s="22" t="str">
        <f t="shared" ca="1" si="136"/>
        <v>VIGENTE</v>
      </c>
      <c r="T123" s="20">
        <v>46030</v>
      </c>
      <c r="U123" s="20">
        <f>T123+730</f>
        <v>46760</v>
      </c>
      <c r="V123" s="21">
        <f t="shared" ca="1" si="4"/>
        <v>538.49944016203517</v>
      </c>
      <c r="W123" s="22" t="str">
        <f t="shared" ca="1" si="137"/>
        <v>VIGENTE</v>
      </c>
      <c r="X123" s="23">
        <v>4</v>
      </c>
      <c r="Y123" s="23">
        <v>3</v>
      </c>
      <c r="Z123" s="23">
        <f t="shared" si="6"/>
        <v>4</v>
      </c>
      <c r="AA123" s="23">
        <f t="shared" ca="1" si="7"/>
        <v>3</v>
      </c>
      <c r="AB123" s="24">
        <f t="shared" ref="AB123:AC123" si="216">Z123/X123</f>
        <v>1</v>
      </c>
      <c r="AC123" s="24">
        <f t="shared" ca="1" si="216"/>
        <v>1</v>
      </c>
      <c r="AD123" s="25">
        <f t="shared" ca="1" si="210"/>
        <v>1</v>
      </c>
      <c r="AE123" s="23"/>
      <c r="AF123" s="23"/>
      <c r="AG123" s="23"/>
      <c r="AH123" s="23"/>
    </row>
    <row r="124" spans="1:34" ht="14.4" x14ac:dyDescent="0.3">
      <c r="A124" s="30"/>
      <c r="B124" s="27"/>
      <c r="C124" s="18" t="str">
        <f>LOOKUP(F124,BD!C:C,BD!A:A)</f>
        <v>SARA</v>
      </c>
      <c r="D124" s="18" t="str">
        <f>LOOKUP(F124,BD!C:C,BD!B:B)</f>
        <v>HERNÁNDEZ MEDINA</v>
      </c>
      <c r="E124" s="18">
        <v>3208581298</v>
      </c>
      <c r="F124" s="18">
        <v>1038869296</v>
      </c>
      <c r="G124" s="18">
        <f>LOOKUP(F124,BD!C:C,BD!D:D)</f>
        <v>0</v>
      </c>
      <c r="H124" s="19" t="s">
        <v>30</v>
      </c>
      <c r="I124" s="19"/>
      <c r="J124" s="19" t="s">
        <v>30</v>
      </c>
      <c r="K124" s="19"/>
      <c r="L124" s="28">
        <v>45876</v>
      </c>
      <c r="M124" s="20">
        <f t="shared" ref="M124:M130" si="217">L124+730</f>
        <v>46606</v>
      </c>
      <c r="N124" s="21">
        <f t="shared" ca="1" si="0"/>
        <v>384.49944016203517</v>
      </c>
      <c r="O124" s="22" t="str">
        <f t="shared" ca="1" si="135"/>
        <v>VIGENTE</v>
      </c>
      <c r="P124" s="28">
        <v>45876</v>
      </c>
      <c r="Q124" s="20">
        <f>P124+730</f>
        <v>46606</v>
      </c>
      <c r="R124" s="21">
        <f t="shared" ca="1" si="2"/>
        <v>384.49944016203517</v>
      </c>
      <c r="S124" s="22" t="str">
        <f t="shared" ca="1" si="136"/>
        <v>VIGENTE</v>
      </c>
      <c r="T124" s="20">
        <v>46157</v>
      </c>
      <c r="U124" s="20">
        <f>T124+730</f>
        <v>46887</v>
      </c>
      <c r="V124" s="21">
        <f t="shared" ca="1" si="4"/>
        <v>665.49944016203517</v>
      </c>
      <c r="W124" s="22" t="str">
        <f t="shared" ca="1" si="137"/>
        <v>VIGENTE</v>
      </c>
      <c r="X124" s="23">
        <v>4</v>
      </c>
      <c r="Y124" s="23">
        <v>3</v>
      </c>
      <c r="Z124" s="23">
        <f t="shared" si="6"/>
        <v>2</v>
      </c>
      <c r="AA124" s="23">
        <f t="shared" ca="1" si="7"/>
        <v>3</v>
      </c>
      <c r="AB124" s="24">
        <f t="shared" ref="AB124:AC124" si="218">Z124/X124</f>
        <v>0.5</v>
      </c>
      <c r="AC124" s="24">
        <f t="shared" ca="1" si="218"/>
        <v>1</v>
      </c>
      <c r="AD124" s="25">
        <f t="shared" ca="1" si="210"/>
        <v>0.7142857142857143</v>
      </c>
      <c r="AE124" s="23"/>
      <c r="AF124" s="23"/>
      <c r="AG124" s="23"/>
      <c r="AH124" s="23"/>
    </row>
    <row r="125" spans="1:34" ht="14.4" x14ac:dyDescent="0.3">
      <c r="A125" s="30"/>
      <c r="B125" s="27"/>
      <c r="C125" s="18" t="str">
        <f>LOOKUP(F125,BD!C:C,BD!A:A)</f>
        <v>SARA PAOLA</v>
      </c>
      <c r="D125" s="18" t="str">
        <f>LOOKUP(F125,BD!C:C,BD!B:B)</f>
        <v>GIRALDO VALENCIA</v>
      </c>
      <c r="E125" s="18">
        <v>3015536886</v>
      </c>
      <c r="F125" s="18">
        <v>1000305851</v>
      </c>
      <c r="G125" s="18">
        <f>LOOKUP(F125,BD!C:C,BD!D:D)</f>
        <v>5022623</v>
      </c>
      <c r="H125" s="19" t="s">
        <v>30</v>
      </c>
      <c r="I125" s="19" t="s">
        <v>30</v>
      </c>
      <c r="J125" s="19" t="s">
        <v>30</v>
      </c>
      <c r="K125" s="19" t="s">
        <v>30</v>
      </c>
      <c r="L125" s="20">
        <v>45935</v>
      </c>
      <c r="M125" s="20">
        <f t="shared" si="217"/>
        <v>46665</v>
      </c>
      <c r="N125" s="21">
        <f t="shared" ca="1" si="0"/>
        <v>443.49944016203517</v>
      </c>
      <c r="O125" s="22" t="str">
        <f t="shared" ca="1" si="135"/>
        <v>VIGENTE</v>
      </c>
      <c r="P125" s="20">
        <v>45952</v>
      </c>
      <c r="Q125" s="20">
        <f>P125+365</f>
        <v>46317</v>
      </c>
      <c r="R125" s="21">
        <f t="shared" ca="1" si="2"/>
        <v>95.499440162035171</v>
      </c>
      <c r="S125" s="22" t="str">
        <f t="shared" ca="1" si="136"/>
        <v>VIGENTE</v>
      </c>
      <c r="T125" s="20">
        <v>45952</v>
      </c>
      <c r="U125" s="20">
        <f>T125+365</f>
        <v>46317</v>
      </c>
      <c r="V125" s="21">
        <f t="shared" ca="1" si="4"/>
        <v>95.499440162035171</v>
      </c>
      <c r="W125" s="22" t="str">
        <f t="shared" ca="1" si="137"/>
        <v>VIGENTE</v>
      </c>
      <c r="X125" s="23">
        <v>4</v>
      </c>
      <c r="Y125" s="23">
        <v>3</v>
      </c>
      <c r="Z125" s="23">
        <f t="shared" si="6"/>
        <v>4</v>
      </c>
      <c r="AA125" s="23">
        <f t="shared" ca="1" si="7"/>
        <v>3</v>
      </c>
      <c r="AB125" s="24">
        <f t="shared" ref="AB125:AC125" si="219">Z125/X125</f>
        <v>1</v>
      </c>
      <c r="AC125" s="24">
        <f t="shared" ca="1" si="219"/>
        <v>1</v>
      </c>
      <c r="AD125" s="25">
        <f t="shared" ca="1" si="210"/>
        <v>1</v>
      </c>
      <c r="AE125" s="23"/>
      <c r="AF125" s="23"/>
      <c r="AG125" s="23"/>
      <c r="AH125" s="23"/>
    </row>
    <row r="126" spans="1:34" ht="14.4" x14ac:dyDescent="0.3">
      <c r="A126" s="30"/>
      <c r="B126" s="27"/>
      <c r="C126" s="18" t="str">
        <f>LOOKUP(F126,BD!C:C,BD!A:A)</f>
        <v>SEBASTIAN</v>
      </c>
      <c r="D126" s="18" t="str">
        <f>LOOKUP(F126,BD!C:C,BD!B:B)</f>
        <v>SUAREZ GUZMAN</v>
      </c>
      <c r="E126" s="18">
        <v>3156919042</v>
      </c>
      <c r="F126" s="18">
        <v>1037645885</v>
      </c>
      <c r="G126" s="18">
        <f>LOOKUP(F126,BD!C:C,BD!D:D)</f>
        <v>5024520</v>
      </c>
      <c r="H126" s="19" t="s">
        <v>30</v>
      </c>
      <c r="I126" s="19" t="s">
        <v>30</v>
      </c>
      <c r="J126" s="19" t="s">
        <v>30</v>
      </c>
      <c r="K126" s="19" t="s">
        <v>30</v>
      </c>
      <c r="L126" s="20">
        <v>46067</v>
      </c>
      <c r="M126" s="20">
        <f t="shared" si="217"/>
        <v>46797</v>
      </c>
      <c r="N126" s="21">
        <f t="shared" ca="1" si="0"/>
        <v>575.49944016203517</v>
      </c>
      <c r="O126" s="22" t="str">
        <f t="shared" ca="1" si="135"/>
        <v>VIGENTE</v>
      </c>
      <c r="P126" s="20">
        <v>46013</v>
      </c>
      <c r="Q126" s="20">
        <f t="shared" ref="Q126:Q130" si="220">P126+730</f>
        <v>46743</v>
      </c>
      <c r="R126" s="21">
        <f t="shared" ca="1" si="2"/>
        <v>521.49944016203517</v>
      </c>
      <c r="S126" s="22" t="str">
        <f t="shared" ca="1" si="136"/>
        <v>VIGENTE</v>
      </c>
      <c r="T126" s="20">
        <v>45462</v>
      </c>
      <c r="U126" s="20">
        <f t="shared" ref="U126:U130" si="221">T126+730</f>
        <v>46192</v>
      </c>
      <c r="V126" s="21">
        <f t="shared" ca="1" si="4"/>
        <v>-29.500559837964829</v>
      </c>
      <c r="W126" s="22" t="str">
        <f t="shared" ca="1" si="137"/>
        <v>NO CUMPLE</v>
      </c>
      <c r="X126" s="23">
        <v>4</v>
      </c>
      <c r="Y126" s="23">
        <v>3</v>
      </c>
      <c r="Z126" s="23">
        <f t="shared" si="6"/>
        <v>4</v>
      </c>
      <c r="AA126" s="23">
        <f t="shared" ca="1" si="7"/>
        <v>2</v>
      </c>
      <c r="AB126" s="24">
        <f t="shared" ref="AB126:AC126" si="222">Z126/X126</f>
        <v>1</v>
      </c>
      <c r="AC126" s="24">
        <f t="shared" ca="1" si="222"/>
        <v>0.66666666666666663</v>
      </c>
      <c r="AD126" s="25">
        <f t="shared" ca="1" si="210"/>
        <v>0.8571428571428571</v>
      </c>
      <c r="AE126" s="23"/>
      <c r="AF126" s="23"/>
      <c r="AG126" s="23"/>
      <c r="AH126" s="23"/>
    </row>
    <row r="127" spans="1:34" ht="14.4" x14ac:dyDescent="0.3">
      <c r="A127" s="30"/>
      <c r="B127" s="27"/>
      <c r="C127" s="18" t="str">
        <f>LOOKUP(F127,BD!C:C,BD!A:A)</f>
        <v>SERGIO ANDRES</v>
      </c>
      <c r="D127" s="18" t="str">
        <f>LOOKUP(F127,BD!C:C,BD!B:B)</f>
        <v>RUIZ CUERVO</v>
      </c>
      <c r="E127" s="18">
        <v>3145526181</v>
      </c>
      <c r="F127" s="18">
        <v>1020472390</v>
      </c>
      <c r="G127" s="18">
        <f>LOOKUP(F127,BD!C:C,BD!D:D)</f>
        <v>25061007352</v>
      </c>
      <c r="H127" s="19" t="s">
        <v>30</v>
      </c>
      <c r="I127" s="19" t="s">
        <v>30</v>
      </c>
      <c r="J127" s="19" t="s">
        <v>30</v>
      </c>
      <c r="K127" s="19" t="s">
        <v>30</v>
      </c>
      <c r="L127" s="20">
        <v>45736</v>
      </c>
      <c r="M127" s="20">
        <f t="shared" si="217"/>
        <v>46466</v>
      </c>
      <c r="N127" s="21">
        <f t="shared" ca="1" si="0"/>
        <v>244.49944016203517</v>
      </c>
      <c r="O127" s="22" t="str">
        <f t="shared" ca="1" si="135"/>
        <v>VIGENTE</v>
      </c>
      <c r="P127" s="20">
        <v>45910</v>
      </c>
      <c r="Q127" s="20">
        <f t="shared" si="220"/>
        <v>46640</v>
      </c>
      <c r="R127" s="21">
        <f t="shared" ca="1" si="2"/>
        <v>418.49944016203517</v>
      </c>
      <c r="S127" s="22" t="str">
        <f t="shared" ca="1" si="136"/>
        <v>VIGENTE</v>
      </c>
      <c r="T127" s="20">
        <v>45920</v>
      </c>
      <c r="U127" s="20">
        <f t="shared" si="221"/>
        <v>46650</v>
      </c>
      <c r="V127" s="21">
        <f t="shared" ca="1" si="4"/>
        <v>428.49944016203517</v>
      </c>
      <c r="W127" s="22" t="str">
        <f t="shared" ca="1" si="137"/>
        <v>VIGENTE</v>
      </c>
      <c r="X127" s="23">
        <v>4</v>
      </c>
      <c r="Y127" s="23">
        <v>3</v>
      </c>
      <c r="Z127" s="23">
        <f t="shared" si="6"/>
        <v>4</v>
      </c>
      <c r="AA127" s="23">
        <f t="shared" ca="1" si="7"/>
        <v>3</v>
      </c>
      <c r="AB127" s="24">
        <f t="shared" ref="AB127:AC127" si="223">Z127/X127</f>
        <v>1</v>
      </c>
      <c r="AC127" s="24">
        <f t="shared" ca="1" si="223"/>
        <v>1</v>
      </c>
      <c r="AD127" s="25">
        <f t="shared" ca="1" si="210"/>
        <v>1</v>
      </c>
      <c r="AE127" s="23"/>
      <c r="AF127" s="23"/>
      <c r="AG127" s="23"/>
      <c r="AH127" s="23"/>
    </row>
    <row r="128" spans="1:34" ht="14.4" x14ac:dyDescent="0.3">
      <c r="A128" s="30"/>
      <c r="B128" s="27"/>
      <c r="C128" s="18" t="str">
        <f>LOOKUP(F128,BD!C:C,BD!A:A)</f>
        <v>SORANY MARIA</v>
      </c>
      <c r="D128" s="18" t="str">
        <f>LOOKUP(F128,BD!C:C,BD!B:B)</f>
        <v>CARDENAS GOMEZ</v>
      </c>
      <c r="E128" s="18">
        <v>3208396965</v>
      </c>
      <c r="F128" s="18">
        <v>43102696</v>
      </c>
      <c r="G128" s="18">
        <f>LOOKUP(F128,BD!C:C,BD!D:D)</f>
        <v>4178</v>
      </c>
      <c r="H128" s="19" t="s">
        <v>30</v>
      </c>
      <c r="I128" s="19" t="s">
        <v>30</v>
      </c>
      <c r="J128" s="19" t="s">
        <v>30</v>
      </c>
      <c r="K128" s="19" t="s">
        <v>30</v>
      </c>
      <c r="L128" s="20">
        <v>45977</v>
      </c>
      <c r="M128" s="20">
        <f t="shared" si="217"/>
        <v>46707</v>
      </c>
      <c r="N128" s="21">
        <f t="shared" ca="1" si="0"/>
        <v>485.49944016203517</v>
      </c>
      <c r="O128" s="22" t="str">
        <f t="shared" ca="1" si="135"/>
        <v>VIGENTE</v>
      </c>
      <c r="P128" s="20">
        <v>45617</v>
      </c>
      <c r="Q128" s="20">
        <f t="shared" si="220"/>
        <v>46347</v>
      </c>
      <c r="R128" s="21">
        <f t="shared" ca="1" si="2"/>
        <v>125.49944016203517</v>
      </c>
      <c r="S128" s="22" t="str">
        <f t="shared" ca="1" si="136"/>
        <v>VIGENTE</v>
      </c>
      <c r="T128" s="20">
        <v>45979</v>
      </c>
      <c r="U128" s="20">
        <f t="shared" si="221"/>
        <v>46709</v>
      </c>
      <c r="V128" s="21">
        <f t="shared" ca="1" si="4"/>
        <v>487.49944016203517</v>
      </c>
      <c r="W128" s="22" t="str">
        <f t="shared" ca="1" si="137"/>
        <v>VIGENTE</v>
      </c>
      <c r="X128" s="23">
        <v>4</v>
      </c>
      <c r="Y128" s="23">
        <v>3</v>
      </c>
      <c r="Z128" s="23">
        <f t="shared" si="6"/>
        <v>4</v>
      </c>
      <c r="AA128" s="23">
        <f t="shared" ca="1" si="7"/>
        <v>3</v>
      </c>
      <c r="AB128" s="24">
        <f t="shared" ref="AB128:AC128" si="224">Z128/X128</f>
        <v>1</v>
      </c>
      <c r="AC128" s="24">
        <f t="shared" ca="1" si="224"/>
        <v>1</v>
      </c>
      <c r="AD128" s="25">
        <f t="shared" ca="1" si="210"/>
        <v>1</v>
      </c>
      <c r="AE128" s="23"/>
      <c r="AF128" s="23"/>
      <c r="AG128" s="23"/>
      <c r="AH128" s="23"/>
    </row>
    <row r="129" spans="1:34" ht="14.4" x14ac:dyDescent="0.3">
      <c r="A129" s="30"/>
      <c r="B129" s="27"/>
      <c r="C129" s="18" t="str">
        <f>LOOKUP(F129,BD!C:C,BD!A:A)</f>
        <v>TATIANA</v>
      </c>
      <c r="D129" s="18" t="str">
        <f>LOOKUP(F129,BD!C:C,BD!B:B)</f>
        <v>JIMENEZ MUNERA</v>
      </c>
      <c r="E129" s="18">
        <v>3216425360</v>
      </c>
      <c r="F129" s="18">
        <v>1001686236</v>
      </c>
      <c r="G129" s="18">
        <f>LOOKUP(F129,BD!C:C,BD!D:D)</f>
        <v>25060001872</v>
      </c>
      <c r="H129" s="19" t="s">
        <v>30</v>
      </c>
      <c r="I129" s="19" t="s">
        <v>30</v>
      </c>
      <c r="J129" s="19" t="s">
        <v>30</v>
      </c>
      <c r="K129" s="19" t="s">
        <v>30</v>
      </c>
      <c r="L129" s="20">
        <v>46175</v>
      </c>
      <c r="M129" s="20">
        <f t="shared" si="217"/>
        <v>46905</v>
      </c>
      <c r="N129" s="21">
        <f t="shared" ca="1" si="0"/>
        <v>683.49944016203517</v>
      </c>
      <c r="O129" s="22" t="str">
        <f t="shared" ca="1" si="135"/>
        <v>VIGENTE</v>
      </c>
      <c r="P129" s="20">
        <v>45741</v>
      </c>
      <c r="Q129" s="20">
        <f t="shared" si="220"/>
        <v>46471</v>
      </c>
      <c r="R129" s="21">
        <f t="shared" ca="1" si="2"/>
        <v>249.49944016203517</v>
      </c>
      <c r="S129" s="22" t="str">
        <f t="shared" ca="1" si="136"/>
        <v>VIGENTE</v>
      </c>
      <c r="T129" s="20">
        <v>45726</v>
      </c>
      <c r="U129" s="20">
        <f t="shared" si="221"/>
        <v>46456</v>
      </c>
      <c r="V129" s="21">
        <f t="shared" ca="1" si="4"/>
        <v>234.49944016203517</v>
      </c>
      <c r="W129" s="22" t="str">
        <f t="shared" ca="1" si="137"/>
        <v>VIGENTE</v>
      </c>
      <c r="X129" s="23">
        <v>4</v>
      </c>
      <c r="Y129" s="23">
        <v>3</v>
      </c>
      <c r="Z129" s="23">
        <f t="shared" si="6"/>
        <v>4</v>
      </c>
      <c r="AA129" s="23">
        <f t="shared" ca="1" si="7"/>
        <v>3</v>
      </c>
      <c r="AB129" s="24">
        <f t="shared" ref="AB129:AC129" si="225">Z129/X129</f>
        <v>1</v>
      </c>
      <c r="AC129" s="24">
        <f t="shared" ca="1" si="225"/>
        <v>1</v>
      </c>
      <c r="AD129" s="25">
        <f t="shared" ca="1" si="210"/>
        <v>1</v>
      </c>
      <c r="AE129" s="23"/>
      <c r="AF129" s="23"/>
      <c r="AG129" s="23"/>
      <c r="AH129" s="23"/>
    </row>
    <row r="130" spans="1:34" ht="14.4" x14ac:dyDescent="0.3">
      <c r="A130" s="30"/>
      <c r="B130" s="27"/>
      <c r="C130" s="18" t="str">
        <f>LOOKUP(F130,BD!C:C,BD!A:A)</f>
        <v>TATIANA</v>
      </c>
      <c r="D130" s="18" t="str">
        <f>LOOKUP(F130,BD!C:C,BD!B:B)</f>
        <v>BORJA LOPERA</v>
      </c>
      <c r="E130" s="18">
        <v>3225547676</v>
      </c>
      <c r="F130" s="18">
        <v>1035232799</v>
      </c>
      <c r="G130" s="18">
        <f>LOOKUP(F130,BD!C:C,BD!D:D)</f>
        <v>5713423</v>
      </c>
      <c r="H130" s="19" t="s">
        <v>30</v>
      </c>
      <c r="I130" s="19" t="s">
        <v>30</v>
      </c>
      <c r="J130" s="19" t="s">
        <v>30</v>
      </c>
      <c r="K130" s="19" t="s">
        <v>30</v>
      </c>
      <c r="L130" s="20">
        <v>46047</v>
      </c>
      <c r="M130" s="20">
        <f t="shared" si="217"/>
        <v>46777</v>
      </c>
      <c r="N130" s="21">
        <f t="shared" ca="1" si="0"/>
        <v>555.49944016203517</v>
      </c>
      <c r="O130" s="22" t="str">
        <f t="shared" ca="1" si="135"/>
        <v>VIGENTE</v>
      </c>
      <c r="P130" s="20">
        <v>46047</v>
      </c>
      <c r="Q130" s="20">
        <f t="shared" si="220"/>
        <v>46777</v>
      </c>
      <c r="R130" s="21">
        <f t="shared" ca="1" si="2"/>
        <v>555.49944016203517</v>
      </c>
      <c r="S130" s="22" t="str">
        <f t="shared" ca="1" si="136"/>
        <v>VIGENTE</v>
      </c>
      <c r="T130" s="20">
        <v>46047</v>
      </c>
      <c r="U130" s="20">
        <f t="shared" si="221"/>
        <v>46777</v>
      </c>
      <c r="V130" s="21">
        <f t="shared" ca="1" si="4"/>
        <v>555.49944016203517</v>
      </c>
      <c r="W130" s="22" t="str">
        <f t="shared" ca="1" si="137"/>
        <v>VIGENTE</v>
      </c>
      <c r="X130" s="23">
        <v>4</v>
      </c>
      <c r="Y130" s="23">
        <v>3</v>
      </c>
      <c r="Z130" s="23">
        <f t="shared" si="6"/>
        <v>4</v>
      </c>
      <c r="AA130" s="23">
        <f t="shared" ca="1" si="7"/>
        <v>3</v>
      </c>
      <c r="AB130" s="24">
        <f t="shared" ref="AB130:AC130" si="226">Z130/X130</f>
        <v>1</v>
      </c>
      <c r="AC130" s="24">
        <f t="shared" ca="1" si="226"/>
        <v>1</v>
      </c>
      <c r="AD130" s="25">
        <f t="shared" ca="1" si="210"/>
        <v>1</v>
      </c>
      <c r="AE130" s="23"/>
      <c r="AF130" s="23"/>
      <c r="AG130" s="23"/>
      <c r="AH130" s="23"/>
    </row>
    <row r="131" spans="1:34" ht="14.4" x14ac:dyDescent="0.3">
      <c r="A131" s="30"/>
      <c r="B131" s="27"/>
      <c r="C131" s="18" t="str">
        <f>LOOKUP(F131,BD!C:C,BD!A:A)</f>
        <v>VALENTINA</v>
      </c>
      <c r="D131" s="18" t="str">
        <f>LOOKUP(F131,BD!C:C,BD!B:B)</f>
        <v>VILLALOBOS PEÑA</v>
      </c>
      <c r="E131" s="18">
        <v>3128915351</v>
      </c>
      <c r="F131" s="18">
        <v>1000871364</v>
      </c>
      <c r="G131" s="18">
        <f>LOOKUP(F131,BD!C:C,BD!D:D)</f>
        <v>26060002600</v>
      </c>
      <c r="H131" s="19" t="s">
        <v>30</v>
      </c>
      <c r="I131" s="19" t="s">
        <v>30</v>
      </c>
      <c r="J131" s="19" t="s">
        <v>30</v>
      </c>
      <c r="K131" s="19" t="s">
        <v>30</v>
      </c>
      <c r="L131" s="20">
        <v>45563</v>
      </c>
      <c r="M131" s="20">
        <f>L131+730</f>
        <v>46293</v>
      </c>
      <c r="N131" s="21">
        <f t="shared" ca="1" si="0"/>
        <v>71.499440162035171</v>
      </c>
      <c r="O131" s="22" t="str">
        <f t="shared" ca="1" si="135"/>
        <v>VIGENTE</v>
      </c>
      <c r="P131" s="20">
        <v>46054</v>
      </c>
      <c r="Q131" s="20">
        <f>P131+730</f>
        <v>46784</v>
      </c>
      <c r="R131" s="21">
        <f t="shared" ca="1" si="2"/>
        <v>562.49944016203517</v>
      </c>
      <c r="S131" s="22" t="str">
        <f t="shared" ca="1" si="136"/>
        <v>VIGENTE</v>
      </c>
      <c r="T131" s="20">
        <v>46056</v>
      </c>
      <c r="U131" s="20">
        <f>T131+730</f>
        <v>46786</v>
      </c>
      <c r="V131" s="21">
        <f t="shared" ca="1" si="4"/>
        <v>564.49944016203517</v>
      </c>
      <c r="W131" s="22" t="str">
        <f t="shared" ca="1" si="137"/>
        <v>VIGENTE</v>
      </c>
      <c r="X131" s="23">
        <v>4</v>
      </c>
      <c r="Y131" s="23">
        <v>3</v>
      </c>
      <c r="Z131" s="23">
        <f t="shared" si="6"/>
        <v>4</v>
      </c>
      <c r="AA131" s="23">
        <f t="shared" ca="1" si="7"/>
        <v>3</v>
      </c>
      <c r="AB131" s="24">
        <f t="shared" ref="AB131:AC131" si="227">Z131/X131</f>
        <v>1</v>
      </c>
      <c r="AC131" s="24">
        <f t="shared" ca="1" si="227"/>
        <v>1</v>
      </c>
      <c r="AD131" s="25">
        <f ca="1">(Z131+AA131)/7</f>
        <v>1</v>
      </c>
      <c r="AE131" s="23"/>
      <c r="AF131" s="23"/>
      <c r="AG131" s="23"/>
      <c r="AH131" s="23"/>
    </row>
    <row r="132" spans="1:34" ht="14.4" x14ac:dyDescent="0.3">
      <c r="A132" s="30"/>
      <c r="B132" s="27"/>
      <c r="C132" s="18" t="str">
        <f>LOOKUP(F132,BD!C:C,BD!A:A)</f>
        <v>VALENTINA</v>
      </c>
      <c r="D132" s="18" t="str">
        <f>LOOKUP(F132,BD!C:C,BD!B:B)</f>
        <v>CARUPIA NARANJO</v>
      </c>
      <c r="E132" s="18">
        <v>3104165030</v>
      </c>
      <c r="F132" s="18">
        <v>1001014661</v>
      </c>
      <c r="G132" s="18">
        <f>LOOKUP(F132,BD!C:C,BD!D:D)</f>
        <v>24060241277</v>
      </c>
      <c r="H132" s="19" t="s">
        <v>30</v>
      </c>
      <c r="I132" s="19" t="s">
        <v>30</v>
      </c>
      <c r="J132" s="19" t="s">
        <v>30</v>
      </c>
      <c r="K132" s="19" t="s">
        <v>30</v>
      </c>
      <c r="L132" s="20">
        <v>45937</v>
      </c>
      <c r="M132" s="20">
        <f>L132+365</f>
        <v>46302</v>
      </c>
      <c r="N132" s="21">
        <f t="shared" ca="1" si="0"/>
        <v>80.499440162035171</v>
      </c>
      <c r="O132" s="22" t="str">
        <f t="shared" ca="1" si="135"/>
        <v>VIGENTE</v>
      </c>
      <c r="P132" s="20">
        <v>45937</v>
      </c>
      <c r="Q132" s="20">
        <f>P132+365</f>
        <v>46302</v>
      </c>
      <c r="R132" s="21">
        <f t="shared" ca="1" si="2"/>
        <v>80.499440162035171</v>
      </c>
      <c r="S132" s="22" t="str">
        <f t="shared" ca="1" si="136"/>
        <v>VIGENTE</v>
      </c>
      <c r="T132" s="20">
        <v>45937</v>
      </c>
      <c r="U132" s="20">
        <f>T132+365</f>
        <v>46302</v>
      </c>
      <c r="V132" s="21">
        <f t="shared" ca="1" si="4"/>
        <v>80.499440162035171</v>
      </c>
      <c r="W132" s="22" t="str">
        <f t="shared" ca="1" si="137"/>
        <v>VIGENTE</v>
      </c>
      <c r="X132" s="23">
        <v>4</v>
      </c>
      <c r="Y132" s="23">
        <v>3</v>
      </c>
      <c r="Z132" s="23">
        <f t="shared" si="6"/>
        <v>4</v>
      </c>
      <c r="AA132" s="23">
        <f t="shared" ca="1" si="7"/>
        <v>3</v>
      </c>
      <c r="AB132" s="24">
        <f t="shared" ref="AB132:AC132" si="228">Z132/X132</f>
        <v>1</v>
      </c>
      <c r="AC132" s="24">
        <f t="shared" ca="1" si="228"/>
        <v>1</v>
      </c>
      <c r="AD132" s="25">
        <f t="shared" ref="AD132:AD137" ca="1" si="229">(Z132+AA132)/7</f>
        <v>1</v>
      </c>
      <c r="AE132" s="23"/>
      <c r="AF132" s="23"/>
      <c r="AG132" s="23"/>
      <c r="AH132" s="23"/>
    </row>
    <row r="133" spans="1:34" ht="14.4" x14ac:dyDescent="0.3">
      <c r="A133" s="30"/>
      <c r="B133" s="27"/>
      <c r="C133" s="18" t="str">
        <f>LOOKUP(F133,BD!C:C,BD!A:A)</f>
        <v>VALENTINA</v>
      </c>
      <c r="D133" s="18" t="str">
        <f>LOOKUP(F133,BD!C:C,BD!B:B)</f>
        <v>CANO CHAVARRIAGA</v>
      </c>
      <c r="E133" s="18">
        <v>3017554037</v>
      </c>
      <c r="F133" s="18">
        <v>1040571586</v>
      </c>
      <c r="G133" s="18">
        <f>LOOKUP(F133,BD!C:C,BD!D:D)</f>
        <v>25060181731</v>
      </c>
      <c r="H133" s="19" t="s">
        <v>30</v>
      </c>
      <c r="I133" s="19" t="s">
        <v>30</v>
      </c>
      <c r="J133" s="19" t="s">
        <v>30</v>
      </c>
      <c r="K133" s="19" t="s">
        <v>30</v>
      </c>
      <c r="L133" s="20">
        <v>45863</v>
      </c>
      <c r="M133" s="20">
        <f t="shared" ref="M133:M136" si="230">L133+730</f>
        <v>46593</v>
      </c>
      <c r="N133" s="21">
        <f t="shared" ca="1" si="0"/>
        <v>371.49944016203517</v>
      </c>
      <c r="O133" s="22" t="str">
        <f t="shared" ca="1" si="135"/>
        <v>VIGENTE</v>
      </c>
      <c r="P133" s="20">
        <v>45618</v>
      </c>
      <c r="Q133" s="20">
        <f t="shared" ref="Q133:Q136" si="231">P133+730</f>
        <v>46348</v>
      </c>
      <c r="R133" s="21">
        <f t="shared" ca="1" si="2"/>
        <v>126.49944016203517</v>
      </c>
      <c r="S133" s="22" t="str">
        <f t="shared" ca="1" si="136"/>
        <v>VIGENTE</v>
      </c>
      <c r="T133" s="20">
        <v>45874</v>
      </c>
      <c r="U133" s="20">
        <f t="shared" ref="U133:U136" si="232">T133+730</f>
        <v>46604</v>
      </c>
      <c r="V133" s="21">
        <f t="shared" ca="1" si="4"/>
        <v>382.49944016203517</v>
      </c>
      <c r="W133" s="22" t="str">
        <f t="shared" ca="1" si="137"/>
        <v>VIGENTE</v>
      </c>
      <c r="X133" s="23">
        <v>4</v>
      </c>
      <c r="Y133" s="23">
        <v>3</v>
      </c>
      <c r="Z133" s="23">
        <f t="shared" si="6"/>
        <v>4</v>
      </c>
      <c r="AA133" s="23">
        <f t="shared" ca="1" si="7"/>
        <v>3</v>
      </c>
      <c r="AB133" s="24">
        <f t="shared" ref="AB133:AC133" si="233">Z133/X133</f>
        <v>1</v>
      </c>
      <c r="AC133" s="24">
        <f t="shared" ca="1" si="233"/>
        <v>1</v>
      </c>
      <c r="AD133" s="25">
        <f t="shared" ca="1" si="229"/>
        <v>1</v>
      </c>
      <c r="AE133" s="23"/>
      <c r="AF133" s="23"/>
      <c r="AG133" s="23"/>
      <c r="AH133" s="23"/>
    </row>
    <row r="134" spans="1:34" ht="14.4" x14ac:dyDescent="0.3">
      <c r="A134" s="30"/>
      <c r="B134" s="27"/>
      <c r="C134" s="18" t="str">
        <f>LOOKUP(F134,BD!C:C,BD!A:A)</f>
        <v>VALERIA</v>
      </c>
      <c r="D134" s="18" t="str">
        <f>LOOKUP(F134,BD!C:C,BD!B:B)</f>
        <v>ALVAREZ SANTAMARIA</v>
      </c>
      <c r="E134" s="18">
        <v>3114318874</v>
      </c>
      <c r="F134" s="18">
        <v>1035970855</v>
      </c>
      <c r="G134" s="18">
        <f>LOOKUP(F134,BD!C:C,BD!D:D)</f>
        <v>25060163427</v>
      </c>
      <c r="H134" s="19" t="s">
        <v>30</v>
      </c>
      <c r="I134" s="19" t="s">
        <v>30</v>
      </c>
      <c r="J134" s="19" t="s">
        <v>30</v>
      </c>
      <c r="K134" s="19" t="s">
        <v>30</v>
      </c>
      <c r="L134" s="20">
        <v>45883</v>
      </c>
      <c r="M134" s="20">
        <f t="shared" si="230"/>
        <v>46613</v>
      </c>
      <c r="N134" s="21">
        <f t="shared" ca="1" si="0"/>
        <v>391.49944016203517</v>
      </c>
      <c r="O134" s="22" t="str">
        <f t="shared" ca="1" si="135"/>
        <v>VIGENTE</v>
      </c>
      <c r="P134" s="20">
        <v>45883</v>
      </c>
      <c r="Q134" s="20">
        <f t="shared" si="231"/>
        <v>46613</v>
      </c>
      <c r="R134" s="21">
        <f t="shared" ca="1" si="2"/>
        <v>391.49944016203517</v>
      </c>
      <c r="S134" s="22" t="str">
        <f t="shared" ca="1" si="136"/>
        <v>VIGENTE</v>
      </c>
      <c r="T134" s="20">
        <v>46090</v>
      </c>
      <c r="U134" s="20">
        <f t="shared" si="232"/>
        <v>46820</v>
      </c>
      <c r="V134" s="21">
        <f t="shared" ca="1" si="4"/>
        <v>598.49944016203517</v>
      </c>
      <c r="W134" s="22" t="str">
        <f t="shared" ca="1" si="137"/>
        <v>VIGENTE</v>
      </c>
      <c r="X134" s="23">
        <v>4</v>
      </c>
      <c r="Y134" s="23">
        <v>3</v>
      </c>
      <c r="Z134" s="23">
        <f t="shared" si="6"/>
        <v>4</v>
      </c>
      <c r="AA134" s="23">
        <f t="shared" ca="1" si="7"/>
        <v>3</v>
      </c>
      <c r="AB134" s="24">
        <f t="shared" ref="AB134:AC134" si="234">Z134/X134</f>
        <v>1</v>
      </c>
      <c r="AC134" s="24">
        <f t="shared" ca="1" si="234"/>
        <v>1</v>
      </c>
      <c r="AD134" s="25">
        <f t="shared" ca="1" si="229"/>
        <v>1</v>
      </c>
      <c r="AE134" s="23"/>
      <c r="AF134" s="23"/>
      <c r="AG134" s="23"/>
      <c r="AH134" s="23"/>
    </row>
    <row r="135" spans="1:34" ht="14.4" x14ac:dyDescent="0.3">
      <c r="A135" s="30"/>
      <c r="B135" s="27"/>
      <c r="C135" s="18" t="str">
        <f>LOOKUP(F135,BD!C:C,BD!A:A)</f>
        <v>VALERY JHOANA</v>
      </c>
      <c r="D135" s="18" t="str">
        <f>LOOKUP(F135,BD!C:C,BD!B:B)</f>
        <v>POSADA TORO</v>
      </c>
      <c r="E135" s="18">
        <v>3113879182</v>
      </c>
      <c r="F135" s="18">
        <v>1040748789</v>
      </c>
      <c r="G135" s="18">
        <f>LOOKUP(F135,BD!C:C,BD!D:D)</f>
        <v>25060164136</v>
      </c>
      <c r="H135" s="19" t="s">
        <v>30</v>
      </c>
      <c r="I135" s="19" t="s">
        <v>30</v>
      </c>
      <c r="J135" s="19" t="s">
        <v>30</v>
      </c>
      <c r="K135" s="19" t="s">
        <v>30</v>
      </c>
      <c r="L135" s="20">
        <v>45775</v>
      </c>
      <c r="M135" s="20">
        <f t="shared" si="230"/>
        <v>46505</v>
      </c>
      <c r="N135" s="21">
        <f t="shared" ca="1" si="0"/>
        <v>283.49944016203517</v>
      </c>
      <c r="O135" s="22" t="str">
        <f t="shared" ca="1" si="135"/>
        <v>VIGENTE</v>
      </c>
      <c r="P135" s="20">
        <v>45979</v>
      </c>
      <c r="Q135" s="20">
        <f t="shared" si="231"/>
        <v>46709</v>
      </c>
      <c r="R135" s="21">
        <f t="shared" ca="1" si="2"/>
        <v>487.49944016203517</v>
      </c>
      <c r="S135" s="22" t="str">
        <f t="shared" ca="1" si="136"/>
        <v>VIGENTE</v>
      </c>
      <c r="T135" s="20">
        <v>45981</v>
      </c>
      <c r="U135" s="20">
        <f t="shared" si="232"/>
        <v>46711</v>
      </c>
      <c r="V135" s="21">
        <f t="shared" ca="1" si="4"/>
        <v>489.49944016203517</v>
      </c>
      <c r="W135" s="22" t="str">
        <f t="shared" ca="1" si="137"/>
        <v>VIGENTE</v>
      </c>
      <c r="X135" s="23">
        <v>4</v>
      </c>
      <c r="Y135" s="23">
        <v>3</v>
      </c>
      <c r="Z135" s="23">
        <f t="shared" si="6"/>
        <v>4</v>
      </c>
      <c r="AA135" s="23">
        <f t="shared" ca="1" si="7"/>
        <v>3</v>
      </c>
      <c r="AB135" s="24">
        <f t="shared" ref="AB135:AC135" si="235">Z135/X135</f>
        <v>1</v>
      </c>
      <c r="AC135" s="24">
        <f t="shared" ca="1" si="235"/>
        <v>1</v>
      </c>
      <c r="AD135" s="25">
        <f t="shared" ca="1" si="229"/>
        <v>1</v>
      </c>
      <c r="AE135" s="23"/>
      <c r="AF135" s="23"/>
      <c r="AG135" s="23"/>
      <c r="AH135" s="23"/>
    </row>
    <row r="136" spans="1:34" ht="14.4" x14ac:dyDescent="0.3">
      <c r="A136" s="30"/>
      <c r="B136" s="27"/>
      <c r="C136" s="18" t="str">
        <f>LOOKUP(F136,BD!C:C,BD!A:A)</f>
        <v>VANESSA ALEXANDRA</v>
      </c>
      <c r="D136" s="18" t="str">
        <f>LOOKUP(F136,BD!C:C,BD!B:B)</f>
        <v>MISAS HOLGUIN</v>
      </c>
      <c r="E136" s="18">
        <v>3107319454</v>
      </c>
      <c r="F136" s="18">
        <v>1001508929</v>
      </c>
      <c r="G136" s="18">
        <f>LOOKUP(F136,BD!C:C,BD!D:D)</f>
        <v>5263221</v>
      </c>
      <c r="H136" s="19" t="s">
        <v>30</v>
      </c>
      <c r="I136" s="19" t="s">
        <v>30</v>
      </c>
      <c r="J136" s="19" t="s">
        <v>30</v>
      </c>
      <c r="K136" s="19" t="s">
        <v>30</v>
      </c>
      <c r="L136" s="20">
        <v>45925</v>
      </c>
      <c r="M136" s="20">
        <f t="shared" si="230"/>
        <v>46655</v>
      </c>
      <c r="N136" s="21">
        <f t="shared" ca="1" si="0"/>
        <v>433.49944016203517</v>
      </c>
      <c r="O136" s="22" t="str">
        <f t="shared" ca="1" si="135"/>
        <v>VIGENTE</v>
      </c>
      <c r="P136" s="20">
        <v>45925</v>
      </c>
      <c r="Q136" s="20">
        <f t="shared" si="231"/>
        <v>46655</v>
      </c>
      <c r="R136" s="21">
        <f t="shared" ca="1" si="2"/>
        <v>433.49944016203517</v>
      </c>
      <c r="S136" s="22" t="str">
        <f t="shared" ca="1" si="136"/>
        <v>VIGENTE</v>
      </c>
      <c r="T136" s="20">
        <v>45925</v>
      </c>
      <c r="U136" s="20">
        <f t="shared" si="232"/>
        <v>46655</v>
      </c>
      <c r="V136" s="21">
        <f t="shared" ca="1" si="4"/>
        <v>433.49944016203517</v>
      </c>
      <c r="W136" s="22" t="str">
        <f t="shared" ca="1" si="137"/>
        <v>VIGENTE</v>
      </c>
      <c r="X136" s="23">
        <v>4</v>
      </c>
      <c r="Y136" s="23">
        <v>3</v>
      </c>
      <c r="Z136" s="23">
        <f t="shared" si="6"/>
        <v>4</v>
      </c>
      <c r="AA136" s="23">
        <f t="shared" ca="1" si="7"/>
        <v>3</v>
      </c>
      <c r="AB136" s="24">
        <f t="shared" ref="AB136:AC136" si="236">Z136/X136</f>
        <v>1</v>
      </c>
      <c r="AC136" s="24">
        <f t="shared" ca="1" si="236"/>
        <v>1</v>
      </c>
      <c r="AD136" s="25">
        <f t="shared" ca="1" si="229"/>
        <v>1</v>
      </c>
      <c r="AE136" s="23"/>
      <c r="AF136" s="23"/>
      <c r="AG136" s="23"/>
      <c r="AH136" s="23"/>
    </row>
    <row r="137" spans="1:34" ht="14.4" x14ac:dyDescent="0.3">
      <c r="A137" s="30"/>
      <c r="B137" s="27"/>
      <c r="C137" s="18" t="str">
        <f>LOOKUP(F137,BD!C:C,BD!A:A)</f>
        <v>VERONICA ANDREA</v>
      </c>
      <c r="D137" s="18" t="str">
        <f>LOOKUP(F137,BD!C:C,BD!B:B)</f>
        <v>AGUDELO ROMERO</v>
      </c>
      <c r="E137" s="18">
        <v>3172667251</v>
      </c>
      <c r="F137" s="18">
        <v>1214722611</v>
      </c>
      <c r="G137" s="18">
        <f>LOOKUP(F137,BD!C:C,BD!D:D)</f>
        <v>19057</v>
      </c>
      <c r="H137" s="19" t="s">
        <v>30</v>
      </c>
      <c r="I137" s="19" t="s">
        <v>30</v>
      </c>
      <c r="J137" s="19" t="s">
        <v>30</v>
      </c>
      <c r="K137" s="19" t="s">
        <v>30</v>
      </c>
      <c r="L137" s="28">
        <v>46143</v>
      </c>
      <c r="M137" s="20">
        <f t="shared" ref="M137:M138" si="237">L137+365</f>
        <v>46508</v>
      </c>
      <c r="N137" s="21">
        <f t="shared" ca="1" si="0"/>
        <v>286.49944016203517</v>
      </c>
      <c r="O137" s="22" t="str">
        <f t="shared" ca="1" si="135"/>
        <v>VIGENTE</v>
      </c>
      <c r="P137" s="28">
        <v>46143</v>
      </c>
      <c r="Q137" s="20">
        <f t="shared" ref="Q137:Q138" si="238">P137+365</f>
        <v>46508</v>
      </c>
      <c r="R137" s="21">
        <f t="shared" ca="1" si="2"/>
        <v>286.49944016203517</v>
      </c>
      <c r="S137" s="22" t="str">
        <f t="shared" ca="1" si="136"/>
        <v>VIGENTE</v>
      </c>
      <c r="T137" s="28">
        <v>46143</v>
      </c>
      <c r="U137" s="20">
        <f t="shared" ref="U137:U138" si="239">T137+365</f>
        <v>46508</v>
      </c>
      <c r="V137" s="21">
        <f t="shared" ca="1" si="4"/>
        <v>286.49944016203517</v>
      </c>
      <c r="W137" s="22" t="str">
        <f t="shared" ca="1" si="137"/>
        <v>VIGENTE</v>
      </c>
      <c r="X137" s="23">
        <v>4</v>
      </c>
      <c r="Y137" s="23">
        <v>3</v>
      </c>
      <c r="Z137" s="23">
        <f t="shared" si="6"/>
        <v>4</v>
      </c>
      <c r="AA137" s="23">
        <f t="shared" ca="1" si="7"/>
        <v>3</v>
      </c>
      <c r="AB137" s="24">
        <f t="shared" ref="AB137:AC137" si="240">Z137/X137</f>
        <v>1</v>
      </c>
      <c r="AC137" s="24">
        <f t="shared" ca="1" si="240"/>
        <v>1</v>
      </c>
      <c r="AD137" s="25">
        <f t="shared" ca="1" si="229"/>
        <v>1</v>
      </c>
      <c r="AE137" s="23"/>
      <c r="AF137" s="23"/>
      <c r="AG137" s="23"/>
      <c r="AH137" s="23"/>
    </row>
    <row r="138" spans="1:34" ht="14.4" x14ac:dyDescent="0.3">
      <c r="A138" s="30"/>
      <c r="B138" s="27"/>
      <c r="C138" s="18" t="str">
        <f>LOOKUP(F138,BD!C:C,BD!A:A)</f>
        <v>VERONICA LISETH</v>
      </c>
      <c r="D138" s="18" t="str">
        <f>LOOKUP(F138,BD!C:C,BD!B:B)</f>
        <v>ARANGO MANCO</v>
      </c>
      <c r="E138" s="18">
        <v>3225650424</v>
      </c>
      <c r="F138" s="18">
        <v>1017222827</v>
      </c>
      <c r="G138" s="18">
        <f>LOOKUP(F138,BD!C:C,BD!D:D)</f>
        <v>5568523</v>
      </c>
      <c r="H138" s="19" t="s">
        <v>30</v>
      </c>
      <c r="I138" s="19" t="s">
        <v>30</v>
      </c>
      <c r="J138" s="19" t="s">
        <v>30</v>
      </c>
      <c r="K138" s="19" t="s">
        <v>30</v>
      </c>
      <c r="L138" s="28">
        <v>46053</v>
      </c>
      <c r="M138" s="20">
        <f t="shared" si="237"/>
        <v>46418</v>
      </c>
      <c r="N138" s="21">
        <f t="shared" ca="1" si="0"/>
        <v>196.49944016203517</v>
      </c>
      <c r="O138" s="22" t="str">
        <f t="shared" ca="1" si="135"/>
        <v>VIGENTE</v>
      </c>
      <c r="P138" s="28">
        <v>46053</v>
      </c>
      <c r="Q138" s="20">
        <f t="shared" si="238"/>
        <v>46418</v>
      </c>
      <c r="R138" s="21">
        <f t="shared" ca="1" si="2"/>
        <v>196.49944016203517</v>
      </c>
      <c r="S138" s="22" t="str">
        <f t="shared" ca="1" si="136"/>
        <v>VIGENTE</v>
      </c>
      <c r="T138" s="28">
        <v>46053</v>
      </c>
      <c r="U138" s="20">
        <f t="shared" si="239"/>
        <v>46418</v>
      </c>
      <c r="V138" s="21">
        <f t="shared" ca="1" si="4"/>
        <v>196.49944016203517</v>
      </c>
      <c r="W138" s="22" t="str">
        <f t="shared" ca="1" si="137"/>
        <v>VIGENTE</v>
      </c>
      <c r="X138" s="23">
        <v>4</v>
      </c>
      <c r="Y138" s="23">
        <v>3</v>
      </c>
      <c r="Z138" s="23">
        <f t="shared" si="6"/>
        <v>4</v>
      </c>
      <c r="AA138" s="23">
        <f t="shared" ca="1" si="7"/>
        <v>3</v>
      </c>
      <c r="AB138" s="24">
        <f t="shared" ref="AB138:AC138" si="241">Z138/X138</f>
        <v>1</v>
      </c>
      <c r="AC138" s="24">
        <f t="shared" ca="1" si="241"/>
        <v>1</v>
      </c>
      <c r="AD138" s="25">
        <f t="shared" ref="AD138:AD139" ca="1" si="242">(Z138+AA138)/7</f>
        <v>1</v>
      </c>
      <c r="AE138" s="23"/>
      <c r="AF138" s="23"/>
      <c r="AG138" s="23"/>
      <c r="AH138" s="23"/>
    </row>
    <row r="139" spans="1:34" ht="14.4" x14ac:dyDescent="0.3">
      <c r="A139" s="30"/>
      <c r="B139" s="27"/>
      <c r="C139" s="18" t="str">
        <f>LOOKUP(F139,BD!C:C,BD!A:A)</f>
        <v>WENDY ESTEFANY</v>
      </c>
      <c r="D139" s="18" t="str">
        <f>LOOKUP(F139,BD!C:C,BD!B:B)</f>
        <v>RUIZ CORREA</v>
      </c>
      <c r="E139" s="18">
        <v>3117685801</v>
      </c>
      <c r="F139" s="18">
        <v>1040752129</v>
      </c>
      <c r="G139" s="33">
        <f>LOOKUP(F139,BD!C:C,BD!D:D)</f>
        <v>2024060016479</v>
      </c>
      <c r="H139" s="19" t="s">
        <v>30</v>
      </c>
      <c r="I139" s="19" t="s">
        <v>30</v>
      </c>
      <c r="J139" s="19" t="s">
        <v>30</v>
      </c>
      <c r="K139" s="19" t="s">
        <v>30</v>
      </c>
      <c r="L139" s="20">
        <v>46112</v>
      </c>
      <c r="M139" s="20">
        <f>L139+730</f>
        <v>46842</v>
      </c>
      <c r="N139" s="21">
        <f t="shared" ca="1" si="0"/>
        <v>620.49944016203517</v>
      </c>
      <c r="O139" s="22" t="str">
        <f t="shared" ca="1" si="135"/>
        <v>VIGENTE</v>
      </c>
      <c r="P139" s="20">
        <v>46129</v>
      </c>
      <c r="Q139" s="20">
        <f>P139+730</f>
        <v>46859</v>
      </c>
      <c r="R139" s="21">
        <f t="shared" ca="1" si="2"/>
        <v>637.49944016203517</v>
      </c>
      <c r="S139" s="22" t="str">
        <f t="shared" ca="1" si="136"/>
        <v>VIGENTE</v>
      </c>
      <c r="T139" s="20">
        <v>46127</v>
      </c>
      <c r="U139" s="20">
        <f>T139+730</f>
        <v>46857</v>
      </c>
      <c r="V139" s="21">
        <f t="shared" ca="1" si="4"/>
        <v>635.49944016203517</v>
      </c>
      <c r="W139" s="22" t="str">
        <f t="shared" ca="1" si="137"/>
        <v>VIGENTE</v>
      </c>
      <c r="X139" s="23">
        <v>4</v>
      </c>
      <c r="Y139" s="23">
        <v>3</v>
      </c>
      <c r="Z139" s="23">
        <f t="shared" si="6"/>
        <v>4</v>
      </c>
      <c r="AA139" s="23">
        <f t="shared" ca="1" si="7"/>
        <v>3</v>
      </c>
      <c r="AB139" s="24">
        <f t="shared" ref="AB139:AC139" si="243">Z139/X139</f>
        <v>1</v>
      </c>
      <c r="AC139" s="24">
        <f t="shared" ca="1" si="243"/>
        <v>1</v>
      </c>
      <c r="AD139" s="25">
        <f t="shared" ca="1" si="242"/>
        <v>1</v>
      </c>
      <c r="AE139" s="23"/>
      <c r="AF139" s="23"/>
      <c r="AG139" s="23"/>
      <c r="AH139" s="23"/>
    </row>
    <row r="140" spans="1:34" ht="14.4" x14ac:dyDescent="0.3">
      <c r="A140" s="30"/>
      <c r="B140" s="27"/>
      <c r="C140" s="18" t="str">
        <f>LOOKUP(F140,BD!C:C,BD!A:A)</f>
        <v>WILLIAM ALEJANDRO</v>
      </c>
      <c r="D140" s="18" t="str">
        <f>LOOKUP(F140,BD!C:C,BD!B:B)</f>
        <v>TORRES HENAO</v>
      </c>
      <c r="E140" s="18">
        <v>3216359642</v>
      </c>
      <c r="F140" s="18">
        <v>1001653106</v>
      </c>
      <c r="G140" s="18">
        <f>LOOKUP(F140,BD!C:C,BD!D:D)</f>
        <v>25060176653</v>
      </c>
      <c r="H140" s="19" t="s">
        <v>30</v>
      </c>
      <c r="I140" s="19" t="s">
        <v>30</v>
      </c>
      <c r="J140" s="19" t="s">
        <v>30</v>
      </c>
      <c r="K140" s="19" t="s">
        <v>30</v>
      </c>
      <c r="L140" s="20">
        <v>45833</v>
      </c>
      <c r="M140" s="20">
        <f t="shared" ref="M140:M142" si="244">L140+730</f>
        <v>46563</v>
      </c>
      <c r="N140" s="21">
        <f t="shared" ca="1" si="0"/>
        <v>341.49944016203517</v>
      </c>
      <c r="O140" s="22" t="str">
        <f t="shared" ca="1" si="135"/>
        <v>VIGENTE</v>
      </c>
      <c r="P140" s="20">
        <v>45832</v>
      </c>
      <c r="Q140" s="20">
        <f>P140+365</f>
        <v>46197</v>
      </c>
      <c r="R140" s="21">
        <f t="shared" ca="1" si="2"/>
        <v>-24.500559837964829</v>
      </c>
      <c r="S140" s="22" t="str">
        <f t="shared" ca="1" si="136"/>
        <v>NO CUMPLE</v>
      </c>
      <c r="T140" s="20">
        <v>45997</v>
      </c>
      <c r="U140" s="20">
        <f>T140+365</f>
        <v>46362</v>
      </c>
      <c r="V140" s="21">
        <f t="shared" ca="1" si="4"/>
        <v>140.49944016203517</v>
      </c>
      <c r="W140" s="22" t="str">
        <f t="shared" ca="1" si="137"/>
        <v>VIGENTE</v>
      </c>
      <c r="X140" s="23">
        <v>4</v>
      </c>
      <c r="Y140" s="23">
        <v>3</v>
      </c>
      <c r="Z140" s="23">
        <f t="shared" si="6"/>
        <v>4</v>
      </c>
      <c r="AA140" s="23">
        <f t="shared" ca="1" si="7"/>
        <v>2</v>
      </c>
      <c r="AB140" s="24">
        <f t="shared" ref="AB140:AC140" si="245">Z140/X140</f>
        <v>1</v>
      </c>
      <c r="AC140" s="24">
        <f t="shared" ca="1" si="245"/>
        <v>0.66666666666666663</v>
      </c>
      <c r="AD140" s="25">
        <f t="shared" ref="AD140:AD145" ca="1" si="246">(Z140+AA140)/7</f>
        <v>0.8571428571428571</v>
      </c>
      <c r="AE140" s="23"/>
      <c r="AF140" s="23"/>
      <c r="AG140" s="23"/>
      <c r="AH140" s="23"/>
    </row>
    <row r="141" spans="1:34" ht="14.4" x14ac:dyDescent="0.3">
      <c r="A141" s="30"/>
      <c r="B141" s="27"/>
      <c r="C141" s="18" t="str">
        <f>LOOKUP(F141,BD!C:C,BD!A:A)</f>
        <v>YAZMIN</v>
      </c>
      <c r="D141" s="18" t="str">
        <f>LOOKUP(F141,BD!C:C,BD!B:B)</f>
        <v>RANGEL RODRIGUEZ</v>
      </c>
      <c r="E141" s="18">
        <v>3016490125</v>
      </c>
      <c r="F141" s="18">
        <v>1004903577</v>
      </c>
      <c r="G141" s="18">
        <f>LOOKUP(F141,BD!C:C,BD!D:D)</f>
        <v>5082319</v>
      </c>
      <c r="H141" s="19" t="s">
        <v>30</v>
      </c>
      <c r="I141" s="19" t="s">
        <v>30</v>
      </c>
      <c r="J141" s="19" t="s">
        <v>30</v>
      </c>
      <c r="K141" s="19" t="s">
        <v>30</v>
      </c>
      <c r="L141" s="28">
        <v>46155</v>
      </c>
      <c r="M141" s="20">
        <f t="shared" si="244"/>
        <v>46885</v>
      </c>
      <c r="N141" s="21">
        <f t="shared" ca="1" si="0"/>
        <v>663.49944016203517</v>
      </c>
      <c r="O141" s="22" t="str">
        <f t="shared" ca="1" si="135"/>
        <v>VIGENTE</v>
      </c>
      <c r="P141" s="28">
        <v>46155</v>
      </c>
      <c r="Q141" s="20">
        <f t="shared" ref="Q141:Q142" si="247">P141+730</f>
        <v>46885</v>
      </c>
      <c r="R141" s="21">
        <f t="shared" ca="1" si="2"/>
        <v>663.49944016203517</v>
      </c>
      <c r="S141" s="22" t="str">
        <f t="shared" ca="1" si="136"/>
        <v>VIGENTE</v>
      </c>
      <c r="T141" s="28">
        <v>46155</v>
      </c>
      <c r="U141" s="20">
        <f t="shared" ref="U141:U142" si="248">T141+730</f>
        <v>46885</v>
      </c>
      <c r="V141" s="21">
        <f t="shared" ca="1" si="4"/>
        <v>663.49944016203517</v>
      </c>
      <c r="W141" s="22" t="str">
        <f t="shared" ca="1" si="137"/>
        <v>VIGENTE</v>
      </c>
      <c r="X141" s="23">
        <v>4</v>
      </c>
      <c r="Y141" s="23">
        <v>3</v>
      </c>
      <c r="Z141" s="23">
        <f t="shared" si="6"/>
        <v>4</v>
      </c>
      <c r="AA141" s="23">
        <f t="shared" ca="1" si="7"/>
        <v>3</v>
      </c>
      <c r="AB141" s="24">
        <f t="shared" ref="AB141:AC141" si="249">Z141/X141</f>
        <v>1</v>
      </c>
      <c r="AC141" s="24">
        <f t="shared" ca="1" si="249"/>
        <v>1</v>
      </c>
      <c r="AD141" s="25">
        <f t="shared" ca="1" si="246"/>
        <v>1</v>
      </c>
      <c r="AE141" s="23"/>
      <c r="AF141" s="23"/>
      <c r="AG141" s="23"/>
      <c r="AH141" s="23"/>
    </row>
    <row r="142" spans="1:34" ht="14.4" x14ac:dyDescent="0.3">
      <c r="A142" s="30"/>
      <c r="B142" s="27"/>
      <c r="C142" s="18" t="str">
        <f>LOOKUP(F142,BD!C:C,BD!A:A)</f>
        <v>YERLYN</v>
      </c>
      <c r="D142" s="18" t="str">
        <f>LOOKUP(F142,BD!C:C,BD!B:B)</f>
        <v>VELEZ DUQUE</v>
      </c>
      <c r="E142" s="18">
        <v>3014434980</v>
      </c>
      <c r="F142" s="18">
        <v>1000899076</v>
      </c>
      <c r="G142" s="18">
        <f>LOOKUP(F142,BD!C:C,BD!D:D)</f>
        <v>5011823</v>
      </c>
      <c r="H142" s="19" t="s">
        <v>30</v>
      </c>
      <c r="I142" s="19" t="s">
        <v>30</v>
      </c>
      <c r="J142" s="19" t="s">
        <v>30</v>
      </c>
      <c r="K142" s="19" t="s">
        <v>30</v>
      </c>
      <c r="L142" s="20">
        <v>46170</v>
      </c>
      <c r="M142" s="20">
        <f t="shared" si="244"/>
        <v>46900</v>
      </c>
      <c r="N142" s="21">
        <f t="shared" ca="1" si="0"/>
        <v>678.49944016203517</v>
      </c>
      <c r="O142" s="22" t="str">
        <f t="shared" ca="1" si="135"/>
        <v>VIGENTE</v>
      </c>
      <c r="P142" s="20">
        <v>45961</v>
      </c>
      <c r="Q142" s="20">
        <f t="shared" si="247"/>
        <v>46691</v>
      </c>
      <c r="R142" s="21">
        <f t="shared" ca="1" si="2"/>
        <v>469.49944016203517</v>
      </c>
      <c r="S142" s="22" t="str">
        <f t="shared" ca="1" si="136"/>
        <v>VIGENTE</v>
      </c>
      <c r="T142" s="20">
        <v>46170</v>
      </c>
      <c r="U142" s="20">
        <f t="shared" si="248"/>
        <v>46900</v>
      </c>
      <c r="V142" s="21">
        <f t="shared" ca="1" si="4"/>
        <v>678.49944016203517</v>
      </c>
      <c r="W142" s="22" t="str">
        <f t="shared" ca="1" si="137"/>
        <v>VIGENTE</v>
      </c>
      <c r="X142" s="23">
        <v>4</v>
      </c>
      <c r="Y142" s="23">
        <v>3</v>
      </c>
      <c r="Z142" s="23">
        <f t="shared" si="6"/>
        <v>4</v>
      </c>
      <c r="AA142" s="23">
        <f t="shared" ca="1" si="7"/>
        <v>3</v>
      </c>
      <c r="AB142" s="24">
        <f t="shared" ref="AB142:AC142" si="250">Z142/X142</f>
        <v>1</v>
      </c>
      <c r="AC142" s="24">
        <f t="shared" ca="1" si="250"/>
        <v>1</v>
      </c>
      <c r="AD142" s="25">
        <f t="shared" ca="1" si="246"/>
        <v>1</v>
      </c>
      <c r="AE142" s="23"/>
      <c r="AF142" s="23"/>
      <c r="AG142" s="23"/>
      <c r="AH142" s="23"/>
    </row>
    <row r="143" spans="1:34" ht="14.4" x14ac:dyDescent="0.3">
      <c r="A143" s="30"/>
      <c r="B143" s="27"/>
      <c r="C143" s="18" t="str">
        <f>LOOKUP(F143,BD!C:C,BD!A:A)</f>
        <v>YESICA TATIANA</v>
      </c>
      <c r="D143" s="18" t="str">
        <f>LOOKUP(F143,BD!C:C,BD!B:B)</f>
        <v>DIOSA FLOREZ</v>
      </c>
      <c r="E143" s="18">
        <v>3135052592</v>
      </c>
      <c r="F143" s="18">
        <v>1000453426</v>
      </c>
      <c r="G143" s="18">
        <f>LOOKUP(F143,BD!C:C,BD!D:D)</f>
        <v>5047022</v>
      </c>
      <c r="H143" s="19" t="s">
        <v>30</v>
      </c>
      <c r="I143" s="19" t="s">
        <v>30</v>
      </c>
      <c r="J143" s="19" t="s">
        <v>30</v>
      </c>
      <c r="K143" s="19" t="s">
        <v>30</v>
      </c>
      <c r="L143" s="20">
        <v>45849</v>
      </c>
      <c r="M143" s="20">
        <f>L143+730</f>
        <v>46579</v>
      </c>
      <c r="N143" s="21">
        <f t="shared" ca="1" si="0"/>
        <v>357.49944016203517</v>
      </c>
      <c r="O143" s="22" t="str">
        <f t="shared" ca="1" si="135"/>
        <v>VIGENTE</v>
      </c>
      <c r="P143" s="20">
        <v>45998</v>
      </c>
      <c r="Q143" s="20">
        <f>P143+730</f>
        <v>46728</v>
      </c>
      <c r="R143" s="21">
        <f t="shared" ca="1" si="2"/>
        <v>506.49944016203517</v>
      </c>
      <c r="S143" s="22" t="str">
        <f t="shared" ca="1" si="136"/>
        <v>VIGENTE</v>
      </c>
      <c r="T143" s="20">
        <v>46039</v>
      </c>
      <c r="U143" s="20">
        <f>T143+365</f>
        <v>46404</v>
      </c>
      <c r="V143" s="21">
        <f t="shared" ca="1" si="4"/>
        <v>182.49944016203517</v>
      </c>
      <c r="W143" s="22" t="str">
        <f t="shared" ca="1" si="137"/>
        <v>VIGENTE</v>
      </c>
      <c r="X143" s="23">
        <v>4</v>
      </c>
      <c r="Y143" s="23">
        <v>3</v>
      </c>
      <c r="Z143" s="23">
        <f t="shared" si="6"/>
        <v>4</v>
      </c>
      <c r="AA143" s="23">
        <f t="shared" ca="1" si="7"/>
        <v>3</v>
      </c>
      <c r="AB143" s="24">
        <f t="shared" ref="AB143:AC143" si="251">Z143/X143</f>
        <v>1</v>
      </c>
      <c r="AC143" s="24">
        <f t="shared" ca="1" si="251"/>
        <v>1</v>
      </c>
      <c r="AD143" s="25">
        <f t="shared" ca="1" si="246"/>
        <v>1</v>
      </c>
      <c r="AE143" s="23"/>
      <c r="AF143" s="23"/>
      <c r="AG143" s="23"/>
      <c r="AH143" s="23"/>
    </row>
    <row r="144" spans="1:34" ht="14.4" x14ac:dyDescent="0.3">
      <c r="A144" s="30"/>
      <c r="B144" s="27"/>
      <c r="C144" s="18" t="str">
        <f>LOOKUP(F144,BD!C:C,BD!A:A)</f>
        <v>YULIANA</v>
      </c>
      <c r="D144" s="18" t="str">
        <f>LOOKUP(F144,BD!C:C,BD!B:B)</f>
        <v>MONTERROSA LUNA</v>
      </c>
      <c r="E144" s="18">
        <v>3162908173</v>
      </c>
      <c r="F144" s="18">
        <v>1003590853</v>
      </c>
      <c r="G144" s="18">
        <f>LOOKUP(F144,BD!C:C,BD!D:D)</f>
        <v>23001678</v>
      </c>
      <c r="H144" s="19" t="s">
        <v>30</v>
      </c>
      <c r="I144" s="19" t="s">
        <v>30</v>
      </c>
      <c r="J144" s="19" t="s">
        <v>30</v>
      </c>
      <c r="K144" s="19" t="s">
        <v>30</v>
      </c>
      <c r="L144" s="20">
        <v>45793</v>
      </c>
      <c r="M144" s="20">
        <f t="shared" ref="M144:M145" si="252">L144+730</f>
        <v>46523</v>
      </c>
      <c r="N144" s="21">
        <f t="shared" ca="1" si="0"/>
        <v>301.49944016203517</v>
      </c>
      <c r="O144" s="22" t="str">
        <f t="shared" ca="1" si="135"/>
        <v>VIGENTE</v>
      </c>
      <c r="P144" s="20">
        <v>45793</v>
      </c>
      <c r="Q144" s="20">
        <f t="shared" ref="Q144:Q145" si="253">P144+730</f>
        <v>46523</v>
      </c>
      <c r="R144" s="21">
        <f t="shared" ca="1" si="2"/>
        <v>301.49944016203517</v>
      </c>
      <c r="S144" s="22" t="str">
        <f t="shared" ca="1" si="136"/>
        <v>VIGENTE</v>
      </c>
      <c r="T144" s="20">
        <v>45793</v>
      </c>
      <c r="U144" s="20">
        <f t="shared" ref="U144:U145" si="254">T144+730</f>
        <v>46523</v>
      </c>
      <c r="V144" s="21">
        <f t="shared" ca="1" si="4"/>
        <v>301.49944016203517</v>
      </c>
      <c r="W144" s="22" t="str">
        <f t="shared" ca="1" si="137"/>
        <v>VIGENTE</v>
      </c>
      <c r="X144" s="23">
        <v>4</v>
      </c>
      <c r="Y144" s="23">
        <v>3</v>
      </c>
      <c r="Z144" s="23">
        <f t="shared" si="6"/>
        <v>4</v>
      </c>
      <c r="AA144" s="23">
        <f t="shared" ca="1" si="7"/>
        <v>3</v>
      </c>
      <c r="AB144" s="24">
        <f t="shared" ref="AB144:AC144" si="255">Z144/X144</f>
        <v>1</v>
      </c>
      <c r="AC144" s="24">
        <f t="shared" ca="1" si="255"/>
        <v>1</v>
      </c>
      <c r="AD144" s="25">
        <f t="shared" ca="1" si="246"/>
        <v>1</v>
      </c>
      <c r="AE144" s="23"/>
      <c r="AF144" s="23"/>
      <c r="AG144" s="23"/>
      <c r="AH144" s="23"/>
    </row>
    <row r="145" spans="1:34" ht="14.4" x14ac:dyDescent="0.3">
      <c r="A145" s="29"/>
      <c r="B145" s="27"/>
      <c r="C145" s="18" t="str">
        <f>LOOKUP(F145,BD!C:C,BD!A:A)</f>
        <v>YURLEY ANDREA</v>
      </c>
      <c r="D145" s="18" t="str">
        <f>LOOKUP(F145,BD!C:C,BD!B:B)</f>
        <v>ORTIZ PEREZ</v>
      </c>
      <c r="E145" s="18">
        <v>3114253156</v>
      </c>
      <c r="F145" s="18">
        <v>1037622578</v>
      </c>
      <c r="G145" s="18">
        <f>LOOKUP(F145,BD!C:C,BD!D:D)</f>
        <v>5422722</v>
      </c>
      <c r="H145" s="19" t="s">
        <v>30</v>
      </c>
      <c r="I145" s="19" t="s">
        <v>30</v>
      </c>
      <c r="J145" s="19" t="s">
        <v>30</v>
      </c>
      <c r="K145" s="19" t="s">
        <v>30</v>
      </c>
      <c r="L145" s="20">
        <v>45723</v>
      </c>
      <c r="M145" s="20">
        <f t="shared" si="252"/>
        <v>46453</v>
      </c>
      <c r="N145" s="21">
        <f t="shared" ca="1" si="0"/>
        <v>231.49944016203517</v>
      </c>
      <c r="O145" s="22" t="str">
        <f t="shared" ca="1" si="135"/>
        <v>VIGENTE</v>
      </c>
      <c r="P145" s="20">
        <v>46049</v>
      </c>
      <c r="Q145" s="20">
        <f t="shared" si="253"/>
        <v>46779</v>
      </c>
      <c r="R145" s="21">
        <f t="shared" ca="1" si="2"/>
        <v>557.49944016203517</v>
      </c>
      <c r="S145" s="22" t="str">
        <f t="shared" ca="1" si="136"/>
        <v>VIGENTE</v>
      </c>
      <c r="T145" s="20">
        <v>45723</v>
      </c>
      <c r="U145" s="20">
        <f t="shared" si="254"/>
        <v>46453</v>
      </c>
      <c r="V145" s="21">
        <f t="shared" ca="1" si="4"/>
        <v>231.49944016203517</v>
      </c>
      <c r="W145" s="22" t="str">
        <f t="shared" ca="1" si="137"/>
        <v>VIGENTE</v>
      </c>
      <c r="X145" s="23">
        <v>4</v>
      </c>
      <c r="Y145" s="23">
        <v>3</v>
      </c>
      <c r="Z145" s="23">
        <f t="shared" si="6"/>
        <v>4</v>
      </c>
      <c r="AA145" s="23">
        <f t="shared" ca="1" si="7"/>
        <v>3</v>
      </c>
      <c r="AB145" s="24">
        <f t="shared" ref="AB145:AC145" si="256">Z145/X145</f>
        <v>1</v>
      </c>
      <c r="AC145" s="24">
        <f t="shared" ca="1" si="256"/>
        <v>1</v>
      </c>
      <c r="AD145" s="25">
        <f t="shared" ca="1" si="246"/>
        <v>1</v>
      </c>
      <c r="AE145" s="23"/>
      <c r="AF145" s="23"/>
      <c r="AG145" s="23"/>
      <c r="AH145" s="23"/>
    </row>
    <row r="146" spans="1:34" ht="14.4" x14ac:dyDescent="0.3">
      <c r="A146" s="30"/>
      <c r="B146" s="34"/>
      <c r="C146" s="18" t="e">
        <f>LOOKUP(F146,BD!C:C,BD!A:A)</f>
        <v>#N/A</v>
      </c>
      <c r="D146" s="18" t="e">
        <f>LOOKUP(F146,BD!C:C,BD!B:B)</f>
        <v>#N/A</v>
      </c>
      <c r="E146" s="18"/>
      <c r="F146" s="18"/>
      <c r="G146" s="18" t="e">
        <f>LOOKUP(F146,BD!C:C,BD!D:D)</f>
        <v>#N/A</v>
      </c>
      <c r="H146" s="19"/>
      <c r="I146" s="19"/>
      <c r="J146" s="19"/>
      <c r="K146" s="19"/>
      <c r="L146" s="28"/>
      <c r="M146" s="20">
        <f>L146+730</f>
        <v>730</v>
      </c>
      <c r="N146" s="21">
        <f t="shared" ca="1" si="0"/>
        <v>-45491.500559837965</v>
      </c>
      <c r="O146" s="22" t="str">
        <f t="shared" ca="1" si="135"/>
        <v>NO CUMPLE</v>
      </c>
      <c r="P146" s="28"/>
      <c r="Q146" s="20">
        <f>P146+730</f>
        <v>730</v>
      </c>
      <c r="R146" s="21">
        <f t="shared" ca="1" si="2"/>
        <v>-45491.500559837965</v>
      </c>
      <c r="S146" s="22" t="str">
        <f t="shared" ca="1" si="136"/>
        <v>NO CUMPLE</v>
      </c>
      <c r="T146" s="28"/>
      <c r="U146" s="20">
        <f>T146+730</f>
        <v>730</v>
      </c>
      <c r="V146" s="21">
        <f t="shared" ca="1" si="4"/>
        <v>-45491.500559837965</v>
      </c>
      <c r="W146" s="22" t="str">
        <f t="shared" ca="1" si="137"/>
        <v>NO CUMPLE</v>
      </c>
      <c r="X146" s="23">
        <v>4</v>
      </c>
      <c r="Y146" s="23">
        <v>3</v>
      </c>
      <c r="Z146" s="23">
        <f t="shared" si="6"/>
        <v>0</v>
      </c>
      <c r="AA146" s="23">
        <f t="shared" ca="1" si="7"/>
        <v>0</v>
      </c>
      <c r="AB146" s="24">
        <f t="shared" ref="AB146:AC146" si="257">Z146/X146</f>
        <v>0</v>
      </c>
      <c r="AC146" s="24">
        <f t="shared" ca="1" si="257"/>
        <v>0</v>
      </c>
      <c r="AD146" s="25">
        <f ca="1">(Z146+AA146)/7</f>
        <v>0</v>
      </c>
      <c r="AE146" s="23"/>
      <c r="AF146" s="23"/>
      <c r="AG146" s="23"/>
      <c r="AH146" s="23"/>
    </row>
    <row r="147" spans="1:34" ht="14.4" x14ac:dyDescent="0.3">
      <c r="A147" s="30"/>
      <c r="B147" s="34"/>
      <c r="C147" s="18"/>
      <c r="D147" s="18"/>
      <c r="E147" s="18"/>
      <c r="F147" s="18"/>
      <c r="G147" s="18"/>
      <c r="H147" s="19"/>
      <c r="I147" s="19"/>
      <c r="J147" s="19"/>
      <c r="K147" s="19"/>
      <c r="L147" s="20"/>
      <c r="M147" s="20"/>
      <c r="N147" s="21"/>
      <c r="O147" s="22"/>
      <c r="P147" s="20"/>
      <c r="Q147" s="20"/>
      <c r="R147" s="21"/>
      <c r="S147" s="22"/>
      <c r="T147" s="20"/>
      <c r="U147" s="20"/>
      <c r="V147" s="21"/>
      <c r="W147" s="22"/>
      <c r="X147" s="23"/>
      <c r="Y147" s="23"/>
      <c r="Z147" s="23"/>
      <c r="AA147" s="23"/>
      <c r="AB147" s="24"/>
      <c r="AC147" s="24"/>
      <c r="AD147" s="25"/>
      <c r="AE147" s="23"/>
      <c r="AF147" s="23"/>
      <c r="AG147" s="23"/>
      <c r="AH147" s="23"/>
    </row>
    <row r="148" spans="1:34" ht="14.4" x14ac:dyDescent="0.3">
      <c r="A148" s="30"/>
      <c r="B148" s="34"/>
      <c r="C148" s="18"/>
      <c r="D148" s="18"/>
      <c r="E148" s="18"/>
      <c r="F148" s="18"/>
      <c r="G148" s="18"/>
      <c r="H148" s="19"/>
      <c r="I148" s="19"/>
      <c r="J148" s="19"/>
      <c r="K148" s="19"/>
      <c r="L148" s="20"/>
      <c r="M148" s="20"/>
      <c r="N148" s="21"/>
      <c r="O148" s="22"/>
      <c r="P148" s="20"/>
      <c r="Q148" s="20"/>
      <c r="R148" s="21"/>
      <c r="S148" s="22"/>
      <c r="T148" s="20"/>
      <c r="U148" s="20"/>
      <c r="V148" s="21"/>
      <c r="W148" s="22"/>
      <c r="X148" s="23"/>
      <c r="Y148" s="23"/>
      <c r="Z148" s="23"/>
      <c r="AA148" s="23"/>
      <c r="AB148" s="24"/>
      <c r="AC148" s="24"/>
      <c r="AD148" s="25"/>
      <c r="AE148" s="23"/>
      <c r="AF148" s="23"/>
      <c r="AG148" s="23"/>
      <c r="AH148" s="23"/>
    </row>
    <row r="149" spans="1:34" ht="14.4" x14ac:dyDescent="0.3">
      <c r="A149" s="30"/>
      <c r="B149" s="34"/>
      <c r="C149" s="18"/>
      <c r="D149" s="18"/>
      <c r="E149" s="18"/>
      <c r="F149" s="18"/>
      <c r="G149" s="18"/>
      <c r="H149" s="19"/>
      <c r="I149" s="19"/>
      <c r="J149" s="19"/>
      <c r="K149" s="19"/>
      <c r="L149" s="20"/>
      <c r="M149" s="20"/>
      <c r="N149" s="21"/>
      <c r="O149" s="22"/>
      <c r="P149" s="20"/>
      <c r="Q149" s="20"/>
      <c r="R149" s="21"/>
      <c r="S149" s="22"/>
      <c r="T149" s="20"/>
      <c r="U149" s="20"/>
      <c r="V149" s="21"/>
      <c r="W149" s="22"/>
      <c r="X149" s="23"/>
      <c r="Y149" s="23"/>
      <c r="Z149" s="23"/>
      <c r="AA149" s="23"/>
      <c r="AB149" s="24"/>
      <c r="AC149" s="24"/>
      <c r="AD149" s="25"/>
      <c r="AE149" s="23"/>
      <c r="AF149" s="23"/>
      <c r="AG149" s="23"/>
      <c r="AH149" s="23"/>
    </row>
    <row r="153" spans="1:34" ht="14.4" x14ac:dyDescent="0.3">
      <c r="B153" s="87" t="s">
        <v>31</v>
      </c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</row>
    <row r="154" spans="1:34" ht="14.4" x14ac:dyDescent="0.3">
      <c r="A154" s="30"/>
      <c r="B154" s="17"/>
      <c r="C154" s="18" t="str">
        <f>LOOKUP(F154,BD!C:C,BD!A:A)</f>
        <v>ADRIANA MARCELA</v>
      </c>
      <c r="D154" s="18" t="str">
        <f>LOOKUP(F154,BD!C:C,BD!B:B)</f>
        <v>OSPINA OSPINA</v>
      </c>
      <c r="E154" s="18">
        <v>3228807527</v>
      </c>
      <c r="F154" s="18">
        <v>1053857910</v>
      </c>
      <c r="G154" s="18">
        <f>LOOKUP(F154,BD!C:C,BD!D:D)</f>
        <v>282023</v>
      </c>
      <c r="H154" s="19" t="s">
        <v>30</v>
      </c>
      <c r="I154" s="19" t="s">
        <v>30</v>
      </c>
      <c r="J154" s="19" t="s">
        <v>30</v>
      </c>
      <c r="K154" s="19" t="s">
        <v>30</v>
      </c>
      <c r="L154" s="20">
        <v>45941</v>
      </c>
      <c r="M154" s="20">
        <f>L154+730</f>
        <v>46671</v>
      </c>
      <c r="N154" s="21">
        <f t="shared" ref="N154:N203" ca="1" si="258">M154-NOW()</f>
        <v>449.49944016203517</v>
      </c>
      <c r="O154" s="22" t="str">
        <f ca="1">IF(N154&lt;=16,"NO CUMPLE",IF(N154&gt;=16,"VIGENTE"))</f>
        <v>VIGENTE</v>
      </c>
      <c r="P154" s="20">
        <v>46028</v>
      </c>
      <c r="Q154" s="20">
        <f>P154+730</f>
        <v>46758</v>
      </c>
      <c r="R154" s="21">
        <f t="shared" ref="R154:R203" ca="1" si="259">Q154-NOW()</f>
        <v>536.49944016203517</v>
      </c>
      <c r="S154" s="22" t="str">
        <f ca="1">IF(R154&lt;=16,"NO CUMPLE",IF(R154&gt;=16,"VIGENTE"))</f>
        <v>VIGENTE</v>
      </c>
      <c r="T154" s="20">
        <v>45957</v>
      </c>
      <c r="U154" s="20">
        <f>T154+730</f>
        <v>46687</v>
      </c>
      <c r="V154" s="21">
        <f t="shared" ref="V154:V203" ca="1" si="260">U154-NOW()</f>
        <v>465.49944016203517</v>
      </c>
      <c r="W154" s="22" t="str">
        <f ca="1">IF(V154&lt;=16,"NO CUMPLE",IF(V154&gt;=16,"VIGENTE"))</f>
        <v>VIGENTE</v>
      </c>
      <c r="X154" s="23">
        <v>4</v>
      </c>
      <c r="Y154" s="23">
        <v>3</v>
      </c>
      <c r="Z154" s="23">
        <f t="shared" ref="Z154:Z203" si="261">COUNTIF(H154:K154,"OK")</f>
        <v>4</v>
      </c>
      <c r="AA154" s="23">
        <f t="shared" ref="AA154:AA203" ca="1" si="262">COUNTIF(L154:W154,"VIGENTE")</f>
        <v>3</v>
      </c>
      <c r="AB154" s="24">
        <f t="shared" ref="AB154:AC154" si="263">Z154/X154</f>
        <v>1</v>
      </c>
      <c r="AC154" s="24">
        <f t="shared" ca="1" si="263"/>
        <v>1</v>
      </c>
      <c r="AD154" s="25">
        <f t="shared" ref="AD154:AD157" ca="1" si="264">(Z154+AA154)/7</f>
        <v>1</v>
      </c>
      <c r="AE154" s="23"/>
      <c r="AF154" s="23"/>
      <c r="AG154" s="23"/>
      <c r="AH154" s="23"/>
    </row>
    <row r="155" spans="1:34" ht="14.4" x14ac:dyDescent="0.3">
      <c r="A155" s="30"/>
      <c r="B155" s="27"/>
      <c r="C155" s="18" t="str">
        <f>LOOKUP(F155,BD!C:C,BD!A:A)</f>
        <v>ALEJANDRA JULIETH</v>
      </c>
      <c r="D155" s="18" t="str">
        <f>LOOKUP(F155,BD!C:C,BD!B:B)</f>
        <v>ORREGO PEREZ</v>
      </c>
      <c r="E155" s="18">
        <v>3246852829</v>
      </c>
      <c r="F155" s="18">
        <v>1037581417</v>
      </c>
      <c r="G155" s="18">
        <f>LOOKUP(F155,BD!C:C,BD!D:D)</f>
        <v>5408708</v>
      </c>
      <c r="H155" s="19" t="s">
        <v>30</v>
      </c>
      <c r="I155" s="19" t="s">
        <v>30</v>
      </c>
      <c r="J155" s="19" t="s">
        <v>30</v>
      </c>
      <c r="K155" s="19" t="s">
        <v>30</v>
      </c>
      <c r="L155" s="20">
        <v>45884</v>
      </c>
      <c r="M155" s="20">
        <f>L155+730</f>
        <v>46614</v>
      </c>
      <c r="N155" s="21">
        <f t="shared" ca="1" si="258"/>
        <v>392.49944016203517</v>
      </c>
      <c r="O155" s="22" t="str">
        <f ca="1">IF(N155&lt;=16,"NO CUMPLE",IF(N155&gt;=16,"VIGENTE"))</f>
        <v>VIGENTE</v>
      </c>
      <c r="P155" s="35">
        <v>45406</v>
      </c>
      <c r="Q155" s="20">
        <f>P155+730</f>
        <v>46136</v>
      </c>
      <c r="R155" s="21">
        <f t="shared" ca="1" si="259"/>
        <v>-85.500559837964829</v>
      </c>
      <c r="S155" s="22" t="str">
        <f ca="1">IF(R155&lt;=16,"NO CUMPLE",IF(R155&gt;=16,"VIGENTE"))</f>
        <v>NO CUMPLE</v>
      </c>
      <c r="T155" s="35">
        <v>45408</v>
      </c>
      <c r="U155" s="20">
        <f>T155+730</f>
        <v>46138</v>
      </c>
      <c r="V155" s="21">
        <f t="shared" ca="1" si="260"/>
        <v>-83.500559837964829</v>
      </c>
      <c r="W155" s="22" t="str">
        <f ca="1">IF(V155&lt;=16,"NO CUMPLE",IF(V155&gt;=16,"VIGENTE"))</f>
        <v>NO CUMPLE</v>
      </c>
      <c r="X155" s="23">
        <v>4</v>
      </c>
      <c r="Y155" s="23">
        <v>3</v>
      </c>
      <c r="Z155" s="23">
        <f t="shared" si="261"/>
        <v>4</v>
      </c>
      <c r="AA155" s="23">
        <f t="shared" ca="1" si="262"/>
        <v>1</v>
      </c>
      <c r="AB155" s="24">
        <f t="shared" ref="AB155:AC155" si="265">Z155/X155</f>
        <v>1</v>
      </c>
      <c r="AC155" s="24">
        <f t="shared" ca="1" si="265"/>
        <v>0.33333333333333331</v>
      </c>
      <c r="AD155" s="25">
        <f t="shared" ca="1" si="264"/>
        <v>0.7142857142857143</v>
      </c>
      <c r="AE155" s="23"/>
      <c r="AF155" s="23"/>
      <c r="AG155" s="23"/>
      <c r="AH155" s="23"/>
    </row>
    <row r="156" spans="1:34" ht="14.4" x14ac:dyDescent="0.3">
      <c r="A156" s="30"/>
      <c r="B156" s="17"/>
      <c r="C156" s="18" t="str">
        <f>LOOKUP(F156,BD!C:C,BD!A:A)</f>
        <v>ALEJANDRO</v>
      </c>
      <c r="D156" s="18" t="str">
        <f>LOOKUP(F156,BD!C:C,BD!B:B)</f>
        <v>ALVAREZ AGUDELO</v>
      </c>
      <c r="E156" s="18">
        <v>3004958952</v>
      </c>
      <c r="F156" s="18">
        <v>1152465130</v>
      </c>
      <c r="G156" s="18">
        <f>LOOKUP(F156,BD!C:C,BD!D:D)</f>
        <v>25060002125</v>
      </c>
      <c r="H156" s="19" t="s">
        <v>30</v>
      </c>
      <c r="I156" s="19" t="s">
        <v>30</v>
      </c>
      <c r="J156" s="19" t="s">
        <v>30</v>
      </c>
      <c r="K156" s="19"/>
      <c r="L156" s="35"/>
      <c r="M156" s="20">
        <f t="shared" ref="M156:M157" si="266">L156+730</f>
        <v>730</v>
      </c>
      <c r="N156" s="21">
        <f t="shared" ca="1" si="258"/>
        <v>-45491.500559837965</v>
      </c>
      <c r="O156" s="22" t="str">
        <f t="shared" ref="O156:O157" ca="1" si="267">IF(N156&lt;=16,"NO CUMPLE",IF(N156&gt;=16,"VIGENTE"))</f>
        <v>NO CUMPLE</v>
      </c>
      <c r="P156" s="35"/>
      <c r="Q156" s="20">
        <f t="shared" ref="Q156:Q157" si="268">P156+730</f>
        <v>730</v>
      </c>
      <c r="R156" s="21">
        <f t="shared" ca="1" si="259"/>
        <v>-45491.500559837965</v>
      </c>
      <c r="S156" s="22" t="str">
        <f t="shared" ref="S156:S157" ca="1" si="269">IF(R156&lt;=16,"NO CUMPLE",IF(R156&gt;=16,"VIGENTE"))</f>
        <v>NO CUMPLE</v>
      </c>
      <c r="T156" s="20">
        <v>45653</v>
      </c>
      <c r="U156" s="20">
        <f t="shared" ref="U156:U157" si="270">T156+730</f>
        <v>46383</v>
      </c>
      <c r="V156" s="21">
        <f t="shared" ca="1" si="260"/>
        <v>161.49944016203517</v>
      </c>
      <c r="W156" s="22" t="str">
        <f t="shared" ref="W156:W157" ca="1" si="271">IF(V156&lt;=16,"NO CUMPLE",IF(V156&gt;=16,"VIGENTE"))</f>
        <v>VIGENTE</v>
      </c>
      <c r="X156" s="23">
        <v>4</v>
      </c>
      <c r="Y156" s="23">
        <v>3</v>
      </c>
      <c r="Z156" s="23">
        <f t="shared" si="261"/>
        <v>3</v>
      </c>
      <c r="AA156" s="23">
        <f t="shared" ca="1" si="262"/>
        <v>1</v>
      </c>
      <c r="AB156" s="24">
        <f t="shared" ref="AB156:AC156" si="272">Z156/X156</f>
        <v>0.75</v>
      </c>
      <c r="AC156" s="24">
        <f t="shared" ca="1" si="272"/>
        <v>0.33333333333333331</v>
      </c>
      <c r="AD156" s="25">
        <f t="shared" ca="1" si="264"/>
        <v>0.5714285714285714</v>
      </c>
      <c r="AE156" s="23"/>
      <c r="AF156" s="23"/>
      <c r="AG156" s="23"/>
      <c r="AH156" s="23"/>
    </row>
    <row r="157" spans="1:34" ht="14.4" x14ac:dyDescent="0.3">
      <c r="A157" s="30"/>
      <c r="B157" s="17"/>
      <c r="C157" s="18" t="str">
        <f>LOOKUP(F157,BD!C:C,BD!A:A)</f>
        <v>ALISON DAHIAN</v>
      </c>
      <c r="D157" s="18" t="str">
        <f>LOOKUP(F157,BD!C:C,BD!B:B)</f>
        <v>CORRALES LEZCANO</v>
      </c>
      <c r="E157" s="18">
        <v>3045684205</v>
      </c>
      <c r="F157" s="18">
        <v>1152219045</v>
      </c>
      <c r="G157" s="18">
        <f>LOOKUP(F157,BD!C:C,BD!D:D)</f>
        <v>24060417687</v>
      </c>
      <c r="H157" s="19" t="s">
        <v>30</v>
      </c>
      <c r="I157" s="19" t="s">
        <v>30</v>
      </c>
      <c r="J157" s="19" t="s">
        <v>30</v>
      </c>
      <c r="K157" s="19" t="s">
        <v>30</v>
      </c>
      <c r="L157" s="35">
        <v>45173</v>
      </c>
      <c r="M157" s="20">
        <f t="shared" si="266"/>
        <v>45903</v>
      </c>
      <c r="N157" s="21">
        <f t="shared" ca="1" si="258"/>
        <v>-318.50055983796483</v>
      </c>
      <c r="O157" s="22" t="str">
        <f t="shared" ca="1" si="267"/>
        <v>NO CUMPLE</v>
      </c>
      <c r="P157" s="35">
        <v>45174</v>
      </c>
      <c r="Q157" s="20">
        <f t="shared" si="268"/>
        <v>45904</v>
      </c>
      <c r="R157" s="21">
        <f t="shared" ca="1" si="259"/>
        <v>-317.50055983796483</v>
      </c>
      <c r="S157" s="22" t="str">
        <f t="shared" ca="1" si="269"/>
        <v>NO CUMPLE</v>
      </c>
      <c r="T157" s="35"/>
      <c r="U157" s="20">
        <f t="shared" si="270"/>
        <v>730</v>
      </c>
      <c r="V157" s="21">
        <f t="shared" ca="1" si="260"/>
        <v>-45491.500559837965</v>
      </c>
      <c r="W157" s="22" t="str">
        <f t="shared" ca="1" si="271"/>
        <v>NO CUMPLE</v>
      </c>
      <c r="X157" s="23">
        <v>4</v>
      </c>
      <c r="Y157" s="23">
        <v>3</v>
      </c>
      <c r="Z157" s="23">
        <f t="shared" si="261"/>
        <v>4</v>
      </c>
      <c r="AA157" s="23">
        <f t="shared" ca="1" si="262"/>
        <v>0</v>
      </c>
      <c r="AB157" s="24">
        <f t="shared" ref="AB157:AC157" si="273">Z157/X157</f>
        <v>1</v>
      </c>
      <c r="AC157" s="24">
        <f t="shared" ca="1" si="273"/>
        <v>0</v>
      </c>
      <c r="AD157" s="25">
        <f t="shared" ca="1" si="264"/>
        <v>0.5714285714285714</v>
      </c>
      <c r="AE157" s="23"/>
      <c r="AF157" s="23"/>
      <c r="AG157" s="23"/>
      <c r="AH157" s="23"/>
    </row>
    <row r="158" spans="1:34" ht="14.4" x14ac:dyDescent="0.3">
      <c r="A158" s="16"/>
      <c r="B158" s="34"/>
      <c r="C158" s="18" t="str">
        <f>LOOKUP(F158,BD!C:C,BD!A:A)</f>
        <v>ANA MARIA</v>
      </c>
      <c r="D158" s="18" t="str">
        <f>LOOKUP(F158,BD!C:C,BD!B:B)</f>
        <v>ALVAREZ SUAREZ</v>
      </c>
      <c r="E158" s="18">
        <v>3043297585</v>
      </c>
      <c r="F158" s="18">
        <v>1023524571</v>
      </c>
      <c r="G158" s="18">
        <f>LOOKUP(F158,BD!C:C,BD!D:D)</f>
        <v>25060193807</v>
      </c>
      <c r="H158" s="19" t="s">
        <v>30</v>
      </c>
      <c r="I158" s="19" t="s">
        <v>30</v>
      </c>
      <c r="J158" s="19" t="s">
        <v>30</v>
      </c>
      <c r="K158" s="19" t="s">
        <v>30</v>
      </c>
      <c r="L158" s="20">
        <v>45920</v>
      </c>
      <c r="M158" s="20">
        <f>L158+730</f>
        <v>46650</v>
      </c>
      <c r="N158" s="21">
        <f t="shared" ca="1" si="258"/>
        <v>428.49944016203517</v>
      </c>
      <c r="O158" s="22" t="str">
        <f ca="1">IF(N158&lt;=16,"NO CUMPLE",IF(N158&gt;=16,"VIGENTE"))</f>
        <v>VIGENTE</v>
      </c>
      <c r="P158" s="20">
        <v>45920</v>
      </c>
      <c r="Q158" s="20">
        <f>P158+730</f>
        <v>46650</v>
      </c>
      <c r="R158" s="21">
        <f t="shared" ca="1" si="259"/>
        <v>428.49944016203517</v>
      </c>
      <c r="S158" s="22" t="str">
        <f ca="1">IF(R158&lt;=16,"NO CUMPLE",IF(R158&gt;=16,"VIGENTE"))</f>
        <v>VIGENTE</v>
      </c>
      <c r="T158" s="20">
        <v>45920</v>
      </c>
      <c r="U158" s="20">
        <f>T158+730</f>
        <v>46650</v>
      </c>
      <c r="V158" s="21">
        <f t="shared" ca="1" si="260"/>
        <v>428.49944016203517</v>
      </c>
      <c r="W158" s="22" t="str">
        <f ca="1">IF(V158&lt;=16,"NO CUMPLE",IF(V158&gt;=16,"VIGENTE"))</f>
        <v>VIGENTE</v>
      </c>
      <c r="X158" s="23">
        <v>4</v>
      </c>
      <c r="Y158" s="23">
        <v>3</v>
      </c>
      <c r="Z158" s="23">
        <f t="shared" si="261"/>
        <v>4</v>
      </c>
      <c r="AA158" s="23">
        <f t="shared" ca="1" si="262"/>
        <v>3</v>
      </c>
      <c r="AB158" s="24">
        <f t="shared" ref="AB158:AC158" si="274">Z158/X158</f>
        <v>1</v>
      </c>
      <c r="AC158" s="24">
        <f t="shared" ca="1" si="274"/>
        <v>1</v>
      </c>
      <c r="AD158" s="25">
        <f ca="1">(Z158+AA158)/7</f>
        <v>1</v>
      </c>
      <c r="AE158" s="23"/>
      <c r="AF158" s="23"/>
      <c r="AG158" s="23"/>
      <c r="AH158" s="23"/>
    </row>
    <row r="159" spans="1:34" ht="14.4" x14ac:dyDescent="0.3">
      <c r="A159" s="26"/>
      <c r="B159" s="27"/>
      <c r="C159" s="18" t="str">
        <f>LOOKUP(F159,BD!C:C,BD!A:A)</f>
        <v>ANA SOFIA</v>
      </c>
      <c r="D159" s="18" t="str">
        <f>LOOKUP(F159,BD!C:C,BD!B:B)</f>
        <v>BOTERO GOMEZ</v>
      </c>
      <c r="E159" s="18">
        <v>3207949984</v>
      </c>
      <c r="F159" s="18">
        <v>1007271832</v>
      </c>
      <c r="G159" s="18">
        <f>LOOKUP(F159,BD!C:C,BD!D:D)</f>
        <v>25060007228</v>
      </c>
      <c r="H159" s="19" t="s">
        <v>30</v>
      </c>
      <c r="I159" s="19" t="s">
        <v>30</v>
      </c>
      <c r="J159" s="19" t="s">
        <v>30</v>
      </c>
      <c r="K159" s="19" t="s">
        <v>30</v>
      </c>
      <c r="L159" s="20">
        <v>45643</v>
      </c>
      <c r="M159" s="20">
        <f t="shared" ref="M159:M172" si="275">L159+730</f>
        <v>46373</v>
      </c>
      <c r="N159" s="21">
        <f t="shared" ca="1" si="258"/>
        <v>151.49944016203517</v>
      </c>
      <c r="O159" s="22" t="str">
        <f t="shared" ref="O159:O161" ca="1" si="276">IF(N159&lt;=16,"NO CUMPLE",IF(N159&gt;=16,"VIGENTE"))</f>
        <v>VIGENTE</v>
      </c>
      <c r="P159" s="20">
        <v>45629</v>
      </c>
      <c r="Q159" s="20">
        <f>P159+365</f>
        <v>45994</v>
      </c>
      <c r="R159" s="21">
        <f t="shared" ca="1" si="259"/>
        <v>-227.50055983796483</v>
      </c>
      <c r="S159" s="22" t="str">
        <f t="shared" ref="S159:S161" ca="1" si="277">IF(R159&lt;=16,"NO CUMPLE",IF(R159&gt;=16,"VIGENTE"))</f>
        <v>NO CUMPLE</v>
      </c>
      <c r="T159" s="20">
        <v>45629</v>
      </c>
      <c r="U159" s="20">
        <f>T159+365</f>
        <v>45994</v>
      </c>
      <c r="V159" s="21">
        <f t="shared" ca="1" si="260"/>
        <v>-227.50055983796483</v>
      </c>
      <c r="W159" s="22" t="str">
        <f t="shared" ref="W159:W161" ca="1" si="278">IF(V159&lt;=16,"NO CUMPLE",IF(V159&gt;=16,"VIGENTE"))</f>
        <v>NO CUMPLE</v>
      </c>
      <c r="X159" s="23">
        <v>4</v>
      </c>
      <c r="Y159" s="23">
        <v>3</v>
      </c>
      <c r="Z159" s="23">
        <f t="shared" si="261"/>
        <v>4</v>
      </c>
      <c r="AA159" s="23">
        <f t="shared" ca="1" si="262"/>
        <v>1</v>
      </c>
      <c r="AB159" s="24">
        <f t="shared" ref="AB159:AC159" si="279">Z159/X159</f>
        <v>1</v>
      </c>
      <c r="AC159" s="24">
        <f t="shared" ca="1" si="279"/>
        <v>0.33333333333333331</v>
      </c>
      <c r="AD159" s="25">
        <f t="shared" ref="AD159:AD174" ca="1" si="280">(Z159+AA159)/7</f>
        <v>0.7142857142857143</v>
      </c>
      <c r="AE159" s="23"/>
      <c r="AF159" s="23"/>
      <c r="AG159" s="23"/>
      <c r="AH159" s="23"/>
    </row>
    <row r="160" spans="1:34" ht="14.4" x14ac:dyDescent="0.3">
      <c r="A160" s="26"/>
      <c r="B160" s="34"/>
      <c r="C160" s="18" t="str">
        <f>LOOKUP(F160,BD!C:C,BD!A:A)</f>
        <v>CAROLINA</v>
      </c>
      <c r="D160" s="18" t="str">
        <f>LOOKUP(F160,BD!C:C,BD!B:B)</f>
        <v>SAAVEDRA PEREA</v>
      </c>
      <c r="E160" s="18">
        <v>3014437239</v>
      </c>
      <c r="F160" s="18">
        <v>43921771</v>
      </c>
      <c r="G160" s="18">
        <f>LOOKUP(F160,BD!C:C,BD!D:D)</f>
        <v>5698423</v>
      </c>
      <c r="H160" s="19" t="s">
        <v>30</v>
      </c>
      <c r="I160" s="19" t="s">
        <v>30</v>
      </c>
      <c r="J160" s="19" t="s">
        <v>30</v>
      </c>
      <c r="K160" s="19" t="s">
        <v>30</v>
      </c>
      <c r="L160" s="20">
        <v>45906</v>
      </c>
      <c r="M160" s="20">
        <f t="shared" si="275"/>
        <v>46636</v>
      </c>
      <c r="N160" s="21">
        <f t="shared" ca="1" si="258"/>
        <v>414.49944016203517</v>
      </c>
      <c r="O160" s="22" t="str">
        <f t="shared" ca="1" si="276"/>
        <v>VIGENTE</v>
      </c>
      <c r="P160" s="20">
        <v>45906</v>
      </c>
      <c r="Q160" s="20">
        <f t="shared" ref="Q160:Q172" si="281">P160+730</f>
        <v>46636</v>
      </c>
      <c r="R160" s="21">
        <f t="shared" ca="1" si="259"/>
        <v>414.49944016203517</v>
      </c>
      <c r="S160" s="22" t="str">
        <f t="shared" ca="1" si="277"/>
        <v>VIGENTE</v>
      </c>
      <c r="T160" s="35"/>
      <c r="U160" s="20">
        <f t="shared" ref="U160:U167" si="282">T160+730</f>
        <v>730</v>
      </c>
      <c r="V160" s="21">
        <f t="shared" ca="1" si="260"/>
        <v>-45491.500559837965</v>
      </c>
      <c r="W160" s="22" t="str">
        <f t="shared" ca="1" si="278"/>
        <v>NO CUMPLE</v>
      </c>
      <c r="X160" s="23">
        <v>4</v>
      </c>
      <c r="Y160" s="23">
        <v>3</v>
      </c>
      <c r="Z160" s="23">
        <f t="shared" si="261"/>
        <v>4</v>
      </c>
      <c r="AA160" s="23">
        <f t="shared" ca="1" si="262"/>
        <v>2</v>
      </c>
      <c r="AB160" s="24">
        <f t="shared" ref="AB160:AC160" si="283">Z160/X160</f>
        <v>1</v>
      </c>
      <c r="AC160" s="24">
        <f t="shared" ca="1" si="283"/>
        <v>0.66666666666666663</v>
      </c>
      <c r="AD160" s="25">
        <f t="shared" ca="1" si="280"/>
        <v>0.8571428571428571</v>
      </c>
      <c r="AE160" s="23"/>
      <c r="AF160" s="23"/>
      <c r="AG160" s="23"/>
      <c r="AH160" s="23"/>
    </row>
    <row r="161" spans="1:34" ht="14.4" x14ac:dyDescent="0.3">
      <c r="A161" s="26"/>
      <c r="B161" s="17"/>
      <c r="C161" s="18" t="str">
        <f>LOOKUP(F161,BD!C:C,BD!A:A)</f>
        <v>CAROLINA</v>
      </c>
      <c r="D161" s="18" t="str">
        <f>LOOKUP(F161,BD!C:C,BD!B:B)</f>
        <v>LONDOÑO QUINTERO</v>
      </c>
      <c r="E161" s="18">
        <v>3015253090</v>
      </c>
      <c r="F161" s="18">
        <v>1017203962</v>
      </c>
      <c r="G161" s="18">
        <f>LOOKUP(F161,BD!C:C,BD!D:D)</f>
        <v>5101522</v>
      </c>
      <c r="H161" s="19" t="s">
        <v>30</v>
      </c>
      <c r="I161" s="19" t="s">
        <v>30</v>
      </c>
      <c r="J161" s="19" t="s">
        <v>30</v>
      </c>
      <c r="K161" s="19" t="s">
        <v>30</v>
      </c>
      <c r="L161" s="35">
        <v>45293</v>
      </c>
      <c r="M161" s="20">
        <f t="shared" si="275"/>
        <v>46023</v>
      </c>
      <c r="N161" s="21">
        <f t="shared" ca="1" si="258"/>
        <v>-198.50055983796483</v>
      </c>
      <c r="O161" s="22" t="str">
        <f t="shared" ca="1" si="276"/>
        <v>NO CUMPLE</v>
      </c>
      <c r="P161" s="35">
        <v>45325</v>
      </c>
      <c r="Q161" s="20">
        <f t="shared" si="281"/>
        <v>46055</v>
      </c>
      <c r="R161" s="21">
        <f t="shared" ca="1" si="259"/>
        <v>-166.50055983796483</v>
      </c>
      <c r="S161" s="22" t="str">
        <f t="shared" ca="1" si="277"/>
        <v>NO CUMPLE</v>
      </c>
      <c r="T161" s="35">
        <v>45295</v>
      </c>
      <c r="U161" s="20">
        <f t="shared" si="282"/>
        <v>46025</v>
      </c>
      <c r="V161" s="21">
        <f t="shared" ca="1" si="260"/>
        <v>-196.50055983796483</v>
      </c>
      <c r="W161" s="22" t="str">
        <f t="shared" ca="1" si="278"/>
        <v>NO CUMPLE</v>
      </c>
      <c r="X161" s="23">
        <v>4</v>
      </c>
      <c r="Y161" s="23">
        <v>3</v>
      </c>
      <c r="Z161" s="23">
        <f t="shared" si="261"/>
        <v>4</v>
      </c>
      <c r="AA161" s="23">
        <f t="shared" ca="1" si="262"/>
        <v>0</v>
      </c>
      <c r="AB161" s="24">
        <f t="shared" ref="AB161:AC161" si="284">Z161/X161</f>
        <v>1</v>
      </c>
      <c r="AC161" s="24">
        <f t="shared" ca="1" si="284"/>
        <v>0</v>
      </c>
      <c r="AD161" s="25">
        <f t="shared" ca="1" si="280"/>
        <v>0.5714285714285714</v>
      </c>
      <c r="AE161" s="23"/>
      <c r="AF161" s="23"/>
      <c r="AG161" s="23"/>
      <c r="AH161" s="23"/>
    </row>
    <row r="162" spans="1:34" ht="14.4" x14ac:dyDescent="0.3">
      <c r="A162" s="26"/>
      <c r="B162" s="27"/>
      <c r="C162" s="18" t="str">
        <f>LOOKUP(F162,BD!C:C,BD!A:A)</f>
        <v>DANIEL</v>
      </c>
      <c r="D162" s="18" t="str">
        <f>LOOKUP(F162,BD!C:C,BD!B:B)</f>
        <v>HINCAPIE LOPEZ</v>
      </c>
      <c r="E162" s="18">
        <v>3122236068</v>
      </c>
      <c r="F162" s="18">
        <v>1007040914</v>
      </c>
      <c r="G162" s="18">
        <f>LOOKUP(F162,BD!C:C,BD!D:D)</f>
        <v>24060427510</v>
      </c>
      <c r="H162" s="19" t="s">
        <v>30</v>
      </c>
      <c r="I162" s="19" t="s">
        <v>30</v>
      </c>
      <c r="J162" s="19" t="s">
        <v>30</v>
      </c>
      <c r="K162" s="19" t="s">
        <v>30</v>
      </c>
      <c r="L162" s="20">
        <v>45443</v>
      </c>
      <c r="M162" s="20">
        <f t="shared" si="275"/>
        <v>46173</v>
      </c>
      <c r="N162" s="21">
        <f t="shared" ca="1" si="258"/>
        <v>-48.500559837964829</v>
      </c>
      <c r="O162" s="22" t="str">
        <f ca="1">IF(N162&lt;=1,"NO CUMPLE",IF(N162&gt;=2,"VIGENTE"))</f>
        <v>NO CUMPLE</v>
      </c>
      <c r="P162" s="20">
        <v>45612</v>
      </c>
      <c r="Q162" s="20">
        <f t="shared" si="281"/>
        <v>46342</v>
      </c>
      <c r="R162" s="21">
        <f t="shared" ca="1" si="259"/>
        <v>120.49944016203517</v>
      </c>
      <c r="S162" s="22" t="str">
        <f ca="1">IF(R162&lt;=1,"NO CUMPLE",IF(R162&gt;=2,"VIGENTE"))</f>
        <v>VIGENTE</v>
      </c>
      <c r="T162" s="20">
        <v>45612</v>
      </c>
      <c r="U162" s="20">
        <f t="shared" si="282"/>
        <v>46342</v>
      </c>
      <c r="V162" s="21">
        <f t="shared" ca="1" si="260"/>
        <v>120.49944016203517</v>
      </c>
      <c r="W162" s="22" t="str">
        <f ca="1">IF(V162&lt;=1,"NO CUMPLE",IF(V162&gt;=2,"VIGENTE"))</f>
        <v>VIGENTE</v>
      </c>
      <c r="X162" s="23">
        <v>4</v>
      </c>
      <c r="Y162" s="23">
        <v>3</v>
      </c>
      <c r="Z162" s="23">
        <f t="shared" si="261"/>
        <v>4</v>
      </c>
      <c r="AA162" s="23">
        <f t="shared" ca="1" si="262"/>
        <v>2</v>
      </c>
      <c r="AB162" s="24">
        <f t="shared" ref="AB162:AC162" si="285">Z162/X162</f>
        <v>1</v>
      </c>
      <c r="AC162" s="24">
        <f t="shared" ca="1" si="285"/>
        <v>0.66666666666666663</v>
      </c>
      <c r="AD162" s="25">
        <f t="shared" ca="1" si="280"/>
        <v>0.8571428571428571</v>
      </c>
      <c r="AE162" s="23"/>
      <c r="AF162" s="23"/>
      <c r="AG162" s="23"/>
      <c r="AH162" s="23"/>
    </row>
    <row r="163" spans="1:34" ht="14.4" x14ac:dyDescent="0.3">
      <c r="A163" s="30"/>
      <c r="B163" s="17"/>
      <c r="C163" s="18" t="str">
        <f>LOOKUP(F163,BD!C:C,BD!A:A)</f>
        <v>DARLIN YOMARA</v>
      </c>
      <c r="D163" s="18" t="str">
        <f>LOOKUP(F163,BD!C:C,BD!B:B)</f>
        <v>MARTINEZ GIRALDO</v>
      </c>
      <c r="E163" s="18">
        <v>3017643269</v>
      </c>
      <c r="F163" s="18">
        <v>1152710976</v>
      </c>
      <c r="G163" s="18">
        <f>LOOKUP(F163,BD!C:C,BD!D:D)</f>
        <v>5562516</v>
      </c>
      <c r="H163" s="19" t="s">
        <v>30</v>
      </c>
      <c r="I163" s="19" t="s">
        <v>30</v>
      </c>
      <c r="J163" s="19" t="s">
        <v>30</v>
      </c>
      <c r="K163" s="19" t="s">
        <v>30</v>
      </c>
      <c r="L163" s="20">
        <v>45866</v>
      </c>
      <c r="M163" s="20">
        <f t="shared" si="275"/>
        <v>46596</v>
      </c>
      <c r="N163" s="21">
        <f t="shared" ca="1" si="258"/>
        <v>374.49944016203517</v>
      </c>
      <c r="O163" s="22" t="str">
        <f t="shared" ref="O163:O167" ca="1" si="286">IF(N163&lt;=16,"NO CUMPLE",IF(N163&gt;=16,"VIGENTE"))</f>
        <v>VIGENTE</v>
      </c>
      <c r="P163" s="20">
        <v>45813</v>
      </c>
      <c r="Q163" s="20">
        <f t="shared" si="281"/>
        <v>46543</v>
      </c>
      <c r="R163" s="21">
        <f t="shared" ca="1" si="259"/>
        <v>321.49944016203517</v>
      </c>
      <c r="S163" s="22" t="str">
        <f t="shared" ref="S163:S167" ca="1" si="287">IF(R163&lt;=16,"NO CUMPLE",IF(R163&gt;=16,"VIGENTE"))</f>
        <v>VIGENTE</v>
      </c>
      <c r="T163" s="35">
        <v>45243</v>
      </c>
      <c r="U163" s="20">
        <f t="shared" si="282"/>
        <v>45973</v>
      </c>
      <c r="V163" s="21">
        <f t="shared" ca="1" si="260"/>
        <v>-248.50055983796483</v>
      </c>
      <c r="W163" s="22" t="str">
        <f t="shared" ref="W163:W167" ca="1" si="288">IF(V163&lt;=16,"NO CUMPLE",IF(V163&gt;=16,"VIGENTE"))</f>
        <v>NO CUMPLE</v>
      </c>
      <c r="X163" s="23">
        <v>4</v>
      </c>
      <c r="Y163" s="23">
        <v>3</v>
      </c>
      <c r="Z163" s="23">
        <f t="shared" si="261"/>
        <v>4</v>
      </c>
      <c r="AA163" s="23">
        <f t="shared" ca="1" si="262"/>
        <v>2</v>
      </c>
      <c r="AB163" s="24">
        <f t="shared" ref="AB163:AC163" si="289">Z163/X163</f>
        <v>1</v>
      </c>
      <c r="AC163" s="24">
        <f t="shared" ca="1" si="289"/>
        <v>0.66666666666666663</v>
      </c>
      <c r="AD163" s="25">
        <f t="shared" ca="1" si="280"/>
        <v>0.8571428571428571</v>
      </c>
      <c r="AE163" s="23"/>
      <c r="AF163" s="23"/>
      <c r="AG163" s="23"/>
      <c r="AH163" s="23"/>
    </row>
    <row r="164" spans="1:34" ht="14.4" x14ac:dyDescent="0.3">
      <c r="A164" s="29"/>
      <c r="B164" s="34"/>
      <c r="C164" s="18" t="str">
        <f>LOOKUP(F164,BD!C:C,BD!A:A)</f>
        <v>DAVID STIVEN</v>
      </c>
      <c r="D164" s="18" t="str">
        <f>LOOKUP(F164,BD!C:C,BD!B:B)</f>
        <v>APONTE TOLEDO</v>
      </c>
      <c r="E164" s="18">
        <v>3128747518</v>
      </c>
      <c r="F164" s="18">
        <v>1112786721</v>
      </c>
      <c r="G164" s="18">
        <f>LOOKUP(F164,BD!C:C,BD!D:D)</f>
        <v>5570322</v>
      </c>
      <c r="H164" s="19" t="s">
        <v>30</v>
      </c>
      <c r="I164" s="19" t="s">
        <v>30</v>
      </c>
      <c r="J164" s="19" t="s">
        <v>30</v>
      </c>
      <c r="K164" s="19" t="s">
        <v>30</v>
      </c>
      <c r="L164" s="35"/>
      <c r="M164" s="20">
        <f t="shared" si="275"/>
        <v>730</v>
      </c>
      <c r="N164" s="21">
        <f t="shared" ca="1" si="258"/>
        <v>-45491.500559837965</v>
      </c>
      <c r="O164" s="22" t="str">
        <f t="shared" ca="1" si="286"/>
        <v>NO CUMPLE</v>
      </c>
      <c r="P164" s="35"/>
      <c r="Q164" s="20">
        <f t="shared" si="281"/>
        <v>730</v>
      </c>
      <c r="R164" s="21">
        <f t="shared" ca="1" si="259"/>
        <v>-45491.500559837965</v>
      </c>
      <c r="S164" s="22" t="str">
        <f t="shared" ca="1" si="287"/>
        <v>NO CUMPLE</v>
      </c>
      <c r="T164" s="35"/>
      <c r="U164" s="20">
        <f t="shared" si="282"/>
        <v>730</v>
      </c>
      <c r="V164" s="21">
        <f t="shared" ca="1" si="260"/>
        <v>-45491.500559837965</v>
      </c>
      <c r="W164" s="22" t="str">
        <f t="shared" ca="1" si="288"/>
        <v>NO CUMPLE</v>
      </c>
      <c r="X164" s="23">
        <v>4</v>
      </c>
      <c r="Y164" s="23">
        <v>3</v>
      </c>
      <c r="Z164" s="23">
        <f t="shared" si="261"/>
        <v>4</v>
      </c>
      <c r="AA164" s="23">
        <f t="shared" ca="1" si="262"/>
        <v>0</v>
      </c>
      <c r="AB164" s="24">
        <f t="shared" ref="AB164:AC164" si="290">Z164/X164</f>
        <v>1</v>
      </c>
      <c r="AC164" s="24">
        <f t="shared" ca="1" si="290"/>
        <v>0</v>
      </c>
      <c r="AD164" s="25">
        <f t="shared" ca="1" si="280"/>
        <v>0.5714285714285714</v>
      </c>
      <c r="AE164" s="23"/>
      <c r="AF164" s="23"/>
      <c r="AG164" s="23"/>
      <c r="AH164" s="23"/>
    </row>
    <row r="165" spans="1:34" ht="14.4" x14ac:dyDescent="0.3">
      <c r="A165" s="26"/>
      <c r="B165" s="27"/>
      <c r="C165" s="32" t="str">
        <f>LOOKUP(F165,BD!C:C,BD!A:A)</f>
        <v>DAYELI</v>
      </c>
      <c r="D165" s="18" t="str">
        <f>LOOKUP(F165,BD!C:C,BD!B:B)</f>
        <v>PATERNINA MARTINEZ</v>
      </c>
      <c r="E165" s="18">
        <v>3245311184</v>
      </c>
      <c r="F165" s="18">
        <v>1045427964</v>
      </c>
      <c r="G165" s="18">
        <f>LOOKUP(F165,BD!C:C,BD!D:D)</f>
        <v>25060179529</v>
      </c>
      <c r="H165" s="19" t="s">
        <v>30</v>
      </c>
      <c r="I165" s="19" t="s">
        <v>30</v>
      </c>
      <c r="J165" s="19" t="s">
        <v>30</v>
      </c>
      <c r="K165" s="19" t="s">
        <v>30</v>
      </c>
      <c r="L165" s="35">
        <v>45372</v>
      </c>
      <c r="M165" s="20">
        <f t="shared" si="275"/>
        <v>46102</v>
      </c>
      <c r="N165" s="21">
        <f t="shared" ca="1" si="258"/>
        <v>-119.50055983796483</v>
      </c>
      <c r="O165" s="22" t="str">
        <f t="shared" ca="1" si="286"/>
        <v>NO CUMPLE</v>
      </c>
      <c r="P165" s="20">
        <v>45938</v>
      </c>
      <c r="Q165" s="20">
        <f t="shared" si="281"/>
        <v>46668</v>
      </c>
      <c r="R165" s="21">
        <f t="shared" ca="1" si="259"/>
        <v>446.49944016203517</v>
      </c>
      <c r="S165" s="22" t="str">
        <f t="shared" ca="1" si="287"/>
        <v>VIGENTE</v>
      </c>
      <c r="T165" s="20">
        <v>45938</v>
      </c>
      <c r="U165" s="20">
        <f t="shared" si="282"/>
        <v>46668</v>
      </c>
      <c r="V165" s="21">
        <f t="shared" ca="1" si="260"/>
        <v>446.49944016203517</v>
      </c>
      <c r="W165" s="22" t="str">
        <f t="shared" ca="1" si="288"/>
        <v>VIGENTE</v>
      </c>
      <c r="X165" s="23">
        <v>4</v>
      </c>
      <c r="Y165" s="23">
        <v>3</v>
      </c>
      <c r="Z165" s="23">
        <f t="shared" si="261"/>
        <v>4</v>
      </c>
      <c r="AA165" s="23">
        <f t="shared" ca="1" si="262"/>
        <v>2</v>
      </c>
      <c r="AB165" s="24">
        <f t="shared" ref="AB165:AC165" si="291">Z165/X165</f>
        <v>1</v>
      </c>
      <c r="AC165" s="24">
        <f t="shared" ca="1" si="291"/>
        <v>0.66666666666666663</v>
      </c>
      <c r="AD165" s="25">
        <f t="shared" ca="1" si="280"/>
        <v>0.8571428571428571</v>
      </c>
      <c r="AE165" s="23"/>
      <c r="AF165" s="23"/>
      <c r="AG165" s="23"/>
      <c r="AH165" s="23"/>
    </row>
    <row r="166" spans="1:34" ht="14.4" x14ac:dyDescent="0.3">
      <c r="A166" s="16"/>
      <c r="B166" s="34"/>
      <c r="C166" s="18" t="str">
        <f>LOOKUP(F166,BD!C:C,BD!A:A)</f>
        <v>ERIKA LILIANA</v>
      </c>
      <c r="D166" s="18" t="str">
        <f>LOOKUP(F166,BD!C:C,BD!B:B)</f>
        <v>CASAS TORO</v>
      </c>
      <c r="E166" s="18">
        <v>3193475041</v>
      </c>
      <c r="F166" s="18">
        <v>1037660776</v>
      </c>
      <c r="G166" s="18">
        <f>LOOKUP(F166,BD!C:C,BD!D:D)</f>
        <v>5259122</v>
      </c>
      <c r="H166" s="19" t="s">
        <v>30</v>
      </c>
      <c r="I166" s="19" t="s">
        <v>30</v>
      </c>
      <c r="J166" s="19" t="s">
        <v>30</v>
      </c>
      <c r="K166" s="32"/>
      <c r="L166" s="20">
        <v>45584</v>
      </c>
      <c r="M166" s="20">
        <f t="shared" si="275"/>
        <v>46314</v>
      </c>
      <c r="N166" s="21">
        <f t="shared" ca="1" si="258"/>
        <v>92.499440162035171</v>
      </c>
      <c r="O166" s="22" t="str">
        <f t="shared" ca="1" si="286"/>
        <v>VIGENTE</v>
      </c>
      <c r="P166" s="35"/>
      <c r="Q166" s="20">
        <f t="shared" si="281"/>
        <v>730</v>
      </c>
      <c r="R166" s="21">
        <f t="shared" ca="1" si="259"/>
        <v>-45491.500559837965</v>
      </c>
      <c r="S166" s="22" t="str">
        <f t="shared" ca="1" si="287"/>
        <v>NO CUMPLE</v>
      </c>
      <c r="T166" s="35"/>
      <c r="U166" s="20">
        <f t="shared" si="282"/>
        <v>730</v>
      </c>
      <c r="V166" s="21">
        <f t="shared" ca="1" si="260"/>
        <v>-45491.500559837965</v>
      </c>
      <c r="W166" s="22" t="str">
        <f t="shared" ca="1" si="288"/>
        <v>NO CUMPLE</v>
      </c>
      <c r="X166" s="23">
        <v>4</v>
      </c>
      <c r="Y166" s="23">
        <v>3</v>
      </c>
      <c r="Z166" s="23">
        <f t="shared" si="261"/>
        <v>3</v>
      </c>
      <c r="AA166" s="23">
        <f t="shared" ca="1" si="262"/>
        <v>1</v>
      </c>
      <c r="AB166" s="24">
        <f t="shared" ref="AB166:AC166" si="292">Z166/X166</f>
        <v>0.75</v>
      </c>
      <c r="AC166" s="24">
        <f t="shared" ca="1" si="292"/>
        <v>0.33333333333333331</v>
      </c>
      <c r="AD166" s="25">
        <f t="shared" ca="1" si="280"/>
        <v>0.5714285714285714</v>
      </c>
      <c r="AE166" s="23"/>
      <c r="AF166" s="23"/>
      <c r="AG166" s="23"/>
      <c r="AH166" s="23"/>
    </row>
    <row r="167" spans="1:34" ht="14.4" x14ac:dyDescent="0.3">
      <c r="A167" s="30"/>
      <c r="B167" s="17"/>
      <c r="C167" s="18" t="str">
        <f>LOOKUP(F167,BD!C:C,BD!A:A)</f>
        <v>ESTEFANIA</v>
      </c>
      <c r="D167" s="18" t="str">
        <f>LOOKUP(F167,BD!C:C,BD!B:B)</f>
        <v>AMAYA GIRON</v>
      </c>
      <c r="E167" s="18">
        <v>3108243143</v>
      </c>
      <c r="F167" s="18">
        <v>1001618302</v>
      </c>
      <c r="G167" s="18">
        <f>LOOKUP(F167,BD!C:C,BD!D:D)</f>
        <v>5026222</v>
      </c>
      <c r="H167" s="19" t="s">
        <v>30</v>
      </c>
      <c r="I167" s="19" t="s">
        <v>30</v>
      </c>
      <c r="J167" s="19" t="s">
        <v>30</v>
      </c>
      <c r="K167" s="19" t="s">
        <v>30</v>
      </c>
      <c r="L167" s="20">
        <v>45750</v>
      </c>
      <c r="M167" s="20">
        <f t="shared" si="275"/>
        <v>46480</v>
      </c>
      <c r="N167" s="21">
        <f t="shared" ca="1" si="258"/>
        <v>258.49944016203517</v>
      </c>
      <c r="O167" s="36" t="str">
        <f t="shared" ca="1" si="286"/>
        <v>VIGENTE</v>
      </c>
      <c r="P167" s="20">
        <v>45905</v>
      </c>
      <c r="Q167" s="20">
        <f t="shared" si="281"/>
        <v>46635</v>
      </c>
      <c r="R167" s="21">
        <f t="shared" ca="1" si="259"/>
        <v>413.49944016203517</v>
      </c>
      <c r="S167" s="36" t="str">
        <f t="shared" ca="1" si="287"/>
        <v>VIGENTE</v>
      </c>
      <c r="T167" s="20">
        <v>45905</v>
      </c>
      <c r="U167" s="20">
        <f t="shared" si="282"/>
        <v>46635</v>
      </c>
      <c r="V167" s="21">
        <f t="shared" ca="1" si="260"/>
        <v>413.49944016203517</v>
      </c>
      <c r="W167" s="36" t="str">
        <f t="shared" ca="1" si="288"/>
        <v>VIGENTE</v>
      </c>
      <c r="X167" s="23">
        <v>4</v>
      </c>
      <c r="Y167" s="23">
        <v>3</v>
      </c>
      <c r="Z167" s="23">
        <f t="shared" si="261"/>
        <v>4</v>
      </c>
      <c r="AA167" s="23">
        <f t="shared" ca="1" si="262"/>
        <v>3</v>
      </c>
      <c r="AB167" s="24">
        <f t="shared" ref="AB167:AC167" si="293">Z167/X167</f>
        <v>1</v>
      </c>
      <c r="AC167" s="24">
        <f t="shared" ca="1" si="293"/>
        <v>1</v>
      </c>
      <c r="AD167" s="25">
        <f t="shared" ca="1" si="280"/>
        <v>1</v>
      </c>
      <c r="AE167" s="23"/>
      <c r="AF167" s="23"/>
      <c r="AG167" s="23"/>
      <c r="AH167" s="23"/>
    </row>
    <row r="168" spans="1:34" ht="14.4" x14ac:dyDescent="0.3">
      <c r="A168" s="30"/>
      <c r="B168" s="37"/>
      <c r="C168" s="18" t="str">
        <f>LOOKUP(F168,BD!C:C,BD!A:A)</f>
        <v>GLORIA MILENA</v>
      </c>
      <c r="D168" s="18" t="str">
        <f>LOOKUP(F168,BD!C:C,BD!B:B)</f>
        <v>VALENCIA MARIN</v>
      </c>
      <c r="E168" s="18">
        <v>3005507267</v>
      </c>
      <c r="F168" s="18">
        <v>43169356</v>
      </c>
      <c r="G168" s="18">
        <f>LOOKUP(F168,BD!C:C,BD!D:D)</f>
        <v>5670611</v>
      </c>
      <c r="H168" s="19" t="s">
        <v>30</v>
      </c>
      <c r="I168" s="19" t="s">
        <v>30</v>
      </c>
      <c r="J168" s="19" t="s">
        <v>30</v>
      </c>
      <c r="K168" s="19" t="s">
        <v>30</v>
      </c>
      <c r="L168" s="20">
        <v>45644</v>
      </c>
      <c r="M168" s="20">
        <f t="shared" si="275"/>
        <v>46374</v>
      </c>
      <c r="N168" s="21">
        <f t="shared" ca="1" si="258"/>
        <v>152.49944016203517</v>
      </c>
      <c r="O168" s="22" t="str">
        <f ca="1">IF(N168&lt;=1,"NO CUMPLE",IF(N168&gt;=2,"VIGENTE"))</f>
        <v>VIGENTE</v>
      </c>
      <c r="P168" s="20">
        <v>45457</v>
      </c>
      <c r="Q168" s="20">
        <f t="shared" si="281"/>
        <v>46187</v>
      </c>
      <c r="R168" s="21">
        <f t="shared" ca="1" si="259"/>
        <v>-34.500559837964829</v>
      </c>
      <c r="S168" s="22" t="str">
        <f ca="1">IF(R168&lt;=1,"NO CUMPLE",IF(R168&gt;=2,"VIGENTE"))</f>
        <v>NO CUMPLE</v>
      </c>
      <c r="T168" s="20">
        <v>45791</v>
      </c>
      <c r="U168" s="20">
        <f>T168+365</f>
        <v>46156</v>
      </c>
      <c r="V168" s="21">
        <f t="shared" ca="1" si="260"/>
        <v>-65.500559837964829</v>
      </c>
      <c r="W168" s="22" t="str">
        <f ca="1">IF(V168&lt;=1,"NO CUMPLE",IF(V168&gt;=2,"VIGENTE"))</f>
        <v>NO CUMPLE</v>
      </c>
      <c r="X168" s="23">
        <v>4</v>
      </c>
      <c r="Y168" s="23">
        <v>3</v>
      </c>
      <c r="Z168" s="23">
        <f t="shared" si="261"/>
        <v>4</v>
      </c>
      <c r="AA168" s="23">
        <f t="shared" ca="1" si="262"/>
        <v>1</v>
      </c>
      <c r="AB168" s="24">
        <f t="shared" ref="AB168:AC168" si="294">Z168/X168</f>
        <v>1</v>
      </c>
      <c r="AC168" s="24">
        <f t="shared" ca="1" si="294"/>
        <v>0.33333333333333331</v>
      </c>
      <c r="AD168" s="25">
        <f t="shared" ca="1" si="280"/>
        <v>0.7142857142857143</v>
      </c>
      <c r="AE168" s="23"/>
      <c r="AF168" s="23"/>
      <c r="AG168" s="23"/>
      <c r="AH168" s="23"/>
    </row>
    <row r="169" spans="1:34" ht="14.4" x14ac:dyDescent="0.3">
      <c r="A169" s="16"/>
      <c r="B169" s="17"/>
      <c r="C169" s="18" t="str">
        <f>LOOKUP(F169,BD!C:C,BD!A:A)</f>
        <v>ISABELLA</v>
      </c>
      <c r="D169" s="18" t="str">
        <f>LOOKUP(F169,BD!C:C,BD!B:B)</f>
        <v>VARGAS CASTAÑEDA</v>
      </c>
      <c r="E169" s="18">
        <v>3193996230</v>
      </c>
      <c r="F169" s="18">
        <v>1025640578</v>
      </c>
      <c r="G169" s="18">
        <f>LOOKUP(F169,BD!C:C,BD!D:D)</f>
        <v>25060174416</v>
      </c>
      <c r="H169" s="19" t="s">
        <v>30</v>
      </c>
      <c r="I169" s="19" t="s">
        <v>30</v>
      </c>
      <c r="J169" s="19" t="s">
        <v>30</v>
      </c>
      <c r="K169" s="19" t="s">
        <v>30</v>
      </c>
      <c r="L169" s="20">
        <v>45657</v>
      </c>
      <c r="M169" s="20">
        <f t="shared" si="275"/>
        <v>46387</v>
      </c>
      <c r="N169" s="21">
        <f t="shared" ca="1" si="258"/>
        <v>165.49944016203517</v>
      </c>
      <c r="O169" s="22" t="str">
        <f t="shared" ref="O169:O172" ca="1" si="295">IF(N169&lt;=16,"NO CUMPLE",IF(N169&gt;=16,"VIGENTE"))</f>
        <v>VIGENTE</v>
      </c>
      <c r="P169" s="20">
        <v>45671</v>
      </c>
      <c r="Q169" s="20">
        <f t="shared" si="281"/>
        <v>46401</v>
      </c>
      <c r="R169" s="21">
        <f t="shared" ca="1" si="259"/>
        <v>179.49944016203517</v>
      </c>
      <c r="S169" s="22" t="str">
        <f t="shared" ref="S169:S172" ca="1" si="296">IF(R169&lt;=16,"NO CUMPLE",IF(R169&gt;=16,"VIGENTE"))</f>
        <v>VIGENTE</v>
      </c>
      <c r="T169" s="20">
        <v>45671</v>
      </c>
      <c r="U169" s="20">
        <f t="shared" ref="U169:U172" si="297">T169+730</f>
        <v>46401</v>
      </c>
      <c r="V169" s="21">
        <f t="shared" ca="1" si="260"/>
        <v>179.49944016203517</v>
      </c>
      <c r="W169" s="22" t="str">
        <f t="shared" ref="W169:W172" ca="1" si="298">IF(V169&lt;=16,"NO CUMPLE",IF(V169&gt;=16,"VIGENTE"))</f>
        <v>VIGENTE</v>
      </c>
      <c r="X169" s="23">
        <v>4</v>
      </c>
      <c r="Y169" s="23">
        <v>3</v>
      </c>
      <c r="Z169" s="23">
        <f t="shared" si="261"/>
        <v>4</v>
      </c>
      <c r="AA169" s="23">
        <f t="shared" ca="1" si="262"/>
        <v>3</v>
      </c>
      <c r="AB169" s="24">
        <f t="shared" ref="AB169:AC169" si="299">Z169/X169</f>
        <v>1</v>
      </c>
      <c r="AC169" s="24">
        <f t="shared" ca="1" si="299"/>
        <v>1</v>
      </c>
      <c r="AD169" s="25">
        <f t="shared" ca="1" si="280"/>
        <v>1</v>
      </c>
      <c r="AE169" s="23"/>
      <c r="AF169" s="23"/>
      <c r="AG169" s="23"/>
      <c r="AH169" s="23"/>
    </row>
    <row r="170" spans="1:34" ht="14.4" x14ac:dyDescent="0.3">
      <c r="A170" s="16"/>
      <c r="B170" s="34"/>
      <c r="C170" s="18" t="str">
        <f>LOOKUP(F170,BD!C:C,BD!A:A)</f>
        <v>IVAN DANILO</v>
      </c>
      <c r="D170" s="18" t="str">
        <f>LOOKUP(F170,BD!C:C,BD!B:B)</f>
        <v>ALPALA ALPALA</v>
      </c>
      <c r="E170" s="18">
        <v>3245890798</v>
      </c>
      <c r="F170" s="18">
        <v>1088591916</v>
      </c>
      <c r="G170" s="18">
        <f>LOOKUP(F170,BD!C:C,BD!D:D)</f>
        <v>5696615</v>
      </c>
      <c r="H170" s="19" t="s">
        <v>30</v>
      </c>
      <c r="I170" s="19" t="s">
        <v>30</v>
      </c>
      <c r="J170" s="19" t="s">
        <v>30</v>
      </c>
      <c r="K170" s="19" t="s">
        <v>30</v>
      </c>
      <c r="L170" s="20">
        <v>45939</v>
      </c>
      <c r="M170" s="20">
        <f t="shared" si="275"/>
        <v>46669</v>
      </c>
      <c r="N170" s="21">
        <f t="shared" ca="1" si="258"/>
        <v>447.49944016203517</v>
      </c>
      <c r="O170" s="22" t="str">
        <f t="shared" ca="1" si="295"/>
        <v>VIGENTE</v>
      </c>
      <c r="P170" s="20">
        <v>45955</v>
      </c>
      <c r="Q170" s="20">
        <f t="shared" si="281"/>
        <v>46685</v>
      </c>
      <c r="R170" s="21">
        <f t="shared" ca="1" si="259"/>
        <v>463.49944016203517</v>
      </c>
      <c r="S170" s="22" t="str">
        <f t="shared" ca="1" si="296"/>
        <v>VIGENTE</v>
      </c>
      <c r="T170" s="20">
        <v>45955</v>
      </c>
      <c r="U170" s="20">
        <f t="shared" si="297"/>
        <v>46685</v>
      </c>
      <c r="V170" s="21">
        <f t="shared" ca="1" si="260"/>
        <v>463.49944016203517</v>
      </c>
      <c r="W170" s="22" t="str">
        <f t="shared" ca="1" si="298"/>
        <v>VIGENTE</v>
      </c>
      <c r="X170" s="23">
        <v>4</v>
      </c>
      <c r="Y170" s="23">
        <v>3</v>
      </c>
      <c r="Z170" s="23">
        <f t="shared" si="261"/>
        <v>4</v>
      </c>
      <c r="AA170" s="23">
        <f t="shared" ca="1" si="262"/>
        <v>3</v>
      </c>
      <c r="AB170" s="24">
        <f t="shared" ref="AB170:AC170" si="300">Z170/X170</f>
        <v>1</v>
      </c>
      <c r="AC170" s="24">
        <f t="shared" ca="1" si="300"/>
        <v>1</v>
      </c>
      <c r="AD170" s="25">
        <f t="shared" ca="1" si="280"/>
        <v>1</v>
      </c>
      <c r="AE170" s="23"/>
      <c r="AF170" s="23"/>
      <c r="AG170" s="23"/>
      <c r="AH170" s="23"/>
    </row>
    <row r="171" spans="1:34" ht="14.4" x14ac:dyDescent="0.3">
      <c r="A171" s="30"/>
      <c r="B171" s="17"/>
      <c r="C171" s="18" t="str">
        <f>LOOKUP(F171,BD!C:C,BD!A:A)</f>
        <v>JEFERSON</v>
      </c>
      <c r="D171" s="18" t="str">
        <f>LOOKUP(F171,BD!C:C,BD!B:B)</f>
        <v>GUTIERREZ GUTIERREZ</v>
      </c>
      <c r="E171" s="18">
        <v>3117776631</v>
      </c>
      <c r="F171" s="18">
        <v>1152451864</v>
      </c>
      <c r="G171" s="18">
        <f>LOOKUP(F171,BD!C:C,BD!D:D)</f>
        <v>24060019534</v>
      </c>
      <c r="H171" s="19" t="s">
        <v>30</v>
      </c>
      <c r="I171" s="19" t="s">
        <v>30</v>
      </c>
      <c r="J171" s="19" t="s">
        <v>30</v>
      </c>
      <c r="K171" s="19" t="s">
        <v>30</v>
      </c>
      <c r="L171" s="20">
        <v>45372</v>
      </c>
      <c r="M171" s="20">
        <f t="shared" si="275"/>
        <v>46102</v>
      </c>
      <c r="N171" s="21">
        <f t="shared" ca="1" si="258"/>
        <v>-119.50055983796483</v>
      </c>
      <c r="O171" s="22" t="str">
        <f t="shared" ca="1" si="295"/>
        <v>NO CUMPLE</v>
      </c>
      <c r="P171" s="35">
        <v>45253</v>
      </c>
      <c r="Q171" s="20">
        <f t="shared" si="281"/>
        <v>45983</v>
      </c>
      <c r="R171" s="21">
        <f t="shared" ca="1" si="259"/>
        <v>-238.50055983796483</v>
      </c>
      <c r="S171" s="22" t="str">
        <f t="shared" ca="1" si="296"/>
        <v>NO CUMPLE</v>
      </c>
      <c r="T171" s="35">
        <v>45253</v>
      </c>
      <c r="U171" s="20">
        <f t="shared" si="297"/>
        <v>45983</v>
      </c>
      <c r="V171" s="21">
        <f t="shared" ca="1" si="260"/>
        <v>-238.50055983796483</v>
      </c>
      <c r="W171" s="22" t="str">
        <f t="shared" ca="1" si="298"/>
        <v>NO CUMPLE</v>
      </c>
      <c r="X171" s="23">
        <v>4</v>
      </c>
      <c r="Y171" s="23">
        <v>3</v>
      </c>
      <c r="Z171" s="23">
        <f t="shared" si="261"/>
        <v>4</v>
      </c>
      <c r="AA171" s="23">
        <f t="shared" ca="1" si="262"/>
        <v>0</v>
      </c>
      <c r="AB171" s="24">
        <f t="shared" ref="AB171:AC171" si="301">Z171/X171</f>
        <v>1</v>
      </c>
      <c r="AC171" s="24">
        <f t="shared" ca="1" si="301"/>
        <v>0</v>
      </c>
      <c r="AD171" s="25">
        <f t="shared" ca="1" si="280"/>
        <v>0.5714285714285714</v>
      </c>
      <c r="AE171" s="23"/>
      <c r="AF171" s="23"/>
      <c r="AG171" s="23"/>
      <c r="AH171" s="23"/>
    </row>
    <row r="172" spans="1:34" ht="14.4" x14ac:dyDescent="0.3">
      <c r="A172" s="30"/>
      <c r="B172" s="27"/>
      <c r="C172" s="18" t="str">
        <f>LOOKUP(F172,BD!C:C,BD!A:A)</f>
        <v>JESSY JULIETH</v>
      </c>
      <c r="D172" s="18" t="str">
        <f>LOOKUP(F172,BD!C:C,BD!B:B)</f>
        <v>VILLAREAL PONCE</v>
      </c>
      <c r="E172" s="18">
        <v>3004364881</v>
      </c>
      <c r="F172" s="18">
        <v>1101385998</v>
      </c>
      <c r="G172" s="18">
        <f>LOOKUP(F172,BD!C:C,BD!D:D)</f>
        <v>5227214</v>
      </c>
      <c r="H172" s="19" t="s">
        <v>30</v>
      </c>
      <c r="I172" s="19" t="s">
        <v>30</v>
      </c>
      <c r="J172" s="19" t="s">
        <v>30</v>
      </c>
      <c r="K172" s="19" t="s">
        <v>30</v>
      </c>
      <c r="L172" s="35">
        <v>45406</v>
      </c>
      <c r="M172" s="20">
        <f t="shared" si="275"/>
        <v>46136</v>
      </c>
      <c r="N172" s="21">
        <f t="shared" ca="1" si="258"/>
        <v>-85.500559837964829</v>
      </c>
      <c r="O172" s="22" t="str">
        <f t="shared" ca="1" si="295"/>
        <v>NO CUMPLE</v>
      </c>
      <c r="P172" s="35">
        <v>45403</v>
      </c>
      <c r="Q172" s="20">
        <f t="shared" si="281"/>
        <v>46133</v>
      </c>
      <c r="R172" s="21">
        <f t="shared" ca="1" si="259"/>
        <v>-88.500559837964829</v>
      </c>
      <c r="S172" s="22" t="str">
        <f t="shared" ca="1" si="296"/>
        <v>NO CUMPLE</v>
      </c>
      <c r="T172" s="20">
        <v>45532</v>
      </c>
      <c r="U172" s="20">
        <f t="shared" si="297"/>
        <v>46262</v>
      </c>
      <c r="V172" s="21">
        <f t="shared" ca="1" si="260"/>
        <v>40.499440162035171</v>
      </c>
      <c r="W172" s="22" t="str">
        <f t="shared" ca="1" si="298"/>
        <v>VIGENTE</v>
      </c>
      <c r="X172" s="23">
        <v>4</v>
      </c>
      <c r="Y172" s="23">
        <v>3</v>
      </c>
      <c r="Z172" s="23">
        <f t="shared" si="261"/>
        <v>4</v>
      </c>
      <c r="AA172" s="23">
        <f t="shared" ca="1" si="262"/>
        <v>1</v>
      </c>
      <c r="AB172" s="24">
        <f t="shared" ref="AB172:AC172" si="302">Z172/X172</f>
        <v>1</v>
      </c>
      <c r="AC172" s="24">
        <f t="shared" ca="1" si="302"/>
        <v>0.33333333333333331</v>
      </c>
      <c r="AD172" s="25">
        <f t="shared" ca="1" si="280"/>
        <v>0.7142857142857143</v>
      </c>
      <c r="AE172" s="23"/>
      <c r="AF172" s="23"/>
      <c r="AG172" s="23"/>
      <c r="AH172" s="23"/>
    </row>
    <row r="173" spans="1:34" ht="14.4" x14ac:dyDescent="0.3">
      <c r="A173" s="29"/>
      <c r="B173" s="27"/>
      <c r="C173" s="32" t="str">
        <f>LOOKUP(F173,BD!C:C,BD!A:A)</f>
        <v>JOSE DAVID</v>
      </c>
      <c r="D173" s="18" t="str">
        <f>LOOKUP(F173,BD!C:C,BD!B:B)</f>
        <v>PALACIOS GARCIA</v>
      </c>
      <c r="E173" s="18">
        <v>3244001553</v>
      </c>
      <c r="F173" s="18">
        <v>1023623791</v>
      </c>
      <c r="G173" s="18">
        <f>LOOKUP(F173,BD!C:C,BD!D:D)</f>
        <v>5787422</v>
      </c>
      <c r="H173" s="19" t="s">
        <v>30</v>
      </c>
      <c r="I173" s="19" t="s">
        <v>30</v>
      </c>
      <c r="J173" s="19" t="s">
        <v>30</v>
      </c>
      <c r="K173" s="19" t="s">
        <v>30</v>
      </c>
      <c r="L173" s="20">
        <v>45672</v>
      </c>
      <c r="M173" s="20">
        <f>L173+365</f>
        <v>46037</v>
      </c>
      <c r="N173" s="21">
        <f t="shared" ca="1" si="258"/>
        <v>-184.50055983796483</v>
      </c>
      <c r="O173" s="22" t="str">
        <f ca="1">IF(N173&lt;=1,"NO CUMPLE",IF(N173&gt;=2,"VIGENTE"))</f>
        <v>NO CUMPLE</v>
      </c>
      <c r="P173" s="20">
        <v>45672</v>
      </c>
      <c r="Q173" s="20">
        <f>P173+365</f>
        <v>46037</v>
      </c>
      <c r="R173" s="21">
        <f t="shared" ca="1" si="259"/>
        <v>-184.50055983796483</v>
      </c>
      <c r="S173" s="22" t="str">
        <f ca="1">IF(R173&lt;=1,"NO CUMPLE",IF(R173&gt;=2,"VIGENTE"))</f>
        <v>NO CUMPLE</v>
      </c>
      <c r="T173" s="20">
        <v>45672</v>
      </c>
      <c r="U173" s="20">
        <f>T173+365</f>
        <v>46037</v>
      </c>
      <c r="V173" s="21">
        <f t="shared" ca="1" si="260"/>
        <v>-184.50055983796483</v>
      </c>
      <c r="W173" s="22" t="str">
        <f ca="1">IF(V173&lt;=1,"NO CUMPLE",IF(V173&gt;=2,"VIGENTE"))</f>
        <v>NO CUMPLE</v>
      </c>
      <c r="X173" s="23">
        <v>4</v>
      </c>
      <c r="Y173" s="23">
        <v>3</v>
      </c>
      <c r="Z173" s="23">
        <f t="shared" si="261"/>
        <v>4</v>
      </c>
      <c r="AA173" s="23">
        <f t="shared" ca="1" si="262"/>
        <v>0</v>
      </c>
      <c r="AB173" s="24">
        <f t="shared" ref="AB173:AC173" si="303">Z173/X173</f>
        <v>1</v>
      </c>
      <c r="AC173" s="24">
        <f t="shared" ca="1" si="303"/>
        <v>0</v>
      </c>
      <c r="AD173" s="25">
        <f t="shared" ca="1" si="280"/>
        <v>0.5714285714285714</v>
      </c>
      <c r="AE173" s="23"/>
      <c r="AF173" s="23"/>
      <c r="AG173" s="23"/>
      <c r="AH173" s="23"/>
    </row>
    <row r="174" spans="1:34" ht="14.4" x14ac:dyDescent="0.3">
      <c r="A174" s="29"/>
      <c r="B174" s="34"/>
      <c r="C174" s="18" t="str">
        <f>LOOKUP(F174,BD!C:C,BD!A:A)</f>
        <v>JOSE REINEL</v>
      </c>
      <c r="D174" s="18" t="str">
        <f>LOOKUP(F174,BD!C:C,BD!B:B)</f>
        <v>PEÑA PALOMARES</v>
      </c>
      <c r="E174" s="18">
        <v>3187788856</v>
      </c>
      <c r="F174" s="18">
        <v>1110529239</v>
      </c>
      <c r="G174" s="18">
        <f>LOOKUP(F174,BD!C:C,BD!D:D)</f>
        <v>5031920</v>
      </c>
      <c r="H174" s="19" t="s">
        <v>30</v>
      </c>
      <c r="I174" s="19" t="s">
        <v>30</v>
      </c>
      <c r="J174" s="19" t="s">
        <v>30</v>
      </c>
      <c r="K174" s="19" t="s">
        <v>30</v>
      </c>
      <c r="L174" s="20">
        <v>45936</v>
      </c>
      <c r="M174" s="20">
        <f>L174+730</f>
        <v>46666</v>
      </c>
      <c r="N174" s="21">
        <f t="shared" ca="1" si="258"/>
        <v>444.49944016203517</v>
      </c>
      <c r="O174" s="22" t="str">
        <f ca="1">IF(N174&lt;=16,"NO CUMPLE",IF(N174&gt;=16,"VIGENTE"))</f>
        <v>VIGENTE</v>
      </c>
      <c r="P174" s="20">
        <v>45936</v>
      </c>
      <c r="Q174" s="20">
        <f>P174+730</f>
        <v>46666</v>
      </c>
      <c r="R174" s="21">
        <f t="shared" ca="1" si="259"/>
        <v>444.49944016203517</v>
      </c>
      <c r="S174" s="22" t="str">
        <f ca="1">IF(R174&lt;=16,"NO CUMPLE",IF(R174&gt;=16,"VIGENTE"))</f>
        <v>VIGENTE</v>
      </c>
      <c r="T174" s="20">
        <v>45936</v>
      </c>
      <c r="U174" s="20">
        <f>T174+730</f>
        <v>46666</v>
      </c>
      <c r="V174" s="21">
        <f t="shared" ca="1" si="260"/>
        <v>444.49944016203517</v>
      </c>
      <c r="W174" s="22" t="str">
        <f ca="1">IF(V174&lt;=16,"NO CUMPLE",IF(V174&gt;=16,"VIGENTE"))</f>
        <v>VIGENTE</v>
      </c>
      <c r="X174" s="23">
        <v>4</v>
      </c>
      <c r="Y174" s="23">
        <v>3</v>
      </c>
      <c r="Z174" s="23">
        <f t="shared" si="261"/>
        <v>4</v>
      </c>
      <c r="AA174" s="23">
        <f t="shared" ca="1" si="262"/>
        <v>3</v>
      </c>
      <c r="AB174" s="24">
        <f t="shared" ref="AB174:AC174" si="304">Z174/X174</f>
        <v>1</v>
      </c>
      <c r="AC174" s="24">
        <f t="shared" ca="1" si="304"/>
        <v>1</v>
      </c>
      <c r="AD174" s="25">
        <f t="shared" ca="1" si="280"/>
        <v>1</v>
      </c>
      <c r="AE174" s="23"/>
      <c r="AF174" s="23"/>
      <c r="AG174" s="23"/>
      <c r="AH174" s="23"/>
    </row>
    <row r="175" spans="1:34" ht="14.4" x14ac:dyDescent="0.3">
      <c r="A175" s="29"/>
      <c r="B175" s="34"/>
      <c r="C175" s="18" t="str">
        <f>LOOKUP(F175,BD!C:C,BD!A:A)</f>
        <v>JUAN DANIEL</v>
      </c>
      <c r="D175" s="18" t="str">
        <f>LOOKUP(F175,BD!C:C,BD!B:B)</f>
        <v>ARENAS MAZO</v>
      </c>
      <c r="E175" s="32">
        <v>3234872195</v>
      </c>
      <c r="F175" s="18">
        <v>1000207603</v>
      </c>
      <c r="G175" s="18">
        <f>LOOKUP(F175,BD!C:C,BD!D:D)</f>
        <v>5230721</v>
      </c>
      <c r="H175" s="19" t="s">
        <v>30</v>
      </c>
      <c r="I175" s="19" t="s">
        <v>30</v>
      </c>
      <c r="J175" s="19" t="s">
        <v>30</v>
      </c>
      <c r="K175" s="19" t="s">
        <v>30</v>
      </c>
      <c r="L175" s="28">
        <v>45503</v>
      </c>
      <c r="M175" s="20">
        <f>L175+730</f>
        <v>46233</v>
      </c>
      <c r="N175" s="21">
        <f t="shared" ca="1" si="258"/>
        <v>11.499440162035171</v>
      </c>
      <c r="O175" s="22" t="str">
        <f ca="1">IF(N175&lt;=16,"NO CUMPLE",IF(N175&gt;=16,"VIGENTE"))</f>
        <v>NO CUMPLE</v>
      </c>
      <c r="P175" s="28">
        <v>45503</v>
      </c>
      <c r="Q175" s="20">
        <f>P175+365</f>
        <v>45868</v>
      </c>
      <c r="R175" s="21">
        <f t="shared" ca="1" si="259"/>
        <v>-353.50055983796483</v>
      </c>
      <c r="S175" s="22" t="str">
        <f ca="1">IF(R175&lt;=16,"NO CUMPLE",IF(R175&gt;=16,"VIGENTE"))</f>
        <v>NO CUMPLE</v>
      </c>
      <c r="T175" s="28">
        <v>45503</v>
      </c>
      <c r="U175" s="20">
        <f>T175+365</f>
        <v>45868</v>
      </c>
      <c r="V175" s="21">
        <f t="shared" ca="1" si="260"/>
        <v>-353.50055983796483</v>
      </c>
      <c r="W175" s="22" t="str">
        <f ca="1">IF(V175&lt;=16,"NO CUMPLE",IF(V175&gt;=16,"VIGENTE"))</f>
        <v>NO CUMPLE</v>
      </c>
      <c r="X175" s="23">
        <v>4</v>
      </c>
      <c r="Y175" s="23">
        <v>3</v>
      </c>
      <c r="Z175" s="23">
        <f t="shared" si="261"/>
        <v>4</v>
      </c>
      <c r="AA175" s="23">
        <f t="shared" ca="1" si="262"/>
        <v>0</v>
      </c>
      <c r="AB175" s="24">
        <f t="shared" ref="AB175:AC175" si="305">Z175/X175</f>
        <v>1</v>
      </c>
      <c r="AC175" s="24">
        <f t="shared" ca="1" si="305"/>
        <v>0</v>
      </c>
      <c r="AD175" s="25">
        <f ca="1">(Z175+AA175)/7</f>
        <v>0.5714285714285714</v>
      </c>
      <c r="AE175" s="23"/>
      <c r="AF175" s="23"/>
      <c r="AG175" s="23"/>
      <c r="AH175" s="23"/>
    </row>
    <row r="176" spans="1:34" ht="14.4" x14ac:dyDescent="0.3">
      <c r="A176" s="29"/>
      <c r="B176" s="34"/>
      <c r="C176" s="18" t="str">
        <f>LOOKUP(F176,BD!C:C,BD!A:A)</f>
        <v>JUAN JOSE</v>
      </c>
      <c r="D176" s="18" t="str">
        <f>LOOKUP(F176,BD!C:C,BD!B:B)</f>
        <v>VALENCIA GAVIRIA</v>
      </c>
      <c r="E176" s="18">
        <v>3001727329</v>
      </c>
      <c r="F176" s="18">
        <v>1011511644</v>
      </c>
      <c r="G176" s="18">
        <f>LOOKUP(F176,BD!C:C,BD!D:D)</f>
        <v>24060427508</v>
      </c>
      <c r="H176" s="19" t="s">
        <v>30</v>
      </c>
      <c r="I176" s="19" t="s">
        <v>30</v>
      </c>
      <c r="J176" s="19" t="s">
        <v>30</v>
      </c>
      <c r="K176" s="19" t="s">
        <v>30</v>
      </c>
      <c r="L176" s="20">
        <v>45653</v>
      </c>
      <c r="M176" s="20">
        <f>L176+730</f>
        <v>46383</v>
      </c>
      <c r="N176" s="21">
        <f t="shared" ca="1" si="258"/>
        <v>161.49944016203517</v>
      </c>
      <c r="O176" s="22" t="str">
        <f ca="1">IF(N176&lt;=16,"NO CUMPLE",IF(N176&gt;=16,"VIGENTE"))</f>
        <v>VIGENTE</v>
      </c>
      <c r="P176" s="20">
        <v>45680</v>
      </c>
      <c r="Q176" s="20">
        <f>P176+730</f>
        <v>46410</v>
      </c>
      <c r="R176" s="21">
        <f t="shared" ca="1" si="259"/>
        <v>188.49944016203517</v>
      </c>
      <c r="S176" s="22" t="str">
        <f ca="1">IF(R176&lt;=16,"NO CUMPLE",IF(R176&gt;=16,"VIGENTE"))</f>
        <v>VIGENTE</v>
      </c>
      <c r="T176" s="20">
        <v>45679</v>
      </c>
      <c r="U176" s="20">
        <f>T176+730</f>
        <v>46409</v>
      </c>
      <c r="V176" s="21">
        <f t="shared" ca="1" si="260"/>
        <v>187.49944016203517</v>
      </c>
      <c r="W176" s="22" t="str">
        <f ca="1">IF(V176&lt;=16,"NO CUMPLE",IF(V176&gt;=16,"VIGENTE"))</f>
        <v>VIGENTE</v>
      </c>
      <c r="X176" s="23">
        <v>4</v>
      </c>
      <c r="Y176" s="23">
        <v>3</v>
      </c>
      <c r="Z176" s="23">
        <f t="shared" si="261"/>
        <v>4</v>
      </c>
      <c r="AA176" s="23">
        <f t="shared" ca="1" si="262"/>
        <v>3</v>
      </c>
      <c r="AB176" s="24">
        <f t="shared" ref="AB176:AC176" si="306">Z176/X176</f>
        <v>1</v>
      </c>
      <c r="AC176" s="24">
        <f t="shared" ca="1" si="306"/>
        <v>1</v>
      </c>
      <c r="AD176" s="25">
        <f t="shared" ref="AD176:AD178" ca="1" si="307">(Z176+AA176)/7</f>
        <v>1</v>
      </c>
      <c r="AE176" s="23"/>
      <c r="AF176" s="23"/>
      <c r="AG176" s="23"/>
      <c r="AH176" s="23"/>
    </row>
    <row r="177" spans="1:34" ht="14.4" x14ac:dyDescent="0.3">
      <c r="A177" s="30"/>
      <c r="B177" s="27"/>
      <c r="C177" s="18" t="str">
        <f>LOOKUP(F177,BD!C:C,BD!A:A)</f>
        <v>LISSETH ANDREA</v>
      </c>
      <c r="D177" s="18" t="str">
        <f>LOOKUP(F177,BD!C:C,BD!B:B)</f>
        <v>HOLGUIN BARRIENTOS</v>
      </c>
      <c r="E177" s="18">
        <v>3146978472</v>
      </c>
      <c r="F177" s="18">
        <v>1000207920</v>
      </c>
      <c r="G177" s="18">
        <f>LOOKUP(F177,BD!C:C,BD!D:D)</f>
        <v>24060080553</v>
      </c>
      <c r="H177" s="19" t="s">
        <v>30</v>
      </c>
      <c r="I177" s="19" t="s">
        <v>30</v>
      </c>
      <c r="J177" s="19" t="s">
        <v>30</v>
      </c>
      <c r="K177" s="19" t="s">
        <v>30</v>
      </c>
      <c r="L177" s="20">
        <v>45910</v>
      </c>
      <c r="M177" s="20">
        <f>L177+365</f>
        <v>46275</v>
      </c>
      <c r="N177" s="21">
        <f t="shared" ca="1" si="258"/>
        <v>53.499440162035171</v>
      </c>
      <c r="O177" s="22" t="str">
        <f ca="1">IF(N177&lt;=1,"NO CUMPLE",IF(N177&gt;=2,"VIGENTE"))</f>
        <v>VIGENTE</v>
      </c>
      <c r="P177" s="20">
        <v>45910</v>
      </c>
      <c r="Q177" s="20">
        <f>P177+365</f>
        <v>46275</v>
      </c>
      <c r="R177" s="21">
        <f t="shared" ca="1" si="259"/>
        <v>53.499440162035171</v>
      </c>
      <c r="S177" s="22" t="str">
        <f ca="1">IF(R177&lt;=1,"NO CUMPLE",IF(R177&gt;=2,"VIGENTE"))</f>
        <v>VIGENTE</v>
      </c>
      <c r="T177" s="20">
        <v>45662</v>
      </c>
      <c r="U177" s="20">
        <f>T177+365</f>
        <v>46027</v>
      </c>
      <c r="V177" s="21">
        <f t="shared" ca="1" si="260"/>
        <v>-194.50055983796483</v>
      </c>
      <c r="W177" s="22" t="str">
        <f ca="1">IF(V177&lt;=1,"NO CUMPLE",IF(V177&gt;=2,"VIGENTE"))</f>
        <v>NO CUMPLE</v>
      </c>
      <c r="X177" s="23">
        <v>4</v>
      </c>
      <c r="Y177" s="23">
        <v>3</v>
      </c>
      <c r="Z177" s="23">
        <f t="shared" si="261"/>
        <v>4</v>
      </c>
      <c r="AA177" s="23">
        <f t="shared" ca="1" si="262"/>
        <v>2</v>
      </c>
      <c r="AB177" s="24">
        <f t="shared" ref="AB177:AC177" si="308">Z177/X177</f>
        <v>1</v>
      </c>
      <c r="AC177" s="24">
        <f t="shared" ca="1" si="308"/>
        <v>0.66666666666666663</v>
      </c>
      <c r="AD177" s="25">
        <f t="shared" ca="1" si="307"/>
        <v>0.8571428571428571</v>
      </c>
      <c r="AE177" s="23"/>
      <c r="AF177" s="23"/>
      <c r="AG177" s="23"/>
      <c r="AH177" s="23"/>
    </row>
    <row r="178" spans="1:34" ht="14.4" x14ac:dyDescent="0.3">
      <c r="A178" s="26"/>
      <c r="B178" s="34"/>
      <c r="C178" s="18" t="str">
        <f>LOOKUP(F178,BD!C:C,BD!A:A)</f>
        <v>KAREN TATIANA</v>
      </c>
      <c r="D178" s="18" t="str">
        <f>LOOKUP(F178,BD!C:C,BD!B:B)</f>
        <v>ARBOLEDA AGUDELO</v>
      </c>
      <c r="E178" s="18">
        <v>3017485716</v>
      </c>
      <c r="F178" s="18">
        <v>1000400004</v>
      </c>
      <c r="G178" s="18">
        <f>LOOKUP(F178,BD!C:C,BD!D:D)</f>
        <v>25060172563</v>
      </c>
      <c r="H178" s="19" t="s">
        <v>30</v>
      </c>
      <c r="I178" s="19" t="s">
        <v>30</v>
      </c>
      <c r="J178" s="19" t="s">
        <v>30</v>
      </c>
      <c r="K178" s="19" t="s">
        <v>30</v>
      </c>
      <c r="L178" s="20">
        <v>45832</v>
      </c>
      <c r="M178" s="20">
        <f>L178+730</f>
        <v>46562</v>
      </c>
      <c r="N178" s="21">
        <f t="shared" ca="1" si="258"/>
        <v>340.49944016203517</v>
      </c>
      <c r="O178" s="22" t="str">
        <f ca="1">IF(N178&lt;=16,"NO CUMPLE",IF(N178&gt;=16,"VIGENTE"))</f>
        <v>VIGENTE</v>
      </c>
      <c r="P178" s="20">
        <v>45863</v>
      </c>
      <c r="Q178" s="20">
        <f>P178+730</f>
        <v>46593</v>
      </c>
      <c r="R178" s="21">
        <f t="shared" ca="1" si="259"/>
        <v>371.49944016203517</v>
      </c>
      <c r="S178" s="22" t="str">
        <f ca="1">IF(R178&lt;=16,"NO CUMPLE",IF(R178&gt;=16,"VIGENTE"))</f>
        <v>VIGENTE</v>
      </c>
      <c r="T178" s="35"/>
      <c r="U178" s="20">
        <f>T178+730</f>
        <v>730</v>
      </c>
      <c r="V178" s="21">
        <f t="shared" ca="1" si="260"/>
        <v>-45491.500559837965</v>
      </c>
      <c r="W178" s="22" t="str">
        <f ca="1">IF(V178&lt;=16,"NO CUMPLE",IF(V178&gt;=16,"VIGENTE"))</f>
        <v>NO CUMPLE</v>
      </c>
      <c r="X178" s="23">
        <v>4</v>
      </c>
      <c r="Y178" s="23">
        <v>3</v>
      </c>
      <c r="Z178" s="23">
        <f t="shared" si="261"/>
        <v>4</v>
      </c>
      <c r="AA178" s="23">
        <f t="shared" ca="1" si="262"/>
        <v>2</v>
      </c>
      <c r="AB178" s="24">
        <f t="shared" ref="AB178:AC178" si="309">Z178/X178</f>
        <v>1</v>
      </c>
      <c r="AC178" s="24">
        <f t="shared" ca="1" si="309"/>
        <v>0.66666666666666663</v>
      </c>
      <c r="AD178" s="25">
        <f t="shared" ca="1" si="307"/>
        <v>0.8571428571428571</v>
      </c>
      <c r="AE178" s="23"/>
      <c r="AF178" s="23"/>
      <c r="AG178" s="23"/>
      <c r="AH178" s="23"/>
    </row>
    <row r="179" spans="1:34" ht="14.4" x14ac:dyDescent="0.3">
      <c r="A179" s="30"/>
      <c r="B179" s="34"/>
      <c r="C179" s="18" t="str">
        <f>LOOKUP(F179,BD!C:C,BD!A:A)</f>
        <v>KAREN YAZMIN</v>
      </c>
      <c r="D179" s="18" t="str">
        <f>LOOKUP(F179,BD!C:C,BD!B:B)</f>
        <v>AGUDELO BUILES</v>
      </c>
      <c r="E179" s="18">
        <v>3006068341</v>
      </c>
      <c r="F179" s="18">
        <v>1025885312</v>
      </c>
      <c r="G179" s="18">
        <f>LOOKUP(F179,BD!C:C,BD!D:D)</f>
        <v>2024060078628</v>
      </c>
      <c r="H179" s="19" t="s">
        <v>30</v>
      </c>
      <c r="I179" s="19" t="s">
        <v>30</v>
      </c>
      <c r="J179" s="19" t="s">
        <v>30</v>
      </c>
      <c r="K179" s="19" t="s">
        <v>30</v>
      </c>
      <c r="L179" s="20">
        <v>45777</v>
      </c>
      <c r="M179" s="20">
        <f>L179+730</f>
        <v>46507</v>
      </c>
      <c r="N179" s="21">
        <f t="shared" ca="1" si="258"/>
        <v>285.49944016203517</v>
      </c>
      <c r="O179" s="22" t="str">
        <f ca="1">IF(N179&lt;=16,"NO CUMPLE",IF(N179&gt;=16,"VIGENTE"))</f>
        <v>VIGENTE</v>
      </c>
      <c r="P179" s="35">
        <v>45153</v>
      </c>
      <c r="Q179" s="20">
        <f>P179+730</f>
        <v>45883</v>
      </c>
      <c r="R179" s="21">
        <f t="shared" ca="1" si="259"/>
        <v>-338.50055983796483</v>
      </c>
      <c r="S179" s="22" t="str">
        <f ca="1">IF(R179&lt;=16,"NO CUMPLE",IF(R179&gt;=16,"VIGENTE"))</f>
        <v>NO CUMPLE</v>
      </c>
      <c r="T179" s="20">
        <v>45534</v>
      </c>
      <c r="U179" s="20">
        <f>T179+730</f>
        <v>46264</v>
      </c>
      <c r="V179" s="21">
        <f t="shared" ca="1" si="260"/>
        <v>42.499440162035171</v>
      </c>
      <c r="W179" s="22" t="str">
        <f ca="1">IF(V179&lt;=16,"NO CUMPLE",IF(V179&gt;=16,"VIGENTE"))</f>
        <v>VIGENTE</v>
      </c>
      <c r="X179" s="23">
        <v>4</v>
      </c>
      <c r="Y179" s="23">
        <v>3</v>
      </c>
      <c r="Z179" s="23">
        <f t="shared" si="261"/>
        <v>4</v>
      </c>
      <c r="AA179" s="23">
        <f t="shared" ca="1" si="262"/>
        <v>2</v>
      </c>
      <c r="AB179" s="24">
        <f t="shared" ref="AB179:AC179" si="310">Z179/X179</f>
        <v>1</v>
      </c>
      <c r="AC179" s="24">
        <f t="shared" ca="1" si="310"/>
        <v>0.66666666666666663</v>
      </c>
      <c r="AD179" s="25">
        <f ca="1">(Z179+AA179)/7</f>
        <v>0.8571428571428571</v>
      </c>
      <c r="AE179" s="23"/>
      <c r="AF179" s="23"/>
      <c r="AG179" s="23"/>
      <c r="AH179" s="23"/>
    </row>
    <row r="180" spans="1:34" ht="14.4" x14ac:dyDescent="0.3">
      <c r="A180" s="16"/>
      <c r="B180" s="27"/>
      <c r="C180" s="18" t="str">
        <f>LOOKUP(F180,BD!C:C,BD!A:A)</f>
        <v>KAROL ALEXANDRA</v>
      </c>
      <c r="D180" s="18" t="str">
        <f>LOOKUP(F180,BD!C:C,BD!B:B)</f>
        <v>LIEVANO GARCIA</v>
      </c>
      <c r="E180" s="18">
        <v>3142695772</v>
      </c>
      <c r="F180" s="18">
        <v>1005690654</v>
      </c>
      <c r="G180" s="18">
        <f>LOOKUP(F180,BD!C:C,BD!D:D)</f>
        <v>1005690654</v>
      </c>
      <c r="H180" s="19" t="s">
        <v>30</v>
      </c>
      <c r="I180" s="19" t="s">
        <v>30</v>
      </c>
      <c r="J180" s="19" t="s">
        <v>30</v>
      </c>
      <c r="K180" s="19" t="s">
        <v>30</v>
      </c>
      <c r="L180" s="20">
        <v>45438</v>
      </c>
      <c r="M180" s="20">
        <f>L180+730</f>
        <v>46168</v>
      </c>
      <c r="N180" s="21">
        <f t="shared" ca="1" si="258"/>
        <v>-53.500559837964829</v>
      </c>
      <c r="O180" s="22" t="str">
        <f ca="1">IF(N180&lt;=1,"NO CUMPLE",IF(N180&gt;=2,"VIGENTE"))</f>
        <v>NO CUMPLE</v>
      </c>
      <c r="P180" s="20">
        <v>45993</v>
      </c>
      <c r="Q180" s="20">
        <f>P180+730</f>
        <v>46723</v>
      </c>
      <c r="R180" s="21">
        <f t="shared" ca="1" si="259"/>
        <v>501.49944016203517</v>
      </c>
      <c r="S180" s="22" t="str">
        <f ca="1">IF(R180&lt;=1,"NO CUMPLE",IF(R180&gt;=2,"VIGENTE"))</f>
        <v>VIGENTE</v>
      </c>
      <c r="T180" s="20">
        <v>46009</v>
      </c>
      <c r="U180" s="20">
        <f>T180+730</f>
        <v>46739</v>
      </c>
      <c r="V180" s="21">
        <f t="shared" ca="1" si="260"/>
        <v>517.49944016203517</v>
      </c>
      <c r="W180" s="22" t="str">
        <f ca="1">IF(V180&lt;=1,"NO CUMPLE",IF(V180&gt;=2,"VIGENTE"))</f>
        <v>VIGENTE</v>
      </c>
      <c r="X180" s="23">
        <v>4</v>
      </c>
      <c r="Y180" s="23">
        <v>3</v>
      </c>
      <c r="Z180" s="23">
        <f t="shared" si="261"/>
        <v>4</v>
      </c>
      <c r="AA180" s="23">
        <f t="shared" ca="1" si="262"/>
        <v>2</v>
      </c>
      <c r="AB180" s="24">
        <f t="shared" ref="AB180:AC180" si="311">Z180/X180</f>
        <v>1</v>
      </c>
      <c r="AC180" s="24">
        <f t="shared" ca="1" si="311"/>
        <v>0.66666666666666663</v>
      </c>
      <c r="AD180" s="25">
        <f t="shared" ref="AD180:AD191" ca="1" si="312">(Z180+AA180)/7</f>
        <v>0.8571428571428571</v>
      </c>
      <c r="AE180" s="23"/>
      <c r="AF180" s="23"/>
      <c r="AG180" s="23"/>
      <c r="AH180" s="23"/>
    </row>
    <row r="181" spans="1:34" ht="14.4" x14ac:dyDescent="0.3">
      <c r="A181" s="26"/>
      <c r="B181" s="27"/>
      <c r="C181" s="18" t="str">
        <f>LOOKUP(F181,BD!C:C,BD!A:A)</f>
        <v>KATTY JULIETH</v>
      </c>
      <c r="D181" s="18" t="str">
        <f>LOOKUP(F181,BD!C:C,BD!B:B)</f>
        <v>SEPULVEDA HERNANDEZ</v>
      </c>
      <c r="E181" s="18">
        <v>3003408553</v>
      </c>
      <c r="F181" s="18">
        <v>1000399389</v>
      </c>
      <c r="G181" s="18">
        <f>LOOKUP(F181,BD!C:C,BD!D:D)</f>
        <v>5679823</v>
      </c>
      <c r="H181" s="19" t="s">
        <v>30</v>
      </c>
      <c r="I181" s="19" t="s">
        <v>30</v>
      </c>
      <c r="J181" s="19" t="s">
        <v>30</v>
      </c>
      <c r="K181" s="19" t="s">
        <v>30</v>
      </c>
      <c r="L181" s="20">
        <v>45513</v>
      </c>
      <c r="M181" s="20">
        <f>L181+365</f>
        <v>45878</v>
      </c>
      <c r="N181" s="21">
        <f t="shared" ca="1" si="258"/>
        <v>-343.50055983796483</v>
      </c>
      <c r="O181" s="22" t="str">
        <f t="shared" ref="O181:O184" ca="1" si="313">IF(N181&lt;=16,"NO CUMPLE",IF(N181&gt;=16,"VIGENTE"))</f>
        <v>NO CUMPLE</v>
      </c>
      <c r="P181" s="20">
        <v>45936</v>
      </c>
      <c r="Q181" s="20">
        <f>P181+365</f>
        <v>46301</v>
      </c>
      <c r="R181" s="21">
        <f t="shared" ca="1" si="259"/>
        <v>79.499440162035171</v>
      </c>
      <c r="S181" s="22" t="str">
        <f t="shared" ref="S181:S184" ca="1" si="314">IF(R181&lt;=16,"NO CUMPLE",IF(R181&gt;=16,"VIGENTE"))</f>
        <v>VIGENTE</v>
      </c>
      <c r="T181" s="20">
        <v>45936</v>
      </c>
      <c r="U181" s="20">
        <f>T181+365</f>
        <v>46301</v>
      </c>
      <c r="V181" s="21">
        <f t="shared" ca="1" si="260"/>
        <v>79.499440162035171</v>
      </c>
      <c r="W181" s="22" t="str">
        <f t="shared" ref="W181:W184" ca="1" si="315">IF(V181&lt;=16,"NO CUMPLE",IF(V181&gt;=16,"VIGENTE"))</f>
        <v>VIGENTE</v>
      </c>
      <c r="X181" s="23">
        <v>4</v>
      </c>
      <c r="Y181" s="23">
        <v>3</v>
      </c>
      <c r="Z181" s="23">
        <f t="shared" si="261"/>
        <v>4</v>
      </c>
      <c r="AA181" s="23">
        <f t="shared" ca="1" si="262"/>
        <v>2</v>
      </c>
      <c r="AB181" s="24">
        <f t="shared" ref="AB181:AC181" si="316">Z181/X181</f>
        <v>1</v>
      </c>
      <c r="AC181" s="24">
        <f t="shared" ca="1" si="316"/>
        <v>0.66666666666666663</v>
      </c>
      <c r="AD181" s="25">
        <f t="shared" ca="1" si="312"/>
        <v>0.8571428571428571</v>
      </c>
      <c r="AE181" s="23"/>
      <c r="AF181" s="23"/>
      <c r="AG181" s="23"/>
      <c r="AH181" s="23"/>
    </row>
    <row r="182" spans="1:34" ht="14.4" x14ac:dyDescent="0.3">
      <c r="A182" s="16"/>
      <c r="B182" s="34"/>
      <c r="C182" s="18" t="str">
        <f>LOOKUP(F182,BD!C:C,BD!A:A)</f>
        <v>KELLY JULIANA</v>
      </c>
      <c r="D182" s="18" t="str">
        <f>LOOKUP(F182,BD!C:C,BD!B:B)</f>
        <v>BETANCUR PATIÑO</v>
      </c>
      <c r="E182" s="18">
        <v>3023083473</v>
      </c>
      <c r="F182" s="18">
        <v>1000869610</v>
      </c>
      <c r="G182" s="18">
        <f>LOOKUP(F182,BD!C:C,BD!D:D)</f>
        <v>5901923</v>
      </c>
      <c r="H182" s="19" t="s">
        <v>30</v>
      </c>
      <c r="I182" s="19" t="s">
        <v>30</v>
      </c>
      <c r="J182" s="19" t="s">
        <v>30</v>
      </c>
      <c r="K182" s="19" t="s">
        <v>30</v>
      </c>
      <c r="L182" s="20">
        <v>45762</v>
      </c>
      <c r="M182" s="20">
        <f t="shared" ref="M182:M186" si="317">L182+730</f>
        <v>46492</v>
      </c>
      <c r="N182" s="21">
        <f t="shared" ca="1" si="258"/>
        <v>270.49944016203517</v>
      </c>
      <c r="O182" s="22" t="str">
        <f t="shared" ca="1" si="313"/>
        <v>VIGENTE</v>
      </c>
      <c r="P182" s="20">
        <v>45993</v>
      </c>
      <c r="Q182" s="20">
        <f t="shared" ref="Q182:Q185" si="318">P182+730</f>
        <v>46723</v>
      </c>
      <c r="R182" s="21">
        <f t="shared" ca="1" si="259"/>
        <v>501.49944016203517</v>
      </c>
      <c r="S182" s="22" t="str">
        <f t="shared" ca="1" si="314"/>
        <v>VIGENTE</v>
      </c>
      <c r="T182" s="20">
        <v>45700</v>
      </c>
      <c r="U182" s="20">
        <f t="shared" ref="U182:U185" si="319">T182+730</f>
        <v>46430</v>
      </c>
      <c r="V182" s="21">
        <f t="shared" ca="1" si="260"/>
        <v>208.49944016203517</v>
      </c>
      <c r="W182" s="22" t="str">
        <f t="shared" ca="1" si="315"/>
        <v>VIGENTE</v>
      </c>
      <c r="X182" s="23">
        <v>4</v>
      </c>
      <c r="Y182" s="23">
        <v>3</v>
      </c>
      <c r="Z182" s="23">
        <f t="shared" si="261"/>
        <v>4</v>
      </c>
      <c r="AA182" s="23">
        <f t="shared" ca="1" si="262"/>
        <v>3</v>
      </c>
      <c r="AB182" s="24">
        <f t="shared" ref="AB182:AC182" si="320">Z182/X182</f>
        <v>1</v>
      </c>
      <c r="AC182" s="24">
        <f t="shared" ca="1" si="320"/>
        <v>1</v>
      </c>
      <c r="AD182" s="25">
        <f t="shared" ca="1" si="312"/>
        <v>1</v>
      </c>
      <c r="AE182" s="23"/>
      <c r="AF182" s="23"/>
      <c r="AG182" s="23"/>
      <c r="AH182" s="23"/>
    </row>
    <row r="183" spans="1:34" ht="14.4" x14ac:dyDescent="0.3">
      <c r="A183" s="30"/>
      <c r="B183" s="34"/>
      <c r="C183" s="18" t="str">
        <f>LOOKUP(F183,BD!C:C,BD!A:A)</f>
        <v>KEVIN FABIAN</v>
      </c>
      <c r="D183" s="18" t="str">
        <f>LOOKUP(F183,BD!C:C,BD!B:B)</f>
        <v>PIAMBA BORJA</v>
      </c>
      <c r="E183" s="18">
        <v>3146263921</v>
      </c>
      <c r="F183" s="18">
        <v>1035235490</v>
      </c>
      <c r="G183" s="18">
        <f>LOOKUP(F183,BD!C:C,BD!D:D)</f>
        <v>5019822</v>
      </c>
      <c r="H183" s="19" t="s">
        <v>30</v>
      </c>
      <c r="I183" s="19" t="s">
        <v>30</v>
      </c>
      <c r="J183" s="19" t="s">
        <v>30</v>
      </c>
      <c r="K183" s="32"/>
      <c r="L183" s="20">
        <v>45417</v>
      </c>
      <c r="M183" s="20">
        <f t="shared" si="317"/>
        <v>46147</v>
      </c>
      <c r="N183" s="21">
        <f t="shared" ca="1" si="258"/>
        <v>-74.500559837964829</v>
      </c>
      <c r="O183" s="22" t="str">
        <f t="shared" ca="1" si="313"/>
        <v>NO CUMPLE</v>
      </c>
      <c r="P183" s="20">
        <v>45931</v>
      </c>
      <c r="Q183" s="20">
        <f t="shared" si="318"/>
        <v>46661</v>
      </c>
      <c r="R183" s="21">
        <f t="shared" ca="1" si="259"/>
        <v>439.49944016203517</v>
      </c>
      <c r="S183" s="22" t="str">
        <f t="shared" ca="1" si="314"/>
        <v>VIGENTE</v>
      </c>
      <c r="T183" s="35">
        <v>45040</v>
      </c>
      <c r="U183" s="20">
        <f t="shared" si="319"/>
        <v>45770</v>
      </c>
      <c r="V183" s="21">
        <f t="shared" ca="1" si="260"/>
        <v>-451.50055983796483</v>
      </c>
      <c r="W183" s="22" t="str">
        <f t="shared" ca="1" si="315"/>
        <v>NO CUMPLE</v>
      </c>
      <c r="X183" s="23">
        <v>4</v>
      </c>
      <c r="Y183" s="23">
        <v>3</v>
      </c>
      <c r="Z183" s="23">
        <f t="shared" si="261"/>
        <v>3</v>
      </c>
      <c r="AA183" s="23">
        <f t="shared" ca="1" si="262"/>
        <v>1</v>
      </c>
      <c r="AB183" s="24">
        <f t="shared" ref="AB183:AC183" si="321">Z183/X183</f>
        <v>0.75</v>
      </c>
      <c r="AC183" s="24">
        <f t="shared" ca="1" si="321"/>
        <v>0.33333333333333331</v>
      </c>
      <c r="AD183" s="25">
        <f t="shared" ca="1" si="312"/>
        <v>0.5714285714285714</v>
      </c>
      <c r="AE183" s="23"/>
      <c r="AF183" s="23"/>
      <c r="AG183" s="23"/>
      <c r="AH183" s="23"/>
    </row>
    <row r="184" spans="1:34" ht="14.4" x14ac:dyDescent="0.3">
      <c r="A184" s="30"/>
      <c r="B184" s="34"/>
      <c r="C184" s="18" t="str">
        <f>LOOKUP(F184,BD!C:C,BD!A:A)</f>
        <v>KEVIN HARBEY</v>
      </c>
      <c r="D184" s="18" t="str">
        <f>LOOKUP(F184,BD!C:C,BD!B:B)</f>
        <v>PINO CARDONA</v>
      </c>
      <c r="E184" s="18">
        <v>3017484915</v>
      </c>
      <c r="F184" s="18">
        <v>1152222271</v>
      </c>
      <c r="G184" s="18">
        <f>LOOKUP(F184,BD!C:C,BD!D:D)</f>
        <v>24060432051</v>
      </c>
      <c r="H184" s="19" t="s">
        <v>30</v>
      </c>
      <c r="I184" s="19" t="s">
        <v>30</v>
      </c>
      <c r="J184" s="19" t="s">
        <v>30</v>
      </c>
      <c r="K184" s="19" t="s">
        <v>30</v>
      </c>
      <c r="L184" s="20">
        <v>45636</v>
      </c>
      <c r="M184" s="20">
        <f t="shared" si="317"/>
        <v>46366</v>
      </c>
      <c r="N184" s="21">
        <f t="shared" ca="1" si="258"/>
        <v>144.49944016203517</v>
      </c>
      <c r="O184" s="22" t="str">
        <f t="shared" ca="1" si="313"/>
        <v>VIGENTE</v>
      </c>
      <c r="P184" s="20">
        <v>45862</v>
      </c>
      <c r="Q184" s="20">
        <f t="shared" si="318"/>
        <v>46592</v>
      </c>
      <c r="R184" s="21">
        <f t="shared" ca="1" si="259"/>
        <v>370.4994402777811</v>
      </c>
      <c r="S184" s="22" t="str">
        <f t="shared" ca="1" si="314"/>
        <v>VIGENTE</v>
      </c>
      <c r="T184" s="20">
        <v>45874</v>
      </c>
      <c r="U184" s="20">
        <f t="shared" si="319"/>
        <v>46604</v>
      </c>
      <c r="V184" s="21">
        <f t="shared" ca="1" si="260"/>
        <v>382.49944016203517</v>
      </c>
      <c r="W184" s="22" t="str">
        <f t="shared" ca="1" si="315"/>
        <v>VIGENTE</v>
      </c>
      <c r="X184" s="23">
        <v>4</v>
      </c>
      <c r="Y184" s="23">
        <v>3</v>
      </c>
      <c r="Z184" s="23">
        <f t="shared" si="261"/>
        <v>4</v>
      </c>
      <c r="AA184" s="23">
        <f t="shared" ca="1" si="262"/>
        <v>3</v>
      </c>
      <c r="AB184" s="24">
        <f t="shared" ref="AB184:AC184" si="322">Z184/X184</f>
        <v>1</v>
      </c>
      <c r="AC184" s="24">
        <f t="shared" ca="1" si="322"/>
        <v>1</v>
      </c>
      <c r="AD184" s="25">
        <f t="shared" ca="1" si="312"/>
        <v>1</v>
      </c>
      <c r="AE184" s="23"/>
      <c r="AF184" s="23"/>
      <c r="AG184" s="23"/>
      <c r="AH184" s="23"/>
    </row>
    <row r="185" spans="1:34" ht="14.4" x14ac:dyDescent="0.3">
      <c r="A185" s="30"/>
      <c r="B185" s="27"/>
      <c r="C185" s="18" t="str">
        <f>LOOKUP(F185,BD!C:C,BD!A:A)</f>
        <v>KEVIN LEANDRO</v>
      </c>
      <c r="D185" s="18" t="str">
        <f>LOOKUP(F185,BD!C:C,BD!B:B)</f>
        <v>CAICEDO IJAJID</v>
      </c>
      <c r="E185" s="18">
        <v>3116223510</v>
      </c>
      <c r="F185" s="18">
        <v>1113669720</v>
      </c>
      <c r="G185" s="18">
        <f>LOOKUP(F185,BD!C:C,BD!D:D)</f>
        <v>5264122</v>
      </c>
      <c r="H185" s="19" t="s">
        <v>30</v>
      </c>
      <c r="I185" s="19" t="s">
        <v>30</v>
      </c>
      <c r="J185" s="19" t="s">
        <v>30</v>
      </c>
      <c r="K185" s="19" t="s">
        <v>30</v>
      </c>
      <c r="L185" s="20">
        <v>45937</v>
      </c>
      <c r="M185" s="20">
        <f t="shared" si="317"/>
        <v>46667</v>
      </c>
      <c r="N185" s="21">
        <f t="shared" ca="1" si="258"/>
        <v>445.49944016203517</v>
      </c>
      <c r="O185" s="22" t="str">
        <f ca="1">IF(N185&lt;=1,"NO CUMPLE",IF(N185&gt;=2,"VIGENTE"))</f>
        <v>VIGENTE</v>
      </c>
      <c r="P185" s="35">
        <v>45407</v>
      </c>
      <c r="Q185" s="20">
        <f t="shared" si="318"/>
        <v>46137</v>
      </c>
      <c r="R185" s="21">
        <f t="shared" ca="1" si="259"/>
        <v>-84.500559837964829</v>
      </c>
      <c r="S185" s="22" t="str">
        <f ca="1">IF(R185&lt;=1,"NO CUMPLE",IF(R185&gt;=2,"VIGENTE"))</f>
        <v>NO CUMPLE</v>
      </c>
      <c r="T185" s="35">
        <v>45405</v>
      </c>
      <c r="U185" s="20">
        <f t="shared" si="319"/>
        <v>46135</v>
      </c>
      <c r="V185" s="21">
        <f t="shared" ca="1" si="260"/>
        <v>-86.500559837964829</v>
      </c>
      <c r="W185" s="22" t="str">
        <f ca="1">IF(V185&lt;=1,"NO CUMPLE",IF(V185&gt;=2,"VIGENTE"))</f>
        <v>NO CUMPLE</v>
      </c>
      <c r="X185" s="23">
        <v>4</v>
      </c>
      <c r="Y185" s="23">
        <v>3</v>
      </c>
      <c r="Z185" s="23">
        <f t="shared" si="261"/>
        <v>4</v>
      </c>
      <c r="AA185" s="23">
        <f t="shared" ca="1" si="262"/>
        <v>1</v>
      </c>
      <c r="AB185" s="24">
        <f t="shared" ref="AB185:AC185" si="323">Z185/X185</f>
        <v>1</v>
      </c>
      <c r="AC185" s="24">
        <f t="shared" ca="1" si="323"/>
        <v>0.33333333333333331</v>
      </c>
      <c r="AD185" s="25">
        <f t="shared" ca="1" si="312"/>
        <v>0.7142857142857143</v>
      </c>
      <c r="AE185" s="23"/>
      <c r="AF185" s="23"/>
      <c r="AG185" s="23"/>
      <c r="AH185" s="23"/>
    </row>
    <row r="186" spans="1:34" ht="14.4" x14ac:dyDescent="0.3">
      <c r="A186" s="30"/>
      <c r="B186" s="27"/>
      <c r="C186" s="32" t="str">
        <f>LOOKUP(F186,BD!C:C,BD!A:A)</f>
        <v>LILIANA</v>
      </c>
      <c r="D186" s="18" t="str">
        <f>LOOKUP(F186,BD!C:C,BD!B:B)</f>
        <v>RESTREPO GUARIN</v>
      </c>
      <c r="E186" s="18">
        <v>3137196052</v>
      </c>
      <c r="F186" s="18">
        <v>1020399600</v>
      </c>
      <c r="G186" s="18">
        <f>LOOKUP(F186,BD!C:C,BD!D:D)</f>
        <v>5675622</v>
      </c>
      <c r="H186" s="19" t="s">
        <v>30</v>
      </c>
      <c r="I186" s="19" t="s">
        <v>30</v>
      </c>
      <c r="J186" s="19" t="s">
        <v>30</v>
      </c>
      <c r="K186" s="19" t="s">
        <v>30</v>
      </c>
      <c r="L186" s="20">
        <v>45505</v>
      </c>
      <c r="M186" s="20">
        <f t="shared" si="317"/>
        <v>46235</v>
      </c>
      <c r="N186" s="21">
        <f t="shared" ca="1" si="258"/>
        <v>13.499440162035171</v>
      </c>
      <c r="O186" s="22" t="str">
        <f ca="1">IF(N186&lt;=16,"NO CUMPLE",IF(N186&gt;=16,"VIGENTE"))</f>
        <v>NO CUMPLE</v>
      </c>
      <c r="P186" s="20">
        <v>45505</v>
      </c>
      <c r="Q186" s="20">
        <f t="shared" ref="Q186:Q188" si="324">P186+365</f>
        <v>45870</v>
      </c>
      <c r="R186" s="21">
        <f t="shared" ca="1" si="259"/>
        <v>-351.50055983796483</v>
      </c>
      <c r="S186" s="22" t="str">
        <f ca="1">IF(R186&lt;=16,"NO CUMPLE",IF(R186&gt;=16,"VIGENTE"))</f>
        <v>NO CUMPLE</v>
      </c>
      <c r="T186" s="20">
        <v>45505</v>
      </c>
      <c r="U186" s="20">
        <f>T186+365</f>
        <v>45870</v>
      </c>
      <c r="V186" s="21">
        <f t="shared" ca="1" si="260"/>
        <v>-351.5005597222189</v>
      </c>
      <c r="W186" s="22" t="str">
        <f ca="1">IF(V186&lt;=16,"NO CUMPLE",IF(V186&gt;=16,"VIGENTE"))</f>
        <v>NO CUMPLE</v>
      </c>
      <c r="X186" s="23">
        <v>4</v>
      </c>
      <c r="Y186" s="23">
        <v>3</v>
      </c>
      <c r="Z186" s="23">
        <f t="shared" si="261"/>
        <v>4</v>
      </c>
      <c r="AA186" s="23">
        <f t="shared" ca="1" si="262"/>
        <v>0</v>
      </c>
      <c r="AB186" s="24">
        <f t="shared" ref="AB186:AC186" si="325">Z186/X186</f>
        <v>1</v>
      </c>
      <c r="AC186" s="24">
        <f t="shared" ca="1" si="325"/>
        <v>0</v>
      </c>
      <c r="AD186" s="25">
        <f t="shared" ca="1" si="312"/>
        <v>0.5714285714285714</v>
      </c>
      <c r="AE186" s="23"/>
      <c r="AF186" s="23"/>
      <c r="AG186" s="23"/>
      <c r="AH186" s="23"/>
    </row>
    <row r="187" spans="1:34" ht="14.4" x14ac:dyDescent="0.3">
      <c r="A187" s="30"/>
      <c r="B187" s="27"/>
      <c r="C187" s="18" t="str">
        <f>LOOKUP(F187,BD!C:C,BD!A:A)</f>
        <v>LUCIEL</v>
      </c>
      <c r="D187" s="18" t="str">
        <f>LOOKUP(F187,BD!C:C,BD!B:B)</f>
        <v>ZAPATA ARBOLEDA</v>
      </c>
      <c r="E187" s="18">
        <v>3105729946</v>
      </c>
      <c r="F187" s="18">
        <v>32183280</v>
      </c>
      <c r="G187" s="18">
        <f>LOOKUP(F187,BD!C:C,BD!D:D)</f>
        <v>5053914</v>
      </c>
      <c r="H187" s="19" t="s">
        <v>30</v>
      </c>
      <c r="I187" s="19" t="s">
        <v>30</v>
      </c>
      <c r="J187" s="19" t="s">
        <v>30</v>
      </c>
      <c r="K187" s="19" t="s">
        <v>30</v>
      </c>
      <c r="L187" s="20">
        <v>45783</v>
      </c>
      <c r="M187" s="20">
        <f>L187+730</f>
        <v>46513</v>
      </c>
      <c r="N187" s="21">
        <f t="shared" ca="1" si="258"/>
        <v>291.49944016203517</v>
      </c>
      <c r="O187" s="22" t="str">
        <f t="shared" ref="O187:O188" ca="1" si="326">IF(N187&lt;=1,"NO CUMPLE",IF(N187&gt;=2,"VIGENTE"))</f>
        <v>VIGENTE</v>
      </c>
      <c r="P187" s="20">
        <v>45783</v>
      </c>
      <c r="Q187" s="20">
        <f t="shared" si="324"/>
        <v>46148</v>
      </c>
      <c r="R187" s="21">
        <f t="shared" ca="1" si="259"/>
        <v>-73.500559837964829</v>
      </c>
      <c r="S187" s="22" t="str">
        <f t="shared" ref="S187:S188" ca="1" si="327">IF(R187&lt;=1,"NO CUMPLE",IF(R187&gt;=2,"VIGENTE"))</f>
        <v>NO CUMPLE</v>
      </c>
      <c r="T187" s="20">
        <v>46061</v>
      </c>
      <c r="U187" s="20">
        <f>T187+730</f>
        <v>46791</v>
      </c>
      <c r="V187" s="21">
        <f t="shared" ca="1" si="260"/>
        <v>569.49944016203517</v>
      </c>
      <c r="W187" s="22" t="str">
        <f t="shared" ref="W187:W188" ca="1" si="328">IF(V187&lt;=1,"NO CUMPLE",IF(V187&gt;=2,"VIGENTE"))</f>
        <v>VIGENTE</v>
      </c>
      <c r="X187" s="23">
        <v>4</v>
      </c>
      <c r="Y187" s="23">
        <v>3</v>
      </c>
      <c r="Z187" s="23">
        <f t="shared" si="261"/>
        <v>4</v>
      </c>
      <c r="AA187" s="23">
        <f t="shared" ca="1" si="262"/>
        <v>2</v>
      </c>
      <c r="AB187" s="24">
        <f t="shared" ref="AB187:AC187" si="329">Z187/X187</f>
        <v>1</v>
      </c>
      <c r="AC187" s="24">
        <f t="shared" ca="1" si="329"/>
        <v>0.66666666666666663</v>
      </c>
      <c r="AD187" s="25">
        <f t="shared" ca="1" si="312"/>
        <v>0.8571428571428571</v>
      </c>
      <c r="AE187" s="23"/>
      <c r="AF187" s="23"/>
      <c r="AG187" s="23"/>
      <c r="AH187" s="23"/>
    </row>
    <row r="188" spans="1:34" ht="14.4" x14ac:dyDescent="0.3">
      <c r="A188" s="30"/>
      <c r="B188" s="27"/>
      <c r="C188" s="18" t="str">
        <f>LOOKUP(F188,BD!C:C,BD!A:A)</f>
        <v>LUIS FERNANDO</v>
      </c>
      <c r="D188" s="18" t="str">
        <f>LOOKUP(F188,BD!C:C,BD!B:B)</f>
        <v>MORALES FLOREZ</v>
      </c>
      <c r="E188" s="18">
        <v>3127223277</v>
      </c>
      <c r="F188" s="18">
        <v>1040730543</v>
      </c>
      <c r="G188" s="18">
        <f>LOOKUP(F188,BD!C:C,BD!D:D)</f>
        <v>25060193911</v>
      </c>
      <c r="H188" s="19" t="s">
        <v>30</v>
      </c>
      <c r="I188" s="19" t="s">
        <v>30</v>
      </c>
      <c r="J188" s="19" t="s">
        <v>30</v>
      </c>
      <c r="K188" s="19" t="s">
        <v>30</v>
      </c>
      <c r="L188" s="20">
        <v>45869</v>
      </c>
      <c r="M188" s="20">
        <f t="shared" ref="M188:M190" si="330">L188+730</f>
        <v>46599</v>
      </c>
      <c r="N188" s="21">
        <f t="shared" ca="1" si="258"/>
        <v>377.49944016203517</v>
      </c>
      <c r="O188" s="22" t="str">
        <f t="shared" ca="1" si="326"/>
        <v>VIGENTE</v>
      </c>
      <c r="P188" s="20">
        <v>45819</v>
      </c>
      <c r="Q188" s="20">
        <f t="shared" si="324"/>
        <v>46184</v>
      </c>
      <c r="R188" s="21">
        <f t="shared" ca="1" si="259"/>
        <v>-37.500559837964829</v>
      </c>
      <c r="S188" s="22" t="str">
        <f t="shared" ca="1" si="327"/>
        <v>NO CUMPLE</v>
      </c>
      <c r="T188" s="20">
        <v>45819</v>
      </c>
      <c r="U188" s="20">
        <f>T188+365</f>
        <v>46184</v>
      </c>
      <c r="V188" s="21">
        <f t="shared" ca="1" si="260"/>
        <v>-37.500559837964829</v>
      </c>
      <c r="W188" s="22" t="str">
        <f t="shared" ca="1" si="328"/>
        <v>NO CUMPLE</v>
      </c>
      <c r="X188" s="23">
        <v>4</v>
      </c>
      <c r="Y188" s="23">
        <v>3</v>
      </c>
      <c r="Z188" s="23">
        <f t="shared" si="261"/>
        <v>4</v>
      </c>
      <c r="AA188" s="23">
        <f t="shared" ca="1" si="262"/>
        <v>1</v>
      </c>
      <c r="AB188" s="24">
        <f t="shared" ref="AB188:AC188" si="331">Z188/X188</f>
        <v>1</v>
      </c>
      <c r="AC188" s="24">
        <f t="shared" ca="1" si="331"/>
        <v>0.33333333333333331</v>
      </c>
      <c r="AD188" s="25">
        <f t="shared" ca="1" si="312"/>
        <v>0.7142857142857143</v>
      </c>
      <c r="AE188" s="23"/>
      <c r="AF188" s="23"/>
      <c r="AG188" s="23"/>
      <c r="AH188" s="23"/>
    </row>
    <row r="189" spans="1:34" ht="14.4" x14ac:dyDescent="0.3">
      <c r="A189" s="30"/>
      <c r="B189" s="34"/>
      <c r="C189" s="18" t="str">
        <f>LOOKUP(F189,BD!C:C,BD!A:A)</f>
        <v>LUISA FERNANDA</v>
      </c>
      <c r="D189" s="18" t="str">
        <f>LOOKUP(F189,BD!C:C,BD!B:B)</f>
        <v>FRANCO CARDONA</v>
      </c>
      <c r="E189" s="18">
        <v>3225019486</v>
      </c>
      <c r="F189" s="18">
        <v>1035222537</v>
      </c>
      <c r="G189" s="18">
        <f>LOOKUP(F189,BD!C:C,BD!D:D)</f>
        <v>5459222</v>
      </c>
      <c r="H189" s="19" t="s">
        <v>30</v>
      </c>
      <c r="I189" s="19" t="s">
        <v>30</v>
      </c>
      <c r="J189" s="19" t="s">
        <v>30</v>
      </c>
      <c r="K189" s="19" t="s">
        <v>30</v>
      </c>
      <c r="L189" s="20">
        <v>45835</v>
      </c>
      <c r="M189" s="20">
        <f t="shared" si="330"/>
        <v>46565</v>
      </c>
      <c r="N189" s="21">
        <f t="shared" ca="1" si="258"/>
        <v>343.4994402777811</v>
      </c>
      <c r="O189" s="22" t="str">
        <f t="shared" ref="O189:O190" ca="1" si="332">IF(N189&lt;=16,"NO CUMPLE",IF(N189&gt;=16,"VIGENTE"))</f>
        <v>VIGENTE</v>
      </c>
      <c r="P189" s="35">
        <v>44988</v>
      </c>
      <c r="Q189" s="20">
        <f t="shared" ref="Q189:Q190" si="333">P189+730</f>
        <v>45718</v>
      </c>
      <c r="R189" s="21">
        <f t="shared" ca="1" si="259"/>
        <v>-503.50055983796483</v>
      </c>
      <c r="S189" s="22" t="str">
        <f t="shared" ref="S189:S190" ca="1" si="334">IF(R189&lt;=16,"NO CUMPLE",IF(R189&gt;=16,"VIGENTE"))</f>
        <v>NO CUMPLE</v>
      </c>
      <c r="T189" s="20">
        <v>45525</v>
      </c>
      <c r="U189" s="20">
        <f t="shared" ref="U189:U190" si="335">T189+730</f>
        <v>46255</v>
      </c>
      <c r="V189" s="21">
        <f t="shared" ca="1" si="260"/>
        <v>33.499440162035171</v>
      </c>
      <c r="W189" s="22" t="str">
        <f t="shared" ref="W189:W190" ca="1" si="336">IF(V189&lt;=16,"NO CUMPLE",IF(V189&gt;=16,"VIGENTE"))</f>
        <v>VIGENTE</v>
      </c>
      <c r="X189" s="23">
        <v>4</v>
      </c>
      <c r="Y189" s="23">
        <v>3</v>
      </c>
      <c r="Z189" s="23">
        <f t="shared" si="261"/>
        <v>4</v>
      </c>
      <c r="AA189" s="23">
        <f t="shared" ca="1" si="262"/>
        <v>2</v>
      </c>
      <c r="AB189" s="24">
        <f t="shared" ref="AB189:AC189" si="337">Z189/X189</f>
        <v>1</v>
      </c>
      <c r="AC189" s="24">
        <f t="shared" ca="1" si="337"/>
        <v>0.66666666666666663</v>
      </c>
      <c r="AD189" s="25">
        <f t="shared" ca="1" si="312"/>
        <v>0.8571428571428571</v>
      </c>
      <c r="AE189" s="23"/>
      <c r="AF189" s="23"/>
      <c r="AG189" s="23"/>
      <c r="AH189" s="23"/>
    </row>
    <row r="190" spans="1:34" ht="14.4" x14ac:dyDescent="0.3">
      <c r="A190" s="30"/>
      <c r="B190" s="34"/>
      <c r="C190" s="18" t="str">
        <f>LOOKUP(F190,BD!C:C,BD!A:A)</f>
        <v>MANUELA</v>
      </c>
      <c r="D190" s="18" t="str">
        <f>LOOKUP(F190,BD!C:C,BD!B:B)</f>
        <v>VANEGAS CASTRO</v>
      </c>
      <c r="E190" s="18">
        <v>3232960648</v>
      </c>
      <c r="F190" s="18">
        <v>1015071133</v>
      </c>
      <c r="G190" s="18">
        <f>LOOKUP(F190,BD!C:C,BD!D:D)</f>
        <v>25060181557</v>
      </c>
      <c r="H190" s="19" t="s">
        <v>30</v>
      </c>
      <c r="I190" s="19" t="s">
        <v>30</v>
      </c>
      <c r="J190" s="19" t="s">
        <v>30</v>
      </c>
      <c r="K190" s="19" t="s">
        <v>30</v>
      </c>
      <c r="L190" s="20">
        <v>45450</v>
      </c>
      <c r="M190" s="20">
        <f t="shared" si="330"/>
        <v>46180</v>
      </c>
      <c r="N190" s="21">
        <f t="shared" ca="1" si="258"/>
        <v>-41.500559837964829</v>
      </c>
      <c r="O190" s="22" t="str">
        <f t="shared" ca="1" si="332"/>
        <v>NO CUMPLE</v>
      </c>
      <c r="P190" s="35">
        <v>45219</v>
      </c>
      <c r="Q190" s="20">
        <f t="shared" si="333"/>
        <v>45949</v>
      </c>
      <c r="R190" s="21">
        <f t="shared" ca="1" si="259"/>
        <v>-272.50055983796483</v>
      </c>
      <c r="S190" s="22" t="str">
        <f t="shared" ca="1" si="334"/>
        <v>NO CUMPLE</v>
      </c>
      <c r="T190" s="35"/>
      <c r="U190" s="20">
        <f t="shared" si="335"/>
        <v>730</v>
      </c>
      <c r="V190" s="21">
        <f t="shared" ca="1" si="260"/>
        <v>-45491.500559837965</v>
      </c>
      <c r="W190" s="22" t="str">
        <f t="shared" ca="1" si="336"/>
        <v>NO CUMPLE</v>
      </c>
      <c r="X190" s="23">
        <v>4</v>
      </c>
      <c r="Y190" s="23">
        <v>3</v>
      </c>
      <c r="Z190" s="23">
        <f t="shared" si="261"/>
        <v>4</v>
      </c>
      <c r="AA190" s="23">
        <f t="shared" ca="1" si="262"/>
        <v>0</v>
      </c>
      <c r="AB190" s="24">
        <f t="shared" ref="AB190:AC190" si="338">Z190/X190</f>
        <v>1</v>
      </c>
      <c r="AC190" s="24">
        <f t="shared" ca="1" si="338"/>
        <v>0</v>
      </c>
      <c r="AD190" s="25">
        <f t="shared" ca="1" si="312"/>
        <v>0.5714285714285714</v>
      </c>
      <c r="AE190" s="23"/>
      <c r="AF190" s="23"/>
      <c r="AG190" s="23"/>
      <c r="AH190" s="23"/>
    </row>
    <row r="191" spans="1:34" ht="14.4" x14ac:dyDescent="0.3">
      <c r="A191" s="30"/>
      <c r="B191" s="27"/>
      <c r="C191" s="18" t="str">
        <f>LOOKUP(F191,BD!C:C,BD!A:A)</f>
        <v>MARIA ALEJANDRA</v>
      </c>
      <c r="D191" s="18" t="str">
        <f>LOOKUP(F191,BD!C:C,BD!B:B)</f>
        <v>VEGA POSADA</v>
      </c>
      <c r="E191" s="18">
        <v>3245427192</v>
      </c>
      <c r="F191" s="18">
        <v>1037622755</v>
      </c>
      <c r="G191" s="18">
        <f>LOOKUP(F191,BD!C:C,BD!D:D)</f>
        <v>5343014</v>
      </c>
      <c r="H191" s="19" t="s">
        <v>30</v>
      </c>
      <c r="I191" s="19" t="s">
        <v>30</v>
      </c>
      <c r="J191" s="19" t="s">
        <v>30</v>
      </c>
      <c r="K191" s="19" t="s">
        <v>30</v>
      </c>
      <c r="L191" s="20">
        <v>45775</v>
      </c>
      <c r="M191" s="20">
        <f>L191+365</f>
        <v>46140</v>
      </c>
      <c r="N191" s="21">
        <f t="shared" ca="1" si="258"/>
        <v>-81.500559837964829</v>
      </c>
      <c r="O191" s="22" t="str">
        <f ca="1">IF(N191&lt;=1,"NO CUMPLE",IF(N191&gt;=2,"VIGENTE"))</f>
        <v>NO CUMPLE</v>
      </c>
      <c r="P191" s="20">
        <v>45775</v>
      </c>
      <c r="Q191" s="20">
        <f>P191+365</f>
        <v>46140</v>
      </c>
      <c r="R191" s="21">
        <f t="shared" ca="1" si="259"/>
        <v>-81.500559837964829</v>
      </c>
      <c r="S191" s="22" t="str">
        <f ca="1">IF(R191&lt;=1,"NO CUMPLE",IF(R191&gt;=2,"VIGENTE"))</f>
        <v>NO CUMPLE</v>
      </c>
      <c r="T191" s="20">
        <v>45775</v>
      </c>
      <c r="U191" s="20">
        <f>T191+365</f>
        <v>46140</v>
      </c>
      <c r="V191" s="21">
        <f t="shared" ca="1" si="260"/>
        <v>-81.500559722218895</v>
      </c>
      <c r="W191" s="22" t="str">
        <f ca="1">IF(V191&lt;=1,"NO CUMPLE",IF(V191&gt;=2,"VIGENTE"))</f>
        <v>NO CUMPLE</v>
      </c>
      <c r="X191" s="23">
        <v>4</v>
      </c>
      <c r="Y191" s="23">
        <v>3</v>
      </c>
      <c r="Z191" s="23">
        <f t="shared" si="261"/>
        <v>4</v>
      </c>
      <c r="AA191" s="23">
        <f t="shared" ca="1" si="262"/>
        <v>0</v>
      </c>
      <c r="AB191" s="24">
        <f t="shared" ref="AB191:AC191" si="339">Z191/X191</f>
        <v>1</v>
      </c>
      <c r="AC191" s="24">
        <f t="shared" ca="1" si="339"/>
        <v>0</v>
      </c>
      <c r="AD191" s="25">
        <f t="shared" ca="1" si="312"/>
        <v>0.5714285714285714</v>
      </c>
      <c r="AE191" s="23"/>
      <c r="AF191" s="23"/>
      <c r="AG191" s="23"/>
      <c r="AH191" s="23"/>
    </row>
    <row r="192" spans="1:34" ht="14.4" x14ac:dyDescent="0.3">
      <c r="A192" s="30"/>
      <c r="B192" s="17"/>
      <c r="C192" s="18" t="str">
        <f>LOOKUP(F192,BD!C:C,BD!A:A)</f>
        <v>MARIA CAMILA</v>
      </c>
      <c r="D192" s="18" t="str">
        <f>LOOKUP(F192,BD!C:C,BD!B:B)</f>
        <v>ORTEGA PARRA</v>
      </c>
      <c r="E192" s="18">
        <v>3502903849</v>
      </c>
      <c r="F192" s="18">
        <v>1000901892</v>
      </c>
      <c r="G192" s="18">
        <f>LOOKUP(F192,BD!C:C,BD!D:D)</f>
        <v>5232723</v>
      </c>
      <c r="H192" s="19" t="s">
        <v>30</v>
      </c>
      <c r="I192" s="19" t="s">
        <v>30</v>
      </c>
      <c r="J192" s="19" t="s">
        <v>30</v>
      </c>
      <c r="K192" s="19" t="s">
        <v>30</v>
      </c>
      <c r="L192" s="20">
        <v>46025</v>
      </c>
      <c r="M192" s="20">
        <f>L192+730</f>
        <v>46755</v>
      </c>
      <c r="N192" s="21">
        <f t="shared" ca="1" si="258"/>
        <v>533.49944016203517</v>
      </c>
      <c r="O192" s="22" t="str">
        <f ca="1">IF(N192&lt;=16,"NO CUMPLE",IF(N192&gt;=16,"VIGENTE"))</f>
        <v>VIGENTE</v>
      </c>
      <c r="P192" s="20">
        <v>46023</v>
      </c>
      <c r="Q192" s="20">
        <f>P192+730</f>
        <v>46753</v>
      </c>
      <c r="R192" s="21">
        <f t="shared" ca="1" si="259"/>
        <v>531.49944016203517</v>
      </c>
      <c r="S192" s="22" t="str">
        <f ca="1">IF(R192&lt;=16,"NO CUMPLE",IF(R192&gt;=16,"VIGENTE"))</f>
        <v>VIGENTE</v>
      </c>
      <c r="T192" s="20">
        <v>46021</v>
      </c>
      <c r="U192" s="20">
        <f>T192+730</f>
        <v>46751</v>
      </c>
      <c r="V192" s="21">
        <f t="shared" ca="1" si="260"/>
        <v>529.49944016203517</v>
      </c>
      <c r="W192" s="22" t="str">
        <f ca="1">IF(V192&lt;=16,"NO CUMPLE",IF(V192&gt;=16,"VIGENTE"))</f>
        <v>VIGENTE</v>
      </c>
      <c r="X192" s="23">
        <v>4</v>
      </c>
      <c r="Y192" s="23">
        <v>3</v>
      </c>
      <c r="Z192" s="23">
        <f t="shared" si="261"/>
        <v>4</v>
      </c>
      <c r="AA192" s="23">
        <f t="shared" ca="1" si="262"/>
        <v>3</v>
      </c>
      <c r="AB192" s="24">
        <f t="shared" ref="AB192:AC192" si="340">Z192/X192</f>
        <v>1</v>
      </c>
      <c r="AC192" s="24">
        <f t="shared" ca="1" si="340"/>
        <v>1</v>
      </c>
      <c r="AD192" s="25">
        <f ca="1">(Z192+AA192)/7</f>
        <v>1</v>
      </c>
      <c r="AE192" s="23"/>
      <c r="AF192" s="23"/>
      <c r="AG192" s="23"/>
      <c r="AH192" s="23"/>
    </row>
    <row r="193" spans="1:34" ht="14.4" x14ac:dyDescent="0.3">
      <c r="A193" s="30"/>
      <c r="B193" s="34"/>
      <c r="C193" s="18" t="str">
        <f>LOOKUP(F193,BD!C:C,BD!A:A)</f>
        <v xml:space="preserve">MARIA JOSE </v>
      </c>
      <c r="D193" s="18" t="str">
        <f>LOOKUP(F193,BD!C:C,BD!B:B)</f>
        <v>MUÑOZ GALLO</v>
      </c>
      <c r="E193" s="18">
        <v>3332651639</v>
      </c>
      <c r="F193" s="18">
        <v>1000636778</v>
      </c>
      <c r="G193" s="18">
        <f>LOOKUP(F193,BD!C:C,BD!D:D)</f>
        <v>25061556351</v>
      </c>
      <c r="H193" s="19" t="s">
        <v>30</v>
      </c>
      <c r="I193" s="19" t="s">
        <v>30</v>
      </c>
      <c r="J193" s="19" t="s">
        <v>30</v>
      </c>
      <c r="K193" s="19" t="s">
        <v>30</v>
      </c>
      <c r="L193" s="20">
        <v>45814</v>
      </c>
      <c r="M193" s="20">
        <f t="shared" ref="M193:M203" si="341">L193+730</f>
        <v>46544</v>
      </c>
      <c r="N193" s="21">
        <f t="shared" ca="1" si="258"/>
        <v>322.4994402777811</v>
      </c>
      <c r="O193" s="22" t="str">
        <f ca="1">IF(N193&lt;=16,"NO CUMPLE",IF(N193&gt;=16,"VIGENTE"))</f>
        <v>VIGENTE</v>
      </c>
      <c r="P193" s="35"/>
      <c r="Q193" s="20">
        <f>P193+730</f>
        <v>730</v>
      </c>
      <c r="R193" s="21">
        <f t="shared" ca="1" si="259"/>
        <v>-45491.500559837965</v>
      </c>
      <c r="S193" s="22" t="str">
        <f ca="1">IF(R193&lt;=16,"NO CUMPLE",IF(R193&gt;=16,"VIGENTE"))</f>
        <v>NO CUMPLE</v>
      </c>
      <c r="T193" s="35"/>
      <c r="U193" s="20">
        <f>T193+730</f>
        <v>730</v>
      </c>
      <c r="V193" s="21">
        <f t="shared" ca="1" si="260"/>
        <v>-45491.500559837965</v>
      </c>
      <c r="W193" s="22" t="str">
        <f ca="1">IF(V193&lt;=16,"NO CUMPLE",IF(V193&gt;=16,"VIGENTE"))</f>
        <v>NO CUMPLE</v>
      </c>
      <c r="X193" s="23">
        <v>4</v>
      </c>
      <c r="Y193" s="23">
        <v>3</v>
      </c>
      <c r="Z193" s="23">
        <f t="shared" si="261"/>
        <v>4</v>
      </c>
      <c r="AA193" s="23">
        <f t="shared" ca="1" si="262"/>
        <v>1</v>
      </c>
      <c r="AB193" s="24">
        <f t="shared" ref="AB193:AC193" si="342">Z193/X193</f>
        <v>1</v>
      </c>
      <c r="AC193" s="24">
        <f t="shared" ca="1" si="342"/>
        <v>0.33333333333333331</v>
      </c>
      <c r="AD193" s="25">
        <f t="shared" ref="AD193:AD197" ca="1" si="343">(Z193+AA193)/7</f>
        <v>0.7142857142857143</v>
      </c>
      <c r="AE193" s="23"/>
      <c r="AF193" s="23"/>
      <c r="AG193" s="23"/>
      <c r="AH193" s="23"/>
    </row>
    <row r="194" spans="1:34" ht="14.4" x14ac:dyDescent="0.3">
      <c r="A194" s="30"/>
      <c r="B194" s="27"/>
      <c r="C194" s="32" t="str">
        <f>LOOKUP(F194,BD!C:C,BD!A:A)</f>
        <v>MARIA VALENTINA</v>
      </c>
      <c r="D194" s="18" t="str">
        <f>LOOKUP(F194,BD!C:C,BD!B:B)</f>
        <v>GIRALDO LLANO</v>
      </c>
      <c r="E194" s="18">
        <v>3025185622</v>
      </c>
      <c r="F194" s="18">
        <v>1027660658</v>
      </c>
      <c r="G194" s="18">
        <f>LOOKUP(F194,BD!C:C,BD!D:D)</f>
        <v>25060001652</v>
      </c>
      <c r="H194" s="19" t="s">
        <v>30</v>
      </c>
      <c r="I194" s="19" t="s">
        <v>30</v>
      </c>
      <c r="J194" s="19" t="s">
        <v>30</v>
      </c>
      <c r="K194" s="19" t="s">
        <v>30</v>
      </c>
      <c r="L194" s="20">
        <v>45684</v>
      </c>
      <c r="M194" s="20">
        <f t="shared" si="341"/>
        <v>46414</v>
      </c>
      <c r="N194" s="21">
        <f t="shared" ca="1" si="258"/>
        <v>192.49944016203517</v>
      </c>
      <c r="O194" s="22" t="str">
        <f ca="1">IF(N194&lt;=1,"NO CUMPLE",IF(N194&gt;=2,"VIGENTE"))</f>
        <v>VIGENTE</v>
      </c>
      <c r="P194" s="20">
        <v>45682</v>
      </c>
      <c r="Q194" s="20">
        <f>P194+365</f>
        <v>46047</v>
      </c>
      <c r="R194" s="21">
        <f t="shared" ca="1" si="259"/>
        <v>-174.50055983796483</v>
      </c>
      <c r="S194" s="22" t="str">
        <f ca="1">IF(R194&lt;=1,"NO CUMPLE",IF(R194&gt;=2,"VIGENTE"))</f>
        <v>NO CUMPLE</v>
      </c>
      <c r="T194" s="20">
        <v>45681</v>
      </c>
      <c r="U194" s="20">
        <f>T194+365</f>
        <v>46046</v>
      </c>
      <c r="V194" s="21">
        <f t="shared" ca="1" si="260"/>
        <v>-175.50055983796483</v>
      </c>
      <c r="W194" s="22" t="str">
        <f ca="1">IF(V194&lt;=1,"NO CUMPLE",IF(V194&gt;=2,"VIGENTE"))</f>
        <v>NO CUMPLE</v>
      </c>
      <c r="X194" s="23">
        <v>4</v>
      </c>
      <c r="Y194" s="23">
        <v>3</v>
      </c>
      <c r="Z194" s="23">
        <f t="shared" si="261"/>
        <v>4</v>
      </c>
      <c r="AA194" s="23">
        <f t="shared" ca="1" si="262"/>
        <v>1</v>
      </c>
      <c r="AB194" s="24">
        <f t="shared" ref="AB194:AC194" si="344">Z194/X194</f>
        <v>1</v>
      </c>
      <c r="AC194" s="24">
        <f t="shared" ca="1" si="344"/>
        <v>0.33333333333333331</v>
      </c>
      <c r="AD194" s="25">
        <f t="shared" ca="1" si="343"/>
        <v>0.7142857142857143</v>
      </c>
      <c r="AE194" s="23"/>
      <c r="AF194" s="23"/>
      <c r="AG194" s="23"/>
      <c r="AH194" s="23"/>
    </row>
    <row r="195" spans="1:34" ht="14.4" x14ac:dyDescent="0.3">
      <c r="A195" s="30"/>
      <c r="B195" s="34"/>
      <c r="C195" s="18" t="str">
        <f>LOOKUP(F195,BD!C:C,BD!A:A)</f>
        <v>MARIANA</v>
      </c>
      <c r="D195" s="18" t="str">
        <f>LOOKUP(F195,BD!C:C,BD!B:B)</f>
        <v>GARCÍA LONDOÑO</v>
      </c>
      <c r="E195" s="18">
        <v>3116819801</v>
      </c>
      <c r="F195" s="18">
        <v>1017925524</v>
      </c>
      <c r="G195" s="18">
        <f>LOOKUP(F195,BD!C:C,BD!D:D)</f>
        <v>24060249847</v>
      </c>
      <c r="H195" s="19" t="s">
        <v>30</v>
      </c>
      <c r="I195" s="19" t="s">
        <v>30</v>
      </c>
      <c r="J195" s="19" t="s">
        <v>30</v>
      </c>
      <c r="K195" s="19" t="s">
        <v>30</v>
      </c>
      <c r="L195" s="20">
        <v>45489</v>
      </c>
      <c r="M195" s="20">
        <f t="shared" si="341"/>
        <v>46219</v>
      </c>
      <c r="N195" s="21">
        <f t="shared" ca="1" si="258"/>
        <v>-2.5005598379648291</v>
      </c>
      <c r="O195" s="22" t="str">
        <f ca="1">IF(N195&lt;=16,"NO CUMPLE",IF(N195&gt;=16,"VIGENTE"))</f>
        <v>NO CUMPLE</v>
      </c>
      <c r="P195" s="38">
        <v>45329</v>
      </c>
      <c r="Q195" s="20">
        <f>P195+730</f>
        <v>46059</v>
      </c>
      <c r="R195" s="21">
        <f t="shared" ca="1" si="259"/>
        <v>-162.5005597222189</v>
      </c>
      <c r="S195" s="22" t="str">
        <f ca="1">IF(R195&lt;=16,"NO CUMPLE",IF(R195&gt;=16,"VIGENTE"))</f>
        <v>NO CUMPLE</v>
      </c>
      <c r="T195" s="20">
        <v>46054</v>
      </c>
      <c r="U195" s="20">
        <f>T195+730</f>
        <v>46784</v>
      </c>
      <c r="V195" s="21">
        <f t="shared" ca="1" si="260"/>
        <v>562.49944016203517</v>
      </c>
      <c r="W195" s="22" t="str">
        <f ca="1">IF(V195&lt;=16,"NO CUMPLE",IF(V195&gt;=16,"VIGENTE"))</f>
        <v>VIGENTE</v>
      </c>
      <c r="X195" s="23">
        <v>4</v>
      </c>
      <c r="Y195" s="23">
        <v>3</v>
      </c>
      <c r="Z195" s="23">
        <f t="shared" si="261"/>
        <v>4</v>
      </c>
      <c r="AA195" s="23">
        <f t="shared" ca="1" si="262"/>
        <v>1</v>
      </c>
      <c r="AB195" s="24">
        <f t="shared" ref="AB195:AC195" si="345">Z195/X195</f>
        <v>1</v>
      </c>
      <c r="AC195" s="24">
        <f t="shared" ca="1" si="345"/>
        <v>0.33333333333333331</v>
      </c>
      <c r="AD195" s="25">
        <f t="shared" ca="1" si="343"/>
        <v>0.7142857142857143</v>
      </c>
      <c r="AE195" s="23"/>
      <c r="AF195" s="23"/>
      <c r="AG195" s="23"/>
      <c r="AH195" s="23"/>
    </row>
    <row r="196" spans="1:34" ht="14.4" x14ac:dyDescent="0.3">
      <c r="A196" s="26"/>
      <c r="B196" s="27"/>
      <c r="C196" s="18" t="str">
        <f>LOOKUP(F196,BD!C:C,BD!A:A)</f>
        <v>MARIBEL</v>
      </c>
      <c r="D196" s="18" t="str">
        <f>LOOKUP(F196,BD!C:C,BD!B:B)</f>
        <v>MARTINEZ MADRIGAL</v>
      </c>
      <c r="E196" s="18">
        <v>3214388994</v>
      </c>
      <c r="F196" s="18">
        <v>37579675</v>
      </c>
      <c r="G196" s="18">
        <f>LOOKUP(F196,BD!C:C,BD!D:D)</f>
        <v>6273</v>
      </c>
      <c r="H196" s="19" t="s">
        <v>30</v>
      </c>
      <c r="I196" s="19" t="s">
        <v>30</v>
      </c>
      <c r="J196" s="19" t="s">
        <v>30</v>
      </c>
      <c r="K196" s="19" t="s">
        <v>30</v>
      </c>
      <c r="L196" s="20">
        <v>45968</v>
      </c>
      <c r="M196" s="20">
        <f t="shared" si="341"/>
        <v>46698</v>
      </c>
      <c r="N196" s="21">
        <f t="shared" ca="1" si="258"/>
        <v>476.49944016203517</v>
      </c>
      <c r="O196" s="22" t="str">
        <f ca="1">IF(N196&lt;=1,"NO CUMPLE",IF(N196&gt;=2,"VIGENTE"))</f>
        <v>VIGENTE</v>
      </c>
      <c r="P196" s="20">
        <v>45994</v>
      </c>
      <c r="Q196" s="20">
        <f>P196+365</f>
        <v>46359</v>
      </c>
      <c r="R196" s="21">
        <f t="shared" ca="1" si="259"/>
        <v>137.49944016203517</v>
      </c>
      <c r="S196" s="22" t="str">
        <f ca="1">IF(R196&lt;=1,"NO CUMPLE",IF(R196&gt;=2,"VIGENTE"))</f>
        <v>VIGENTE</v>
      </c>
      <c r="T196" s="20">
        <v>45708</v>
      </c>
      <c r="U196" s="20">
        <f>T196+365</f>
        <v>46073</v>
      </c>
      <c r="V196" s="21">
        <f t="shared" ca="1" si="260"/>
        <v>-148.50055983796483</v>
      </c>
      <c r="W196" s="22" t="str">
        <f ca="1">IF(V196&lt;=1,"NO CUMPLE",IF(V196&gt;=2,"VIGENTE"))</f>
        <v>NO CUMPLE</v>
      </c>
      <c r="X196" s="23">
        <v>4</v>
      </c>
      <c r="Y196" s="23">
        <v>3</v>
      </c>
      <c r="Z196" s="23">
        <f t="shared" si="261"/>
        <v>4</v>
      </c>
      <c r="AA196" s="23">
        <f t="shared" ca="1" si="262"/>
        <v>2</v>
      </c>
      <c r="AB196" s="24">
        <f t="shared" ref="AB196:AC196" si="346">Z196/X196</f>
        <v>1</v>
      </c>
      <c r="AC196" s="24">
        <f t="shared" ca="1" si="346"/>
        <v>0.66666666666666663</v>
      </c>
      <c r="AD196" s="25">
        <f t="shared" ca="1" si="343"/>
        <v>0.8571428571428571</v>
      </c>
      <c r="AE196" s="23"/>
      <c r="AF196" s="23"/>
      <c r="AG196" s="23"/>
      <c r="AH196" s="23"/>
    </row>
    <row r="197" spans="1:34" ht="14.4" x14ac:dyDescent="0.3">
      <c r="A197" s="30"/>
      <c r="B197" s="34"/>
      <c r="C197" s="18" t="str">
        <f>LOOKUP(F197,BD!C:C,BD!A:A)</f>
        <v>MARSHALL</v>
      </c>
      <c r="D197" s="18" t="str">
        <f>LOOKUP(F197,BD!C:C,BD!B:B)</f>
        <v>MOLINA RAMÍREZ</v>
      </c>
      <c r="E197" s="18">
        <v>3215625860</v>
      </c>
      <c r="F197" s="18">
        <v>1035852748</v>
      </c>
      <c r="G197" s="18">
        <f>LOOKUP(F197,BD!C:C,BD!D:D)</f>
        <v>25060174646</v>
      </c>
      <c r="H197" s="19" t="s">
        <v>30</v>
      </c>
      <c r="I197" s="19" t="s">
        <v>30</v>
      </c>
      <c r="J197" s="19" t="s">
        <v>30</v>
      </c>
      <c r="K197" s="19" t="s">
        <v>30</v>
      </c>
      <c r="L197" s="20">
        <v>45817</v>
      </c>
      <c r="M197" s="20">
        <f t="shared" si="341"/>
        <v>46547</v>
      </c>
      <c r="N197" s="21">
        <f t="shared" ca="1" si="258"/>
        <v>325.49944016203517</v>
      </c>
      <c r="O197" s="22" t="str">
        <f t="shared" ref="O197:O202" ca="1" si="347">IF(N197&lt;=16,"NO CUMPLE",IF(N197&gt;=16,"VIGENTE"))</f>
        <v>VIGENTE</v>
      </c>
      <c r="P197" s="20">
        <v>45817</v>
      </c>
      <c r="Q197" s="20">
        <f t="shared" ref="Q197:Q203" si="348">P197+730</f>
        <v>46547</v>
      </c>
      <c r="R197" s="21">
        <f t="shared" ca="1" si="259"/>
        <v>325.49944016203517</v>
      </c>
      <c r="S197" s="22" t="str">
        <f t="shared" ref="S197:S202" ca="1" si="349">IF(R197&lt;=16,"NO CUMPLE",IF(R197&gt;=16,"VIGENTE"))</f>
        <v>VIGENTE</v>
      </c>
      <c r="T197" s="20">
        <v>45817</v>
      </c>
      <c r="U197" s="20">
        <f t="shared" ref="U197:U202" si="350">T197+730</f>
        <v>46547</v>
      </c>
      <c r="V197" s="21">
        <f t="shared" ca="1" si="260"/>
        <v>325.49944016203517</v>
      </c>
      <c r="W197" s="22" t="str">
        <f t="shared" ref="W197:W202" ca="1" si="351">IF(V197&lt;=16,"NO CUMPLE",IF(V197&gt;=16,"VIGENTE"))</f>
        <v>VIGENTE</v>
      </c>
      <c r="X197" s="23">
        <v>4</v>
      </c>
      <c r="Y197" s="23">
        <v>3</v>
      </c>
      <c r="Z197" s="23">
        <f t="shared" si="261"/>
        <v>4</v>
      </c>
      <c r="AA197" s="23">
        <f t="shared" ca="1" si="262"/>
        <v>3</v>
      </c>
      <c r="AB197" s="24">
        <f t="shared" ref="AB197:AC197" si="352">Z197/X197</f>
        <v>1</v>
      </c>
      <c r="AC197" s="24">
        <f t="shared" ca="1" si="352"/>
        <v>1</v>
      </c>
      <c r="AD197" s="25">
        <f t="shared" ca="1" si="343"/>
        <v>1</v>
      </c>
      <c r="AE197" s="23"/>
      <c r="AF197" s="23"/>
      <c r="AG197" s="23"/>
      <c r="AH197" s="23"/>
    </row>
    <row r="198" spans="1:34" ht="14.4" x14ac:dyDescent="0.3">
      <c r="A198" s="30"/>
      <c r="B198" s="34"/>
      <c r="C198" s="18" t="str">
        <f>LOOKUP(F198,BD!C:C,BD!A:A)</f>
        <v>PAULA ANDREA</v>
      </c>
      <c r="D198" s="18" t="str">
        <f>LOOKUP(F198,BD!C:C,BD!B:B)</f>
        <v>ACEVEDO ARROYAVE</v>
      </c>
      <c r="E198" s="18">
        <v>3046052861</v>
      </c>
      <c r="F198" s="18">
        <v>1152203332</v>
      </c>
      <c r="G198" s="18">
        <f>LOOKUP(F198,BD!C:C,BD!D:D)</f>
        <v>5056222</v>
      </c>
      <c r="H198" s="19" t="s">
        <v>30</v>
      </c>
      <c r="I198" s="19" t="s">
        <v>30</v>
      </c>
      <c r="J198" s="19" t="s">
        <v>30</v>
      </c>
      <c r="K198" s="19" t="s">
        <v>30</v>
      </c>
      <c r="L198" s="20">
        <v>46044</v>
      </c>
      <c r="M198" s="20">
        <f t="shared" si="341"/>
        <v>46774</v>
      </c>
      <c r="N198" s="21">
        <f t="shared" ca="1" si="258"/>
        <v>552.49944016203517</v>
      </c>
      <c r="O198" s="22" t="str">
        <f t="shared" ca="1" si="347"/>
        <v>VIGENTE</v>
      </c>
      <c r="P198" s="20">
        <v>46044</v>
      </c>
      <c r="Q198" s="20">
        <f t="shared" si="348"/>
        <v>46774</v>
      </c>
      <c r="R198" s="21">
        <f t="shared" ca="1" si="259"/>
        <v>552.49944016203517</v>
      </c>
      <c r="S198" s="22" t="str">
        <f t="shared" ca="1" si="349"/>
        <v>VIGENTE</v>
      </c>
      <c r="T198" s="20">
        <v>46044</v>
      </c>
      <c r="U198" s="20">
        <f t="shared" si="350"/>
        <v>46774</v>
      </c>
      <c r="V198" s="21">
        <f t="shared" ca="1" si="260"/>
        <v>552.49944016203517</v>
      </c>
      <c r="W198" s="22" t="str">
        <f t="shared" ca="1" si="351"/>
        <v>VIGENTE</v>
      </c>
      <c r="X198" s="23">
        <v>4</v>
      </c>
      <c r="Y198" s="23">
        <v>3</v>
      </c>
      <c r="Z198" s="23">
        <f t="shared" si="261"/>
        <v>4</v>
      </c>
      <c r="AA198" s="23">
        <f t="shared" ca="1" si="262"/>
        <v>3</v>
      </c>
      <c r="AB198" s="24">
        <f t="shared" ref="AB198:AC198" si="353">Z198/X198</f>
        <v>1</v>
      </c>
      <c r="AC198" s="24">
        <f t="shared" ca="1" si="353"/>
        <v>1</v>
      </c>
      <c r="AD198" s="25">
        <f t="shared" ref="AD198:AD199" ca="1" si="354">(Z198+AA198)/7</f>
        <v>1</v>
      </c>
      <c r="AE198" s="23"/>
      <c r="AF198" s="23"/>
      <c r="AG198" s="23"/>
      <c r="AH198" s="23"/>
    </row>
    <row r="199" spans="1:34" ht="14.4" x14ac:dyDescent="0.3">
      <c r="A199" s="30"/>
      <c r="B199" s="34"/>
      <c r="C199" s="18" t="str">
        <f>LOOKUP(F199,BD!C:C,BD!A:A)</f>
        <v>ROBERT ESMITH</v>
      </c>
      <c r="D199" s="18" t="str">
        <f>LOOKUP(F199,BD!C:C,BD!B:B)</f>
        <v>OSORIO MOLINA</v>
      </c>
      <c r="E199" s="18">
        <v>3165266184</v>
      </c>
      <c r="F199" s="18">
        <v>1115691541</v>
      </c>
      <c r="G199" s="18">
        <f>LOOKUP(F199,BD!C:C,BD!D:D)</f>
        <v>25061009713</v>
      </c>
      <c r="H199" s="19" t="s">
        <v>30</v>
      </c>
      <c r="I199" s="19" t="s">
        <v>30</v>
      </c>
      <c r="J199" s="19" t="s">
        <v>30</v>
      </c>
      <c r="K199" s="19" t="s">
        <v>30</v>
      </c>
      <c r="L199" s="35"/>
      <c r="M199" s="20">
        <f t="shared" si="341"/>
        <v>730</v>
      </c>
      <c r="N199" s="21">
        <f t="shared" ca="1" si="258"/>
        <v>-45491.500559837965</v>
      </c>
      <c r="O199" s="22" t="str">
        <f t="shared" ca="1" si="347"/>
        <v>NO CUMPLE</v>
      </c>
      <c r="P199" s="20">
        <v>45728</v>
      </c>
      <c r="Q199" s="20">
        <f t="shared" si="348"/>
        <v>46458</v>
      </c>
      <c r="R199" s="21">
        <f t="shared" ca="1" si="259"/>
        <v>236.49944016203517</v>
      </c>
      <c r="S199" s="22" t="str">
        <f t="shared" ca="1" si="349"/>
        <v>VIGENTE</v>
      </c>
      <c r="T199" s="20">
        <v>45728</v>
      </c>
      <c r="U199" s="20">
        <f t="shared" si="350"/>
        <v>46458</v>
      </c>
      <c r="V199" s="21">
        <f t="shared" ca="1" si="260"/>
        <v>236.49944016203517</v>
      </c>
      <c r="W199" s="22" t="str">
        <f t="shared" ca="1" si="351"/>
        <v>VIGENTE</v>
      </c>
      <c r="X199" s="23">
        <v>4</v>
      </c>
      <c r="Y199" s="23">
        <v>3</v>
      </c>
      <c r="Z199" s="23">
        <f t="shared" si="261"/>
        <v>4</v>
      </c>
      <c r="AA199" s="23">
        <f t="shared" ca="1" si="262"/>
        <v>2</v>
      </c>
      <c r="AB199" s="24">
        <f t="shared" ref="AB199:AC199" si="355">Z199/X199</f>
        <v>1</v>
      </c>
      <c r="AC199" s="24">
        <f t="shared" ca="1" si="355"/>
        <v>0.66666666666666663</v>
      </c>
      <c r="AD199" s="25">
        <f t="shared" ca="1" si="354"/>
        <v>0.8571428571428571</v>
      </c>
      <c r="AE199" s="23"/>
      <c r="AF199" s="23"/>
      <c r="AG199" s="23"/>
      <c r="AH199" s="23"/>
    </row>
    <row r="200" spans="1:34" ht="14.4" x14ac:dyDescent="0.3">
      <c r="A200" s="16"/>
      <c r="B200" s="17"/>
      <c r="C200" s="18" t="str">
        <f>LOOKUP(F200,BD!C:C,BD!A:A)</f>
        <v>SARA ALEJANDRA</v>
      </c>
      <c r="D200" s="18" t="str">
        <f>LOOKUP(F200,BD!C:C,BD!B:B)</f>
        <v>BETANCUR ACEVEDO</v>
      </c>
      <c r="E200" s="18">
        <v>3002441990</v>
      </c>
      <c r="F200" s="18">
        <v>1017276021</v>
      </c>
      <c r="G200" s="18">
        <f>LOOKUP(F200,BD!C:C,BD!D:D)</f>
        <v>5332023</v>
      </c>
      <c r="H200" s="19" t="s">
        <v>30</v>
      </c>
      <c r="I200" s="19" t="s">
        <v>30</v>
      </c>
      <c r="J200" s="19" t="s">
        <v>30</v>
      </c>
      <c r="K200" s="19" t="s">
        <v>30</v>
      </c>
      <c r="L200" s="20">
        <v>45506</v>
      </c>
      <c r="M200" s="20">
        <f t="shared" si="341"/>
        <v>46236</v>
      </c>
      <c r="N200" s="21">
        <f t="shared" ca="1" si="258"/>
        <v>14.499440162035171</v>
      </c>
      <c r="O200" s="22" t="str">
        <f t="shared" ca="1" si="347"/>
        <v>NO CUMPLE</v>
      </c>
      <c r="P200" s="20">
        <v>45506</v>
      </c>
      <c r="Q200" s="20">
        <f t="shared" si="348"/>
        <v>46236</v>
      </c>
      <c r="R200" s="21">
        <f t="shared" ca="1" si="259"/>
        <v>14.499440277781105</v>
      </c>
      <c r="S200" s="22" t="str">
        <f t="shared" ca="1" si="349"/>
        <v>NO CUMPLE</v>
      </c>
      <c r="T200" s="20">
        <v>45367</v>
      </c>
      <c r="U200" s="20">
        <f t="shared" si="350"/>
        <v>46097</v>
      </c>
      <c r="V200" s="21">
        <f t="shared" ca="1" si="260"/>
        <v>-124.50055983796483</v>
      </c>
      <c r="W200" s="22" t="str">
        <f t="shared" ca="1" si="351"/>
        <v>NO CUMPLE</v>
      </c>
      <c r="X200" s="23">
        <v>4</v>
      </c>
      <c r="Y200" s="23">
        <v>3</v>
      </c>
      <c r="Z200" s="23">
        <f t="shared" si="261"/>
        <v>4</v>
      </c>
      <c r="AA200" s="23">
        <f t="shared" ca="1" si="262"/>
        <v>0</v>
      </c>
      <c r="AB200" s="24">
        <f t="shared" ref="AB200:AC200" si="356">Z200/X200</f>
        <v>1</v>
      </c>
      <c r="AC200" s="24">
        <f t="shared" ca="1" si="356"/>
        <v>0</v>
      </c>
      <c r="AD200" s="25">
        <f t="shared" ref="AD200:AD203" ca="1" si="357">(Z200+AA200)/7</f>
        <v>0.5714285714285714</v>
      </c>
      <c r="AE200" s="23"/>
      <c r="AF200" s="23"/>
      <c r="AG200" s="23"/>
      <c r="AH200" s="23"/>
    </row>
    <row r="201" spans="1:34" ht="14.4" x14ac:dyDescent="0.3">
      <c r="A201" s="30"/>
      <c r="B201" s="17"/>
      <c r="C201" s="18" t="str">
        <f>LOOKUP(F201,BD!C:C,BD!A:A)</f>
        <v>VALENTINA</v>
      </c>
      <c r="D201" s="18" t="str">
        <f>LOOKUP(F201,BD!C:C,BD!B:B)</f>
        <v>ZULETA CHAVARRIA</v>
      </c>
      <c r="E201" s="18">
        <v>3015199628</v>
      </c>
      <c r="F201" s="18">
        <v>1036682054</v>
      </c>
      <c r="G201" s="18">
        <f>LOOKUP(F201,BD!C:C,BD!D:D)</f>
        <v>5350923</v>
      </c>
      <c r="H201" s="19" t="s">
        <v>30</v>
      </c>
      <c r="I201" s="19" t="s">
        <v>30</v>
      </c>
      <c r="J201" s="19" t="s">
        <v>30</v>
      </c>
      <c r="K201" s="19" t="s">
        <v>30</v>
      </c>
      <c r="L201" s="20">
        <v>45621</v>
      </c>
      <c r="M201" s="20">
        <f t="shared" si="341"/>
        <v>46351</v>
      </c>
      <c r="N201" s="21">
        <f t="shared" ca="1" si="258"/>
        <v>129.49944016203517</v>
      </c>
      <c r="O201" s="22" t="str">
        <f t="shared" ca="1" si="347"/>
        <v>VIGENTE</v>
      </c>
      <c r="P201" s="20">
        <v>45617</v>
      </c>
      <c r="Q201" s="20">
        <f t="shared" si="348"/>
        <v>46347</v>
      </c>
      <c r="R201" s="21">
        <f t="shared" ca="1" si="259"/>
        <v>125.49944016203517</v>
      </c>
      <c r="S201" s="22" t="str">
        <f t="shared" ca="1" si="349"/>
        <v>VIGENTE</v>
      </c>
      <c r="T201" s="39"/>
      <c r="U201" s="20">
        <f t="shared" si="350"/>
        <v>730</v>
      </c>
      <c r="V201" s="21">
        <f t="shared" ca="1" si="260"/>
        <v>-45491.500559837965</v>
      </c>
      <c r="W201" s="22" t="str">
        <f t="shared" ca="1" si="351"/>
        <v>NO CUMPLE</v>
      </c>
      <c r="X201" s="23">
        <v>4</v>
      </c>
      <c r="Y201" s="23">
        <v>3</v>
      </c>
      <c r="Z201" s="23">
        <f t="shared" si="261"/>
        <v>4</v>
      </c>
      <c r="AA201" s="23">
        <f t="shared" ca="1" si="262"/>
        <v>2</v>
      </c>
      <c r="AB201" s="24">
        <f t="shared" ref="AB201:AC201" si="358">Z201/X201</f>
        <v>1</v>
      </c>
      <c r="AC201" s="24">
        <f t="shared" ca="1" si="358"/>
        <v>0.66666666666666663</v>
      </c>
      <c r="AD201" s="25">
        <f t="shared" ca="1" si="357"/>
        <v>0.8571428571428571</v>
      </c>
      <c r="AE201" s="23"/>
      <c r="AF201" s="23"/>
      <c r="AG201" s="23"/>
      <c r="AH201" s="23"/>
    </row>
    <row r="202" spans="1:34" ht="14.4" x14ac:dyDescent="0.3">
      <c r="A202" s="30"/>
      <c r="B202" s="27"/>
      <c r="C202" s="18" t="str">
        <f>LOOKUP(F202,BD!C:C,BD!A:A)</f>
        <v>YADERLY</v>
      </c>
      <c r="D202" s="18" t="str">
        <f>LOOKUP(F202,BD!C:C,BD!B:B)</f>
        <v>LONDOÑO AMAYA</v>
      </c>
      <c r="E202" s="18">
        <v>3217102551</v>
      </c>
      <c r="F202" s="18">
        <v>1037655861</v>
      </c>
      <c r="G202" s="18">
        <f>LOOKUP(F202,BD!C:C,BD!D:D)</f>
        <v>5466715</v>
      </c>
      <c r="H202" s="19" t="s">
        <v>30</v>
      </c>
      <c r="I202" s="19" t="s">
        <v>30</v>
      </c>
      <c r="J202" s="19" t="s">
        <v>30</v>
      </c>
      <c r="K202" s="19" t="s">
        <v>30</v>
      </c>
      <c r="L202" s="20">
        <v>45768</v>
      </c>
      <c r="M202" s="20">
        <f t="shared" si="341"/>
        <v>46498</v>
      </c>
      <c r="N202" s="21">
        <f t="shared" ca="1" si="258"/>
        <v>276.49944016203517</v>
      </c>
      <c r="O202" s="22" t="str">
        <f t="shared" ca="1" si="347"/>
        <v>VIGENTE</v>
      </c>
      <c r="P202" s="35">
        <v>45404</v>
      </c>
      <c r="Q202" s="20">
        <f t="shared" si="348"/>
        <v>46134</v>
      </c>
      <c r="R202" s="21">
        <f t="shared" ca="1" si="259"/>
        <v>-87.500559837964829</v>
      </c>
      <c r="S202" s="22" t="str">
        <f t="shared" ca="1" si="349"/>
        <v>NO CUMPLE</v>
      </c>
      <c r="T202" s="35">
        <v>45402</v>
      </c>
      <c r="U202" s="20">
        <f t="shared" si="350"/>
        <v>46132</v>
      </c>
      <c r="V202" s="21">
        <f t="shared" ca="1" si="260"/>
        <v>-89.500559837964829</v>
      </c>
      <c r="W202" s="22" t="str">
        <f t="shared" ca="1" si="351"/>
        <v>NO CUMPLE</v>
      </c>
      <c r="X202" s="23">
        <v>4</v>
      </c>
      <c r="Y202" s="23">
        <v>3</v>
      </c>
      <c r="Z202" s="23">
        <f t="shared" si="261"/>
        <v>4</v>
      </c>
      <c r="AA202" s="23">
        <f t="shared" ca="1" si="262"/>
        <v>1</v>
      </c>
      <c r="AB202" s="24">
        <f t="shared" ref="AB202:AC202" si="359">Z202/X202</f>
        <v>1</v>
      </c>
      <c r="AC202" s="24">
        <f t="shared" ca="1" si="359"/>
        <v>0.33333333333333331</v>
      </c>
      <c r="AD202" s="25">
        <f t="shared" ca="1" si="357"/>
        <v>0.7142857142857143</v>
      </c>
      <c r="AE202" s="23"/>
      <c r="AF202" s="23"/>
      <c r="AG202" s="23"/>
      <c r="AH202" s="23"/>
    </row>
    <row r="203" spans="1:34" ht="14.4" x14ac:dyDescent="0.3">
      <c r="A203" s="30"/>
      <c r="B203" s="27"/>
      <c r="C203" s="18" t="str">
        <f>LOOKUP(F203,BD!C:C,BD!A:A)</f>
        <v>YULIANA</v>
      </c>
      <c r="D203" s="18" t="str">
        <f>LOOKUP(F203,BD!C:C,BD!B:B)</f>
        <v>RAMIREZ RODRIGUEZ</v>
      </c>
      <c r="E203" s="18">
        <v>3137914711</v>
      </c>
      <c r="F203" s="18">
        <v>1128397533</v>
      </c>
      <c r="G203" s="18">
        <f>LOOKUP(F203,BD!C:C,BD!D:D)</f>
        <v>5374815</v>
      </c>
      <c r="H203" s="19" t="s">
        <v>30</v>
      </c>
      <c r="I203" s="19" t="s">
        <v>30</v>
      </c>
      <c r="J203" s="19" t="s">
        <v>30</v>
      </c>
      <c r="K203" s="19" t="s">
        <v>30</v>
      </c>
      <c r="L203" s="20">
        <v>45841</v>
      </c>
      <c r="M203" s="20">
        <f t="shared" si="341"/>
        <v>46571</v>
      </c>
      <c r="N203" s="21">
        <f t="shared" ca="1" si="258"/>
        <v>349.49944016203517</v>
      </c>
      <c r="O203" s="22" t="str">
        <f ca="1">IF(N203&lt;=1,"NO CUMPLE",IF(N203&gt;=2,"VIGENTE"))</f>
        <v>VIGENTE</v>
      </c>
      <c r="P203" s="20">
        <v>45938</v>
      </c>
      <c r="Q203" s="20">
        <f t="shared" si="348"/>
        <v>46668</v>
      </c>
      <c r="R203" s="21">
        <f t="shared" ca="1" si="259"/>
        <v>446.49944016203517</v>
      </c>
      <c r="S203" s="22" t="str">
        <f ca="1">IF(R203&lt;=1,"NO CUMPLE",IF(R203&gt;=2,"VIGENTE"))</f>
        <v>VIGENTE</v>
      </c>
      <c r="T203" s="20">
        <v>45722</v>
      </c>
      <c r="U203" s="20">
        <f>T203+365</f>
        <v>46087</v>
      </c>
      <c r="V203" s="21">
        <f t="shared" ca="1" si="260"/>
        <v>-134.50055983796483</v>
      </c>
      <c r="W203" s="22" t="str">
        <f ca="1">IF(V203&lt;=1,"NO CUMPLE",IF(V203&gt;=2,"VIGENTE"))</f>
        <v>NO CUMPLE</v>
      </c>
      <c r="X203" s="23">
        <v>4</v>
      </c>
      <c r="Y203" s="23">
        <v>3</v>
      </c>
      <c r="Z203" s="23">
        <f t="shared" si="261"/>
        <v>4</v>
      </c>
      <c r="AA203" s="23">
        <f t="shared" ca="1" si="262"/>
        <v>2</v>
      </c>
      <c r="AB203" s="24">
        <f t="shared" ref="AB203:AC203" si="360">Z203/X203</f>
        <v>1</v>
      </c>
      <c r="AC203" s="24">
        <f t="shared" ca="1" si="360"/>
        <v>0.66666666666666663</v>
      </c>
      <c r="AD203" s="25">
        <f t="shared" ca="1" si="357"/>
        <v>0.8571428571428571</v>
      </c>
      <c r="AE203" s="23"/>
      <c r="AF203" s="23"/>
      <c r="AG203" s="23"/>
      <c r="AH203" s="23"/>
    </row>
    <row r="204" spans="1:34" ht="12.75" customHeight="1" x14ac:dyDescent="0.3">
      <c r="A204" s="2"/>
      <c r="B204" s="2"/>
      <c r="C204" s="3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4"/>
      <c r="AA204" s="4"/>
      <c r="AB204" s="4"/>
      <c r="AC204" s="4"/>
      <c r="AD204" s="5"/>
      <c r="AE204" s="6"/>
      <c r="AF204" s="6"/>
      <c r="AG204" s="6"/>
      <c r="AH204" s="6"/>
    </row>
    <row r="205" spans="1:34" ht="12.75" customHeight="1" x14ac:dyDescent="0.3">
      <c r="A205" s="2"/>
      <c r="B205" s="2"/>
      <c r="C205" s="3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4"/>
      <c r="AA205" s="4"/>
      <c r="AB205" s="4"/>
      <c r="AC205" s="4"/>
      <c r="AD205" s="5"/>
      <c r="AE205" s="6"/>
      <c r="AF205" s="6"/>
      <c r="AG205" s="6"/>
      <c r="AH205" s="6"/>
    </row>
    <row r="206" spans="1:34" ht="12.75" customHeight="1" x14ac:dyDescent="0.3">
      <c r="A206" s="2"/>
      <c r="B206" s="2"/>
      <c r="C206" s="3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4"/>
      <c r="AA206" s="4"/>
      <c r="AB206" s="4"/>
      <c r="AC206" s="4"/>
      <c r="AD206" s="5"/>
      <c r="AE206" s="6"/>
      <c r="AF206" s="6"/>
      <c r="AG206" s="6"/>
      <c r="AH206" s="6"/>
    </row>
    <row r="207" spans="1:34" ht="12.75" customHeight="1" x14ac:dyDescent="0.3">
      <c r="A207" s="2"/>
      <c r="B207" s="2"/>
      <c r="C207" s="3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4"/>
      <c r="AA207" s="4"/>
      <c r="AB207" s="4"/>
      <c r="AC207" s="4"/>
      <c r="AD207" s="5"/>
      <c r="AE207" s="6"/>
      <c r="AF207" s="6"/>
      <c r="AG207" s="6"/>
      <c r="AH207" s="6"/>
    </row>
    <row r="208" spans="1:34" ht="12.75" customHeight="1" x14ac:dyDescent="0.3">
      <c r="A208" s="2"/>
      <c r="B208" s="2"/>
      <c r="C208" s="3"/>
      <c r="D208" s="3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4"/>
      <c r="AA208" s="4"/>
      <c r="AB208" s="4"/>
      <c r="AC208" s="4"/>
      <c r="AD208" s="5"/>
      <c r="AE208" s="6"/>
      <c r="AF208" s="6"/>
      <c r="AG208" s="6"/>
      <c r="AH208" s="6"/>
    </row>
    <row r="209" spans="1:34" ht="12.75" customHeight="1" x14ac:dyDescent="0.3">
      <c r="A209" s="2"/>
      <c r="B209" s="2"/>
      <c r="C209" s="3"/>
      <c r="D209" s="3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4"/>
      <c r="AA209" s="4"/>
      <c r="AB209" s="4"/>
      <c r="AC209" s="4"/>
      <c r="AD209" s="5"/>
      <c r="AE209" s="6"/>
      <c r="AF209" s="6"/>
      <c r="AG209" s="6"/>
      <c r="AH209" s="6"/>
    </row>
    <row r="210" spans="1:34" ht="12.75" customHeight="1" x14ac:dyDescent="0.3">
      <c r="A210" s="2"/>
      <c r="B210" s="2"/>
      <c r="C210" s="3"/>
      <c r="D210" s="3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4"/>
      <c r="AA210" s="4"/>
      <c r="AB210" s="4"/>
      <c r="AC210" s="4"/>
      <c r="AD210" s="5"/>
      <c r="AE210" s="6"/>
      <c r="AF210" s="6"/>
      <c r="AG210" s="6"/>
      <c r="AH210" s="6"/>
    </row>
    <row r="211" spans="1:34" ht="12.75" customHeight="1" x14ac:dyDescent="0.3">
      <c r="A211" s="2"/>
      <c r="B211" s="2"/>
      <c r="C211" s="3"/>
      <c r="D211" s="3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4"/>
      <c r="AA211" s="4"/>
      <c r="AB211" s="4"/>
      <c r="AC211" s="4"/>
      <c r="AD211" s="5"/>
      <c r="AE211" s="6"/>
      <c r="AF211" s="6"/>
      <c r="AG211" s="6"/>
      <c r="AH211" s="6"/>
    </row>
    <row r="212" spans="1:34" ht="12.75" customHeight="1" x14ac:dyDescent="0.3">
      <c r="A212" s="2"/>
      <c r="B212" s="2"/>
      <c r="C212" s="3"/>
      <c r="D212" s="3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4"/>
      <c r="AA212" s="4"/>
      <c r="AB212" s="4"/>
      <c r="AC212" s="4"/>
      <c r="AD212" s="5"/>
      <c r="AE212" s="6"/>
      <c r="AF212" s="6"/>
      <c r="AG212" s="6"/>
      <c r="AH212" s="6"/>
    </row>
    <row r="213" spans="1:34" ht="12.75" customHeight="1" x14ac:dyDescent="0.3">
      <c r="A213" s="2"/>
      <c r="B213" s="2"/>
      <c r="C213" s="3"/>
      <c r="D213" s="3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4"/>
      <c r="AA213" s="4"/>
      <c r="AB213" s="4"/>
      <c r="AC213" s="4"/>
      <c r="AD213" s="5"/>
      <c r="AE213" s="6"/>
      <c r="AF213" s="6"/>
      <c r="AG213" s="6"/>
      <c r="AH213" s="6"/>
    </row>
    <row r="214" spans="1:34" ht="12.75" customHeight="1" x14ac:dyDescent="0.3">
      <c r="A214" s="2"/>
      <c r="B214" s="2"/>
      <c r="C214" s="3"/>
      <c r="D214" s="3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4"/>
      <c r="AA214" s="4"/>
      <c r="AB214" s="4"/>
      <c r="AC214" s="4"/>
      <c r="AD214" s="5"/>
      <c r="AE214" s="6"/>
      <c r="AF214" s="6"/>
      <c r="AG214" s="6"/>
      <c r="AH214" s="6"/>
    </row>
    <row r="215" spans="1:34" ht="12.75" customHeight="1" x14ac:dyDescent="0.3">
      <c r="A215" s="2"/>
      <c r="B215" s="2"/>
      <c r="C215" s="3"/>
      <c r="D215" s="3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4"/>
      <c r="AA215" s="4"/>
      <c r="AB215" s="4"/>
      <c r="AC215" s="4"/>
      <c r="AD215" s="5"/>
      <c r="AE215" s="6"/>
      <c r="AF215" s="6"/>
      <c r="AG215" s="6"/>
      <c r="AH215" s="6"/>
    </row>
    <row r="216" spans="1:34" ht="12.75" customHeight="1" x14ac:dyDescent="0.3">
      <c r="A216" s="2"/>
      <c r="B216" s="2"/>
      <c r="C216" s="3"/>
      <c r="D216" s="3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4"/>
      <c r="AA216" s="4"/>
      <c r="AB216" s="4"/>
      <c r="AC216" s="4"/>
      <c r="AD216" s="5"/>
      <c r="AE216" s="6"/>
      <c r="AF216" s="6"/>
      <c r="AG216" s="6"/>
      <c r="AH216" s="6"/>
    </row>
    <row r="217" spans="1:34" ht="12.75" customHeight="1" x14ac:dyDescent="0.3">
      <c r="A217" s="2"/>
      <c r="B217" s="2"/>
      <c r="C217" s="3"/>
      <c r="D217" s="3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4"/>
      <c r="AA217" s="4"/>
      <c r="AB217" s="4"/>
      <c r="AC217" s="4"/>
      <c r="AD217" s="5"/>
      <c r="AE217" s="6"/>
      <c r="AF217" s="6"/>
      <c r="AG217" s="6"/>
      <c r="AH217" s="6"/>
    </row>
    <row r="218" spans="1:34" ht="12.75" customHeight="1" x14ac:dyDescent="0.3">
      <c r="A218" s="2"/>
      <c r="B218" s="2"/>
      <c r="C218" s="3"/>
      <c r="D218" s="3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4"/>
      <c r="AA218" s="4"/>
      <c r="AB218" s="4"/>
      <c r="AC218" s="4"/>
      <c r="AD218" s="5"/>
      <c r="AE218" s="6"/>
      <c r="AF218" s="6"/>
      <c r="AG218" s="6"/>
      <c r="AH218" s="6"/>
    </row>
    <row r="219" spans="1:34" ht="12.75" customHeight="1" x14ac:dyDescent="0.3">
      <c r="A219" s="2"/>
      <c r="B219" s="2"/>
      <c r="C219" s="3"/>
      <c r="D219" s="3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4"/>
      <c r="AA219" s="4"/>
      <c r="AB219" s="4"/>
      <c r="AC219" s="4"/>
      <c r="AD219" s="5"/>
      <c r="AE219" s="6"/>
      <c r="AF219" s="6"/>
      <c r="AG219" s="6"/>
      <c r="AH219" s="6"/>
    </row>
    <row r="220" spans="1:34" ht="12.75" customHeight="1" x14ac:dyDescent="0.3">
      <c r="A220" s="2"/>
      <c r="B220" s="2"/>
      <c r="C220" s="3"/>
      <c r="D220" s="3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4"/>
      <c r="AA220" s="4"/>
      <c r="AB220" s="4"/>
      <c r="AC220" s="4"/>
      <c r="AD220" s="5"/>
      <c r="AE220" s="6"/>
      <c r="AF220" s="6"/>
      <c r="AG220" s="6"/>
      <c r="AH220" s="6"/>
    </row>
    <row r="221" spans="1:34" ht="12.75" customHeight="1" x14ac:dyDescent="0.3">
      <c r="A221" s="2"/>
      <c r="B221" s="2"/>
      <c r="C221" s="3"/>
      <c r="D221" s="3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4"/>
      <c r="AA221" s="4"/>
      <c r="AB221" s="4"/>
      <c r="AC221" s="4"/>
      <c r="AD221" s="5"/>
      <c r="AE221" s="6"/>
      <c r="AF221" s="6"/>
      <c r="AG221" s="6"/>
      <c r="AH221" s="6"/>
    </row>
    <row r="222" spans="1:34" ht="12.75" customHeight="1" x14ac:dyDescent="0.3">
      <c r="A222" s="2"/>
      <c r="B222" s="2"/>
      <c r="C222" s="3"/>
      <c r="D222" s="3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4"/>
      <c r="AA222" s="4"/>
      <c r="AB222" s="4"/>
      <c r="AC222" s="4"/>
      <c r="AD222" s="5"/>
      <c r="AE222" s="6"/>
      <c r="AF222" s="6"/>
      <c r="AG222" s="6"/>
      <c r="AH222" s="6"/>
    </row>
    <row r="223" spans="1:34" ht="12.75" customHeight="1" x14ac:dyDescent="0.3">
      <c r="A223" s="2"/>
      <c r="B223" s="2"/>
      <c r="C223" s="3"/>
      <c r="D223" s="3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4"/>
      <c r="AA223" s="4"/>
      <c r="AB223" s="4"/>
      <c r="AC223" s="4"/>
      <c r="AD223" s="5"/>
      <c r="AE223" s="6"/>
      <c r="AF223" s="6"/>
      <c r="AG223" s="6"/>
      <c r="AH223" s="6"/>
    </row>
    <row r="224" spans="1:34" ht="12.75" customHeight="1" x14ac:dyDescent="0.3">
      <c r="A224" s="2"/>
      <c r="B224" s="2"/>
      <c r="C224" s="3"/>
      <c r="D224" s="3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4"/>
      <c r="AA224" s="4"/>
      <c r="AB224" s="4"/>
      <c r="AC224" s="4"/>
      <c r="AD224" s="5"/>
      <c r="AE224" s="6"/>
      <c r="AF224" s="6"/>
      <c r="AG224" s="6"/>
      <c r="AH224" s="6"/>
    </row>
    <row r="225" spans="1:34" ht="12.75" customHeight="1" x14ac:dyDescent="0.3">
      <c r="A225" s="2"/>
      <c r="B225" s="2"/>
      <c r="C225" s="3"/>
      <c r="D225" s="3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4"/>
      <c r="AA225" s="4"/>
      <c r="AB225" s="4"/>
      <c r="AC225" s="4"/>
      <c r="AD225" s="5"/>
      <c r="AE225" s="6"/>
      <c r="AF225" s="6"/>
      <c r="AG225" s="6"/>
      <c r="AH225" s="6"/>
    </row>
    <row r="226" spans="1:34" ht="12.75" customHeight="1" x14ac:dyDescent="0.3">
      <c r="A226" s="2"/>
      <c r="B226" s="2"/>
      <c r="C226" s="3"/>
      <c r="D226" s="3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4"/>
      <c r="AA226" s="4"/>
      <c r="AB226" s="4"/>
      <c r="AC226" s="4"/>
      <c r="AD226" s="5"/>
      <c r="AE226" s="6"/>
      <c r="AF226" s="6"/>
      <c r="AG226" s="6"/>
      <c r="AH226" s="6"/>
    </row>
    <row r="227" spans="1:34" ht="12.75" customHeight="1" x14ac:dyDescent="0.3">
      <c r="A227" s="2"/>
      <c r="B227" s="2"/>
      <c r="C227" s="3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4"/>
      <c r="AA227" s="4"/>
      <c r="AB227" s="4"/>
      <c r="AC227" s="4"/>
      <c r="AD227" s="5"/>
      <c r="AE227" s="6"/>
      <c r="AF227" s="6"/>
      <c r="AG227" s="6"/>
      <c r="AH227" s="6"/>
    </row>
    <row r="228" spans="1:34" ht="12.75" customHeight="1" x14ac:dyDescent="0.3">
      <c r="A228" s="2"/>
      <c r="B228" s="2"/>
      <c r="C228" s="3"/>
      <c r="D228" s="3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4"/>
      <c r="AA228" s="4"/>
      <c r="AB228" s="4"/>
      <c r="AC228" s="4"/>
      <c r="AD228" s="5"/>
      <c r="AE228" s="6"/>
      <c r="AF228" s="6"/>
      <c r="AG228" s="6"/>
      <c r="AH228" s="6"/>
    </row>
    <row r="229" spans="1:34" ht="12.75" customHeight="1" x14ac:dyDescent="0.3">
      <c r="A229" s="2"/>
      <c r="B229" s="2"/>
      <c r="C229" s="3"/>
      <c r="D229" s="3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4"/>
      <c r="AA229" s="4"/>
      <c r="AB229" s="4"/>
      <c r="AC229" s="4"/>
      <c r="AD229" s="5"/>
      <c r="AE229" s="6"/>
      <c r="AF229" s="6"/>
      <c r="AG229" s="6"/>
      <c r="AH229" s="6"/>
    </row>
    <row r="230" spans="1:34" ht="12.75" customHeight="1" x14ac:dyDescent="0.3">
      <c r="A230" s="2"/>
      <c r="B230" s="2"/>
      <c r="C230" s="3"/>
      <c r="D230" s="3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4"/>
      <c r="AA230" s="4"/>
      <c r="AB230" s="4"/>
      <c r="AC230" s="4"/>
      <c r="AD230" s="5"/>
      <c r="AE230" s="6"/>
      <c r="AF230" s="6"/>
      <c r="AG230" s="6"/>
      <c r="AH230" s="6"/>
    </row>
    <row r="231" spans="1:34" ht="12.75" customHeight="1" x14ac:dyDescent="0.3">
      <c r="A231" s="2"/>
      <c r="B231" s="2"/>
      <c r="C231" s="3"/>
      <c r="D231" s="3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4"/>
      <c r="AA231" s="4"/>
      <c r="AB231" s="4"/>
      <c r="AC231" s="4"/>
      <c r="AD231" s="5"/>
      <c r="AE231" s="6"/>
      <c r="AF231" s="6"/>
      <c r="AG231" s="6"/>
      <c r="AH231" s="6"/>
    </row>
    <row r="232" spans="1:34" ht="12.75" customHeight="1" x14ac:dyDescent="0.3">
      <c r="A232" s="2"/>
      <c r="B232" s="2"/>
      <c r="C232" s="3"/>
      <c r="D232" s="3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4"/>
      <c r="AA232" s="4"/>
      <c r="AB232" s="4"/>
      <c r="AC232" s="4"/>
      <c r="AD232" s="5"/>
      <c r="AE232" s="6"/>
      <c r="AF232" s="6"/>
      <c r="AG232" s="6"/>
      <c r="AH232" s="6"/>
    </row>
    <row r="233" spans="1:34" ht="12.75" customHeight="1" x14ac:dyDescent="0.3">
      <c r="A233" s="2"/>
      <c r="B233" s="2"/>
      <c r="C233" s="3"/>
      <c r="D233" s="3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4"/>
      <c r="AA233" s="4"/>
      <c r="AB233" s="4"/>
      <c r="AC233" s="4"/>
      <c r="AD233" s="5"/>
      <c r="AE233" s="6"/>
      <c r="AF233" s="6"/>
      <c r="AG233" s="6"/>
      <c r="AH233" s="6"/>
    </row>
    <row r="234" spans="1:34" ht="12.75" customHeight="1" x14ac:dyDescent="0.3">
      <c r="A234" s="2"/>
      <c r="B234" s="2"/>
      <c r="C234" s="3"/>
      <c r="D234" s="3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4"/>
      <c r="AA234" s="4"/>
      <c r="AB234" s="4"/>
      <c r="AC234" s="4"/>
      <c r="AD234" s="5"/>
      <c r="AE234" s="6"/>
      <c r="AF234" s="6"/>
      <c r="AG234" s="6"/>
      <c r="AH234" s="6"/>
    </row>
    <row r="235" spans="1:34" ht="12.75" customHeight="1" x14ac:dyDescent="0.3">
      <c r="A235" s="2"/>
      <c r="B235" s="2"/>
      <c r="C235" s="3"/>
      <c r="D235" s="3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4"/>
      <c r="AA235" s="4"/>
      <c r="AB235" s="4"/>
      <c r="AC235" s="4"/>
      <c r="AD235" s="5"/>
      <c r="AE235" s="6"/>
      <c r="AF235" s="6"/>
      <c r="AG235" s="6"/>
      <c r="AH235" s="6"/>
    </row>
    <row r="236" spans="1:34" ht="12.75" customHeight="1" x14ac:dyDescent="0.3">
      <c r="A236" s="2"/>
      <c r="B236" s="2"/>
      <c r="C236" s="3"/>
      <c r="D236" s="3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4"/>
      <c r="AA236" s="4"/>
      <c r="AB236" s="4"/>
      <c r="AC236" s="4"/>
      <c r="AD236" s="5"/>
      <c r="AE236" s="6"/>
      <c r="AF236" s="6"/>
      <c r="AG236" s="6"/>
      <c r="AH236" s="6"/>
    </row>
    <row r="237" spans="1:34" ht="12.75" customHeight="1" x14ac:dyDescent="0.3">
      <c r="A237" s="2"/>
      <c r="B237" s="2"/>
      <c r="C237" s="3"/>
      <c r="D237" s="3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4"/>
      <c r="AA237" s="4"/>
      <c r="AB237" s="4"/>
      <c r="AC237" s="4"/>
      <c r="AD237" s="5"/>
      <c r="AE237" s="6"/>
      <c r="AF237" s="6"/>
      <c r="AG237" s="6"/>
      <c r="AH237" s="6"/>
    </row>
    <row r="238" spans="1:34" ht="12.75" customHeight="1" x14ac:dyDescent="0.3">
      <c r="A238" s="2"/>
      <c r="B238" s="2"/>
      <c r="C238" s="3"/>
      <c r="D238" s="3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4"/>
      <c r="AA238" s="4"/>
      <c r="AB238" s="4"/>
      <c r="AC238" s="4"/>
      <c r="AD238" s="5"/>
      <c r="AE238" s="6"/>
      <c r="AF238" s="6"/>
      <c r="AG238" s="6"/>
      <c r="AH238" s="6"/>
    </row>
    <row r="239" spans="1:34" ht="12.75" customHeight="1" x14ac:dyDescent="0.3">
      <c r="A239" s="2"/>
      <c r="B239" s="2"/>
      <c r="C239" s="3"/>
      <c r="D239" s="3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4"/>
      <c r="AA239" s="4"/>
      <c r="AB239" s="4"/>
      <c r="AC239" s="4"/>
      <c r="AD239" s="5"/>
      <c r="AE239" s="6"/>
      <c r="AF239" s="6"/>
      <c r="AG239" s="6"/>
      <c r="AH239" s="6"/>
    </row>
    <row r="240" spans="1:34" ht="12.75" customHeight="1" x14ac:dyDescent="0.3">
      <c r="A240" s="2"/>
      <c r="B240" s="2"/>
      <c r="C240" s="3"/>
      <c r="D240" s="3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4"/>
      <c r="AA240" s="4"/>
      <c r="AB240" s="4"/>
      <c r="AC240" s="4"/>
      <c r="AD240" s="5"/>
      <c r="AE240" s="6"/>
      <c r="AF240" s="6"/>
      <c r="AG240" s="6"/>
      <c r="AH240" s="6"/>
    </row>
    <row r="241" spans="1:34" ht="12.75" customHeight="1" x14ac:dyDescent="0.3">
      <c r="A241" s="2"/>
      <c r="B241" s="2"/>
      <c r="C241" s="3"/>
      <c r="D241" s="3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4"/>
      <c r="AA241" s="4"/>
      <c r="AB241" s="4"/>
      <c r="AC241" s="4"/>
      <c r="AD241" s="5"/>
      <c r="AE241" s="6"/>
      <c r="AF241" s="6"/>
      <c r="AG241" s="6"/>
      <c r="AH241" s="6"/>
    </row>
    <row r="242" spans="1:34" ht="12.75" customHeight="1" x14ac:dyDescent="0.3">
      <c r="A242" s="2"/>
      <c r="B242" s="2"/>
      <c r="C242" s="3"/>
      <c r="D242" s="3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4"/>
      <c r="AA242" s="4"/>
      <c r="AB242" s="4"/>
      <c r="AC242" s="4"/>
      <c r="AD242" s="5"/>
      <c r="AE242" s="6"/>
      <c r="AF242" s="6"/>
      <c r="AG242" s="6"/>
      <c r="AH242" s="6"/>
    </row>
    <row r="243" spans="1:34" ht="12.75" customHeight="1" x14ac:dyDescent="0.3">
      <c r="A243" s="2"/>
      <c r="B243" s="2"/>
      <c r="C243" s="3"/>
      <c r="D243" s="3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4"/>
      <c r="AA243" s="4"/>
      <c r="AB243" s="4"/>
      <c r="AC243" s="4"/>
      <c r="AD243" s="5"/>
      <c r="AE243" s="6"/>
      <c r="AF243" s="6"/>
      <c r="AG243" s="6"/>
      <c r="AH243" s="6"/>
    </row>
    <row r="244" spans="1:34" ht="12.75" customHeight="1" x14ac:dyDescent="0.3">
      <c r="A244" s="2"/>
      <c r="B244" s="2"/>
      <c r="C244" s="3"/>
      <c r="D244" s="3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4"/>
      <c r="AA244" s="4"/>
      <c r="AB244" s="4"/>
      <c r="AC244" s="4"/>
      <c r="AD244" s="5"/>
      <c r="AE244" s="6"/>
      <c r="AF244" s="6"/>
      <c r="AG244" s="6"/>
      <c r="AH244" s="6"/>
    </row>
    <row r="245" spans="1:34" ht="12.75" customHeight="1" x14ac:dyDescent="0.3">
      <c r="A245" s="2"/>
      <c r="B245" s="2"/>
      <c r="C245" s="3"/>
      <c r="D245" s="3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4"/>
      <c r="AA245" s="4"/>
      <c r="AB245" s="4"/>
      <c r="AC245" s="4"/>
      <c r="AD245" s="5"/>
      <c r="AE245" s="6"/>
      <c r="AF245" s="6"/>
      <c r="AG245" s="6"/>
      <c r="AH245" s="6"/>
    </row>
    <row r="246" spans="1:34" ht="12.75" customHeight="1" x14ac:dyDescent="0.3">
      <c r="A246" s="2"/>
      <c r="B246" s="2"/>
      <c r="C246" s="3"/>
      <c r="D246" s="3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4"/>
      <c r="AA246" s="4"/>
      <c r="AB246" s="4"/>
      <c r="AC246" s="4"/>
      <c r="AD246" s="5"/>
      <c r="AE246" s="6"/>
      <c r="AF246" s="6"/>
      <c r="AG246" s="6"/>
      <c r="AH246" s="6"/>
    </row>
    <row r="247" spans="1:34" ht="12.75" customHeight="1" x14ac:dyDescent="0.3">
      <c r="A247" s="2"/>
      <c r="B247" s="2"/>
      <c r="C247" s="3"/>
      <c r="D247" s="3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4"/>
      <c r="AA247" s="4"/>
      <c r="AB247" s="4"/>
      <c r="AC247" s="4"/>
      <c r="AD247" s="5"/>
      <c r="AE247" s="6"/>
      <c r="AF247" s="6"/>
      <c r="AG247" s="6"/>
      <c r="AH247" s="6"/>
    </row>
    <row r="248" spans="1:34" ht="12.75" customHeight="1" x14ac:dyDescent="0.3">
      <c r="A248" s="2"/>
      <c r="B248" s="2"/>
      <c r="C248" s="3"/>
      <c r="D248" s="3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4"/>
      <c r="AA248" s="4"/>
      <c r="AB248" s="4"/>
      <c r="AC248" s="4"/>
      <c r="AD248" s="5"/>
      <c r="AE248" s="6"/>
      <c r="AF248" s="6"/>
      <c r="AG248" s="6"/>
      <c r="AH248" s="6"/>
    </row>
    <row r="249" spans="1:34" ht="12.75" customHeight="1" x14ac:dyDescent="0.3">
      <c r="A249" s="2"/>
      <c r="B249" s="2"/>
      <c r="C249" s="3"/>
      <c r="D249" s="3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4"/>
      <c r="AA249" s="4"/>
      <c r="AB249" s="4"/>
      <c r="AC249" s="4"/>
      <c r="AD249" s="5"/>
      <c r="AE249" s="6"/>
      <c r="AF249" s="6"/>
      <c r="AG249" s="6"/>
      <c r="AH249" s="6"/>
    </row>
    <row r="250" spans="1:34" ht="12.75" customHeight="1" x14ac:dyDescent="0.3">
      <c r="A250" s="2"/>
      <c r="B250" s="2"/>
      <c r="C250" s="3"/>
      <c r="D250" s="3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4"/>
      <c r="AA250" s="4"/>
      <c r="AB250" s="4"/>
      <c r="AC250" s="4"/>
      <c r="AD250" s="5"/>
      <c r="AE250" s="6"/>
      <c r="AF250" s="6"/>
      <c r="AG250" s="6"/>
      <c r="AH250" s="6"/>
    </row>
    <row r="251" spans="1:34" ht="12.75" customHeight="1" x14ac:dyDescent="0.3">
      <c r="A251" s="2"/>
      <c r="B251" s="2"/>
      <c r="C251" s="3"/>
      <c r="D251" s="3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4"/>
      <c r="AA251" s="4"/>
      <c r="AB251" s="4"/>
      <c r="AC251" s="4"/>
      <c r="AD251" s="5"/>
      <c r="AE251" s="6"/>
      <c r="AF251" s="6"/>
      <c r="AG251" s="6"/>
      <c r="AH251" s="6"/>
    </row>
    <row r="252" spans="1:34" ht="12.75" customHeight="1" x14ac:dyDescent="0.3">
      <c r="A252" s="2"/>
      <c r="B252" s="2"/>
      <c r="C252" s="3"/>
      <c r="D252" s="3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4"/>
      <c r="AA252" s="4"/>
      <c r="AB252" s="4"/>
      <c r="AC252" s="4"/>
      <c r="AD252" s="5"/>
      <c r="AE252" s="6"/>
      <c r="AF252" s="6"/>
      <c r="AG252" s="6"/>
      <c r="AH252" s="6"/>
    </row>
    <row r="253" spans="1:34" ht="12.75" customHeight="1" x14ac:dyDescent="0.3">
      <c r="A253" s="2"/>
      <c r="B253" s="2"/>
      <c r="C253" s="3"/>
      <c r="D253" s="3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4"/>
      <c r="AA253" s="4"/>
      <c r="AB253" s="4"/>
      <c r="AC253" s="4"/>
      <c r="AD253" s="5"/>
      <c r="AE253" s="6"/>
      <c r="AF253" s="6"/>
      <c r="AG253" s="6"/>
      <c r="AH253" s="6"/>
    </row>
    <row r="254" spans="1:34" ht="12.75" customHeight="1" x14ac:dyDescent="0.3">
      <c r="A254" s="2"/>
      <c r="B254" s="2"/>
      <c r="C254" s="3"/>
      <c r="D254" s="3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4"/>
      <c r="AA254" s="4"/>
      <c r="AB254" s="4"/>
      <c r="AC254" s="4"/>
      <c r="AD254" s="5"/>
      <c r="AE254" s="6"/>
      <c r="AF254" s="6"/>
      <c r="AG254" s="6"/>
      <c r="AH254" s="6"/>
    </row>
    <row r="255" spans="1:34" ht="12.75" customHeight="1" x14ac:dyDescent="0.3">
      <c r="A255" s="2"/>
      <c r="B255" s="2"/>
      <c r="C255" s="3"/>
      <c r="D255" s="3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4"/>
      <c r="AA255" s="4"/>
      <c r="AB255" s="4"/>
      <c r="AC255" s="4"/>
      <c r="AD255" s="5"/>
      <c r="AE255" s="6"/>
      <c r="AF255" s="6"/>
      <c r="AG255" s="6"/>
      <c r="AH255" s="6"/>
    </row>
    <row r="256" spans="1:34" ht="12.75" customHeight="1" x14ac:dyDescent="0.3">
      <c r="A256" s="2"/>
      <c r="B256" s="2"/>
      <c r="C256" s="3"/>
      <c r="D256" s="3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4"/>
      <c r="AA256" s="4"/>
      <c r="AB256" s="4"/>
      <c r="AC256" s="4"/>
      <c r="AD256" s="5"/>
      <c r="AE256" s="6"/>
      <c r="AF256" s="6"/>
      <c r="AG256" s="6"/>
      <c r="AH256" s="6"/>
    </row>
    <row r="257" spans="1:34" ht="12.75" customHeight="1" x14ac:dyDescent="0.3">
      <c r="A257" s="2"/>
      <c r="B257" s="2"/>
      <c r="C257" s="3"/>
      <c r="D257" s="3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4"/>
      <c r="AA257" s="4"/>
      <c r="AB257" s="4"/>
      <c r="AC257" s="4"/>
      <c r="AD257" s="5"/>
      <c r="AE257" s="6"/>
      <c r="AF257" s="6"/>
      <c r="AG257" s="6"/>
      <c r="AH257" s="6"/>
    </row>
    <row r="258" spans="1:34" ht="12.75" customHeight="1" x14ac:dyDescent="0.3">
      <c r="A258" s="2"/>
      <c r="B258" s="2"/>
      <c r="C258" s="3"/>
      <c r="D258" s="3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4"/>
      <c r="AA258" s="4"/>
      <c r="AB258" s="4"/>
      <c r="AC258" s="4"/>
      <c r="AD258" s="5"/>
      <c r="AE258" s="6"/>
      <c r="AF258" s="6"/>
      <c r="AG258" s="6"/>
      <c r="AH258" s="6"/>
    </row>
    <row r="259" spans="1:34" ht="12.75" customHeight="1" x14ac:dyDescent="0.3">
      <c r="A259" s="2"/>
      <c r="B259" s="2"/>
      <c r="C259" s="3"/>
      <c r="D259" s="3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4"/>
      <c r="AA259" s="4"/>
      <c r="AB259" s="4"/>
      <c r="AC259" s="4"/>
      <c r="AD259" s="5"/>
      <c r="AE259" s="6"/>
      <c r="AF259" s="6"/>
      <c r="AG259" s="6"/>
      <c r="AH259" s="6"/>
    </row>
    <row r="260" spans="1:34" ht="12.75" customHeight="1" x14ac:dyDescent="0.3">
      <c r="A260" s="2"/>
      <c r="B260" s="2"/>
      <c r="C260" s="3"/>
      <c r="D260" s="3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4"/>
      <c r="AA260" s="4"/>
      <c r="AB260" s="4"/>
      <c r="AC260" s="4"/>
      <c r="AD260" s="5"/>
      <c r="AE260" s="6"/>
      <c r="AF260" s="6"/>
      <c r="AG260" s="6"/>
      <c r="AH260" s="6"/>
    </row>
    <row r="261" spans="1:34" ht="12.75" customHeight="1" x14ac:dyDescent="0.3">
      <c r="A261" s="2"/>
      <c r="B261" s="2"/>
      <c r="C261" s="3"/>
      <c r="D261" s="3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4"/>
      <c r="AA261" s="4"/>
      <c r="AB261" s="4"/>
      <c r="AC261" s="4"/>
      <c r="AD261" s="5"/>
      <c r="AE261" s="6"/>
      <c r="AF261" s="6"/>
      <c r="AG261" s="6"/>
      <c r="AH261" s="6"/>
    </row>
    <row r="262" spans="1:34" ht="12.75" customHeight="1" x14ac:dyDescent="0.3">
      <c r="A262" s="2"/>
      <c r="B262" s="2"/>
      <c r="C262" s="3"/>
      <c r="D262" s="3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4"/>
      <c r="AA262" s="4"/>
      <c r="AB262" s="4"/>
      <c r="AC262" s="4"/>
      <c r="AD262" s="5"/>
      <c r="AE262" s="6"/>
      <c r="AF262" s="6"/>
      <c r="AG262" s="6"/>
      <c r="AH262" s="6"/>
    </row>
    <row r="263" spans="1:34" ht="12.75" customHeight="1" x14ac:dyDescent="0.3">
      <c r="A263" s="2"/>
      <c r="B263" s="2"/>
      <c r="C263" s="3"/>
      <c r="D263" s="3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4"/>
      <c r="AA263" s="4"/>
      <c r="AB263" s="4"/>
      <c r="AC263" s="4"/>
      <c r="AD263" s="5"/>
      <c r="AE263" s="6"/>
      <c r="AF263" s="6"/>
      <c r="AG263" s="6"/>
      <c r="AH263" s="6"/>
    </row>
    <row r="264" spans="1:34" ht="12.75" customHeight="1" x14ac:dyDescent="0.3">
      <c r="A264" s="2"/>
      <c r="B264" s="2"/>
      <c r="C264" s="3"/>
      <c r="D264" s="3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4"/>
      <c r="AA264" s="4"/>
      <c r="AB264" s="4"/>
      <c r="AC264" s="4"/>
      <c r="AD264" s="5"/>
      <c r="AE264" s="6"/>
      <c r="AF264" s="6"/>
      <c r="AG264" s="6"/>
      <c r="AH264" s="6"/>
    </row>
    <row r="265" spans="1:34" ht="12.75" customHeight="1" x14ac:dyDescent="0.3">
      <c r="A265" s="2"/>
      <c r="B265" s="2"/>
      <c r="C265" s="3"/>
      <c r="D265" s="3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4"/>
      <c r="AA265" s="4"/>
      <c r="AB265" s="4"/>
      <c r="AC265" s="4"/>
      <c r="AD265" s="5"/>
      <c r="AE265" s="6"/>
      <c r="AF265" s="6"/>
      <c r="AG265" s="6"/>
      <c r="AH265" s="6"/>
    </row>
    <row r="266" spans="1:34" ht="12.75" customHeight="1" x14ac:dyDescent="0.3">
      <c r="A266" s="2"/>
      <c r="B266" s="2"/>
      <c r="C266" s="3"/>
      <c r="D266" s="3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4"/>
      <c r="AA266" s="4"/>
      <c r="AB266" s="4"/>
      <c r="AC266" s="4"/>
      <c r="AD266" s="5"/>
      <c r="AE266" s="6"/>
      <c r="AF266" s="6"/>
      <c r="AG266" s="6"/>
      <c r="AH266" s="6"/>
    </row>
    <row r="267" spans="1:34" ht="12.75" customHeight="1" x14ac:dyDescent="0.3">
      <c r="A267" s="2"/>
      <c r="B267" s="2"/>
      <c r="C267" s="3"/>
      <c r="D267" s="3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4"/>
      <c r="AA267" s="4"/>
      <c r="AB267" s="4"/>
      <c r="AC267" s="4"/>
      <c r="AD267" s="5"/>
      <c r="AE267" s="6"/>
      <c r="AF267" s="6"/>
      <c r="AG267" s="6"/>
      <c r="AH267" s="6"/>
    </row>
    <row r="268" spans="1:34" ht="12.75" customHeight="1" x14ac:dyDescent="0.3">
      <c r="A268" s="2"/>
      <c r="B268" s="2"/>
      <c r="C268" s="3"/>
      <c r="D268" s="3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4"/>
      <c r="AA268" s="4"/>
      <c r="AB268" s="4"/>
      <c r="AC268" s="4"/>
      <c r="AD268" s="5"/>
      <c r="AE268" s="6"/>
      <c r="AF268" s="6"/>
      <c r="AG268" s="6"/>
      <c r="AH268" s="6"/>
    </row>
    <row r="269" spans="1:34" ht="12.75" customHeight="1" x14ac:dyDescent="0.3">
      <c r="A269" s="2"/>
      <c r="B269" s="2"/>
      <c r="C269" s="3"/>
      <c r="D269" s="3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4"/>
      <c r="AA269" s="4"/>
      <c r="AB269" s="4"/>
      <c r="AC269" s="4"/>
      <c r="AD269" s="5"/>
      <c r="AE269" s="6"/>
      <c r="AF269" s="6"/>
      <c r="AG269" s="6"/>
      <c r="AH269" s="6"/>
    </row>
    <row r="270" spans="1:34" ht="12.75" customHeight="1" x14ac:dyDescent="0.3">
      <c r="A270" s="2"/>
      <c r="B270" s="2"/>
      <c r="C270" s="3"/>
      <c r="D270" s="3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4"/>
      <c r="AA270" s="4"/>
      <c r="AB270" s="4"/>
      <c r="AC270" s="4"/>
      <c r="AD270" s="5"/>
      <c r="AE270" s="6"/>
      <c r="AF270" s="6"/>
      <c r="AG270" s="6"/>
      <c r="AH270" s="6"/>
    </row>
    <row r="271" spans="1:34" ht="12.75" customHeight="1" x14ac:dyDescent="0.3">
      <c r="A271" s="2"/>
      <c r="B271" s="2"/>
      <c r="C271" s="3"/>
      <c r="D271" s="3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4"/>
      <c r="AA271" s="4"/>
      <c r="AB271" s="4"/>
      <c r="AC271" s="4"/>
      <c r="AD271" s="5"/>
      <c r="AE271" s="6"/>
      <c r="AF271" s="6"/>
      <c r="AG271" s="6"/>
      <c r="AH271" s="6"/>
    </row>
    <row r="272" spans="1:34" ht="12.75" customHeight="1" x14ac:dyDescent="0.3">
      <c r="A272" s="2"/>
      <c r="B272" s="2"/>
      <c r="C272" s="3"/>
      <c r="D272" s="3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4"/>
      <c r="AA272" s="4"/>
      <c r="AB272" s="4"/>
      <c r="AC272" s="4"/>
      <c r="AD272" s="5"/>
      <c r="AE272" s="6"/>
      <c r="AF272" s="6"/>
      <c r="AG272" s="6"/>
      <c r="AH272" s="6"/>
    </row>
    <row r="273" spans="1:34" ht="12.75" customHeight="1" x14ac:dyDescent="0.3">
      <c r="A273" s="2"/>
      <c r="B273" s="2"/>
      <c r="C273" s="3"/>
      <c r="D273" s="3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4"/>
      <c r="AA273" s="4"/>
      <c r="AB273" s="4"/>
      <c r="AC273" s="4"/>
      <c r="AD273" s="5"/>
      <c r="AE273" s="6"/>
      <c r="AF273" s="6"/>
      <c r="AG273" s="6"/>
      <c r="AH273" s="6"/>
    </row>
    <row r="274" spans="1:34" ht="12.75" customHeight="1" x14ac:dyDescent="0.3">
      <c r="A274" s="2"/>
      <c r="B274" s="2"/>
      <c r="C274" s="3"/>
      <c r="D274" s="3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4"/>
      <c r="AA274" s="4"/>
      <c r="AB274" s="4"/>
      <c r="AC274" s="4"/>
      <c r="AD274" s="5"/>
      <c r="AE274" s="6"/>
      <c r="AF274" s="6"/>
      <c r="AG274" s="6"/>
      <c r="AH274" s="6"/>
    </row>
    <row r="275" spans="1:34" ht="12.75" customHeight="1" x14ac:dyDescent="0.3">
      <c r="A275" s="2"/>
      <c r="B275" s="2"/>
      <c r="C275" s="3"/>
      <c r="D275" s="3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4"/>
      <c r="AA275" s="4"/>
      <c r="AB275" s="4"/>
      <c r="AC275" s="4"/>
      <c r="AD275" s="5"/>
      <c r="AE275" s="6"/>
      <c r="AF275" s="6"/>
      <c r="AG275" s="6"/>
      <c r="AH275" s="6"/>
    </row>
    <row r="276" spans="1:34" ht="12.75" customHeight="1" x14ac:dyDescent="0.3">
      <c r="A276" s="2"/>
      <c r="B276" s="2"/>
      <c r="C276" s="3"/>
      <c r="D276" s="3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4"/>
      <c r="AA276" s="4"/>
      <c r="AB276" s="4"/>
      <c r="AC276" s="4"/>
      <c r="AD276" s="5"/>
      <c r="AE276" s="6"/>
      <c r="AF276" s="6"/>
      <c r="AG276" s="6"/>
      <c r="AH276" s="6"/>
    </row>
    <row r="277" spans="1:34" ht="12.75" customHeight="1" x14ac:dyDescent="0.3">
      <c r="A277" s="2"/>
      <c r="B277" s="2"/>
      <c r="C277" s="3"/>
      <c r="D277" s="3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4"/>
      <c r="AA277" s="4"/>
      <c r="AB277" s="4"/>
      <c r="AC277" s="4"/>
      <c r="AD277" s="5"/>
      <c r="AE277" s="6"/>
      <c r="AF277" s="6"/>
      <c r="AG277" s="6"/>
      <c r="AH277" s="6"/>
    </row>
    <row r="278" spans="1:34" ht="12.75" customHeight="1" x14ac:dyDescent="0.3">
      <c r="A278" s="2"/>
      <c r="B278" s="2"/>
      <c r="C278" s="3"/>
      <c r="D278" s="3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4"/>
      <c r="AA278" s="4"/>
      <c r="AB278" s="4"/>
      <c r="AC278" s="4"/>
      <c r="AD278" s="5"/>
      <c r="AE278" s="6"/>
      <c r="AF278" s="6"/>
      <c r="AG278" s="6"/>
      <c r="AH278" s="6"/>
    </row>
    <row r="279" spans="1:34" ht="12.75" customHeight="1" x14ac:dyDescent="0.3">
      <c r="A279" s="2"/>
      <c r="B279" s="2"/>
      <c r="C279" s="3"/>
      <c r="D279" s="3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4"/>
      <c r="AA279" s="4"/>
      <c r="AB279" s="4"/>
      <c r="AC279" s="4"/>
      <c r="AD279" s="5"/>
      <c r="AE279" s="6"/>
      <c r="AF279" s="6"/>
      <c r="AG279" s="6"/>
      <c r="AH279" s="6"/>
    </row>
    <row r="280" spans="1:34" ht="12.75" customHeight="1" x14ac:dyDescent="0.3">
      <c r="A280" s="2"/>
      <c r="B280" s="2"/>
      <c r="C280" s="3"/>
      <c r="D280" s="3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4"/>
      <c r="AA280" s="4"/>
      <c r="AB280" s="4"/>
      <c r="AC280" s="4"/>
      <c r="AD280" s="5"/>
      <c r="AE280" s="6"/>
      <c r="AF280" s="6"/>
      <c r="AG280" s="6"/>
      <c r="AH280" s="6"/>
    </row>
    <row r="281" spans="1:34" ht="12.75" customHeight="1" x14ac:dyDescent="0.3">
      <c r="A281" s="2"/>
      <c r="B281" s="2"/>
      <c r="C281" s="3"/>
      <c r="D281" s="3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4"/>
      <c r="AA281" s="4"/>
      <c r="AB281" s="4"/>
      <c r="AC281" s="4"/>
      <c r="AD281" s="5"/>
      <c r="AE281" s="6"/>
      <c r="AF281" s="6"/>
      <c r="AG281" s="6"/>
      <c r="AH281" s="6"/>
    </row>
    <row r="282" spans="1:34" ht="12.75" customHeight="1" x14ac:dyDescent="0.3">
      <c r="A282" s="2"/>
      <c r="B282" s="2"/>
      <c r="C282" s="3"/>
      <c r="D282" s="3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4"/>
      <c r="AA282" s="4"/>
      <c r="AB282" s="4"/>
      <c r="AC282" s="4"/>
      <c r="AD282" s="5"/>
      <c r="AE282" s="6"/>
      <c r="AF282" s="6"/>
      <c r="AG282" s="6"/>
      <c r="AH282" s="6"/>
    </row>
    <row r="283" spans="1:34" ht="12.75" customHeight="1" x14ac:dyDescent="0.3">
      <c r="A283" s="2"/>
      <c r="B283" s="2"/>
      <c r="C283" s="3"/>
      <c r="D283" s="3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4"/>
      <c r="AA283" s="4"/>
      <c r="AB283" s="4"/>
      <c r="AC283" s="4"/>
      <c r="AD283" s="5"/>
      <c r="AE283" s="6"/>
      <c r="AF283" s="6"/>
      <c r="AG283" s="6"/>
      <c r="AH283" s="6"/>
    </row>
    <row r="284" spans="1:34" ht="12.75" customHeight="1" x14ac:dyDescent="0.3">
      <c r="A284" s="2"/>
      <c r="B284" s="2"/>
      <c r="C284" s="3"/>
      <c r="D284" s="3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4"/>
      <c r="AA284" s="4"/>
      <c r="AB284" s="4"/>
      <c r="AC284" s="4"/>
      <c r="AD284" s="5"/>
      <c r="AE284" s="6"/>
      <c r="AF284" s="6"/>
      <c r="AG284" s="6"/>
      <c r="AH284" s="6"/>
    </row>
    <row r="285" spans="1:34" ht="12.75" customHeight="1" x14ac:dyDescent="0.3">
      <c r="A285" s="2"/>
      <c r="B285" s="2"/>
      <c r="C285" s="3"/>
      <c r="D285" s="3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4"/>
      <c r="AA285" s="4"/>
      <c r="AB285" s="4"/>
      <c r="AC285" s="4"/>
      <c r="AD285" s="5"/>
      <c r="AE285" s="6"/>
      <c r="AF285" s="6"/>
      <c r="AG285" s="6"/>
      <c r="AH285" s="6"/>
    </row>
    <row r="286" spans="1:34" ht="12.75" customHeight="1" x14ac:dyDescent="0.3">
      <c r="A286" s="2"/>
      <c r="B286" s="2"/>
      <c r="C286" s="3"/>
      <c r="D286" s="3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4"/>
      <c r="AA286" s="4"/>
      <c r="AB286" s="4"/>
      <c r="AC286" s="4"/>
      <c r="AD286" s="5"/>
      <c r="AE286" s="6"/>
      <c r="AF286" s="6"/>
      <c r="AG286" s="6"/>
      <c r="AH286" s="6"/>
    </row>
    <row r="287" spans="1:34" ht="12.75" customHeight="1" x14ac:dyDescent="0.3">
      <c r="A287" s="2"/>
      <c r="B287" s="2"/>
      <c r="C287" s="3"/>
      <c r="D287" s="3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4"/>
      <c r="AA287" s="4"/>
      <c r="AB287" s="4"/>
      <c r="AC287" s="4"/>
      <c r="AD287" s="5"/>
      <c r="AE287" s="6"/>
      <c r="AF287" s="6"/>
      <c r="AG287" s="6"/>
      <c r="AH287" s="6"/>
    </row>
    <row r="288" spans="1:34" ht="12.75" customHeight="1" x14ac:dyDescent="0.3">
      <c r="A288" s="2"/>
      <c r="B288" s="2"/>
      <c r="C288" s="3"/>
      <c r="D288" s="3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4"/>
      <c r="AA288" s="4"/>
      <c r="AB288" s="4"/>
      <c r="AC288" s="4"/>
      <c r="AD288" s="5"/>
      <c r="AE288" s="6"/>
      <c r="AF288" s="6"/>
      <c r="AG288" s="6"/>
      <c r="AH288" s="6"/>
    </row>
    <row r="289" spans="1:34" ht="12.75" customHeight="1" x14ac:dyDescent="0.3">
      <c r="A289" s="2"/>
      <c r="B289" s="2"/>
      <c r="C289" s="3"/>
      <c r="D289" s="3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4"/>
      <c r="AA289" s="4"/>
      <c r="AB289" s="4"/>
      <c r="AC289" s="4"/>
      <c r="AD289" s="5"/>
      <c r="AE289" s="6"/>
      <c r="AF289" s="6"/>
      <c r="AG289" s="6"/>
      <c r="AH289" s="6"/>
    </row>
    <row r="290" spans="1:34" ht="12.75" customHeight="1" x14ac:dyDescent="0.3">
      <c r="A290" s="2"/>
      <c r="B290" s="2"/>
      <c r="C290" s="3"/>
      <c r="D290" s="3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4"/>
      <c r="AA290" s="4"/>
      <c r="AB290" s="4"/>
      <c r="AC290" s="4"/>
      <c r="AD290" s="5"/>
      <c r="AE290" s="6"/>
      <c r="AF290" s="6"/>
      <c r="AG290" s="6"/>
      <c r="AH290" s="6"/>
    </row>
    <row r="291" spans="1:34" ht="12.75" customHeight="1" x14ac:dyDescent="0.3">
      <c r="A291" s="2"/>
      <c r="B291" s="2"/>
      <c r="C291" s="3"/>
      <c r="D291" s="3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4"/>
      <c r="AA291" s="4"/>
      <c r="AB291" s="4"/>
      <c r="AC291" s="4"/>
      <c r="AD291" s="5"/>
      <c r="AE291" s="6"/>
      <c r="AF291" s="6"/>
      <c r="AG291" s="6"/>
      <c r="AH291" s="6"/>
    </row>
    <row r="292" spans="1:34" ht="12.75" customHeight="1" x14ac:dyDescent="0.3">
      <c r="A292" s="2"/>
      <c r="B292" s="2"/>
      <c r="C292" s="3"/>
      <c r="D292" s="3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4"/>
      <c r="AA292" s="4"/>
      <c r="AB292" s="4"/>
      <c r="AC292" s="4"/>
      <c r="AD292" s="5"/>
      <c r="AE292" s="6"/>
      <c r="AF292" s="6"/>
      <c r="AG292" s="6"/>
      <c r="AH292" s="6"/>
    </row>
    <row r="293" spans="1:34" ht="12.75" customHeight="1" x14ac:dyDescent="0.3">
      <c r="A293" s="2"/>
      <c r="B293" s="2"/>
      <c r="C293" s="3"/>
      <c r="D293" s="3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4"/>
      <c r="AA293" s="4"/>
      <c r="AB293" s="4"/>
      <c r="AC293" s="4"/>
      <c r="AD293" s="5"/>
      <c r="AE293" s="6"/>
      <c r="AF293" s="6"/>
      <c r="AG293" s="6"/>
      <c r="AH293" s="6"/>
    </row>
    <row r="294" spans="1:34" ht="12.75" customHeight="1" x14ac:dyDescent="0.3">
      <c r="A294" s="2"/>
      <c r="B294" s="2"/>
      <c r="C294" s="3"/>
      <c r="D294" s="3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4"/>
      <c r="AA294" s="4"/>
      <c r="AB294" s="4"/>
      <c r="AC294" s="4"/>
      <c r="AD294" s="5"/>
      <c r="AE294" s="6"/>
      <c r="AF294" s="6"/>
      <c r="AG294" s="6"/>
      <c r="AH294" s="6"/>
    </row>
    <row r="295" spans="1:34" ht="12.75" customHeight="1" x14ac:dyDescent="0.3">
      <c r="A295" s="2"/>
      <c r="B295" s="2"/>
      <c r="C295" s="3"/>
      <c r="D295" s="3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4"/>
      <c r="AA295" s="4"/>
      <c r="AB295" s="4"/>
      <c r="AC295" s="4"/>
      <c r="AD295" s="5"/>
      <c r="AE295" s="6"/>
      <c r="AF295" s="6"/>
      <c r="AG295" s="6"/>
      <c r="AH295" s="6"/>
    </row>
    <row r="296" spans="1:34" ht="12.75" customHeight="1" x14ac:dyDescent="0.3">
      <c r="A296" s="2"/>
      <c r="B296" s="2"/>
      <c r="C296" s="3"/>
      <c r="D296" s="3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4"/>
      <c r="AA296" s="4"/>
      <c r="AB296" s="4"/>
      <c r="AC296" s="4"/>
      <c r="AD296" s="5"/>
      <c r="AE296" s="6"/>
      <c r="AF296" s="6"/>
      <c r="AG296" s="6"/>
      <c r="AH296" s="6"/>
    </row>
    <row r="297" spans="1:34" ht="12.75" customHeight="1" x14ac:dyDescent="0.3">
      <c r="A297" s="2"/>
      <c r="B297" s="2"/>
      <c r="C297" s="3"/>
      <c r="D297" s="3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4"/>
      <c r="AA297" s="4"/>
      <c r="AB297" s="4"/>
      <c r="AC297" s="4"/>
      <c r="AD297" s="5"/>
      <c r="AE297" s="6"/>
      <c r="AF297" s="6"/>
      <c r="AG297" s="6"/>
      <c r="AH297" s="6"/>
    </row>
    <row r="298" spans="1:34" ht="12.75" customHeight="1" x14ac:dyDescent="0.3">
      <c r="A298" s="2"/>
      <c r="B298" s="2"/>
      <c r="C298" s="3"/>
      <c r="D298" s="3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4"/>
      <c r="AA298" s="4"/>
      <c r="AB298" s="4"/>
      <c r="AC298" s="4"/>
      <c r="AD298" s="5"/>
      <c r="AE298" s="6"/>
      <c r="AF298" s="6"/>
      <c r="AG298" s="6"/>
      <c r="AH298" s="6"/>
    </row>
    <row r="299" spans="1:34" ht="12.75" customHeight="1" x14ac:dyDescent="0.3">
      <c r="A299" s="2"/>
      <c r="B299" s="2"/>
      <c r="C299" s="3"/>
      <c r="D299" s="3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4"/>
      <c r="AA299" s="4"/>
      <c r="AB299" s="4"/>
      <c r="AC299" s="4"/>
      <c r="AD299" s="5"/>
      <c r="AE299" s="6"/>
      <c r="AF299" s="6"/>
      <c r="AG299" s="6"/>
      <c r="AH299" s="6"/>
    </row>
    <row r="300" spans="1:34" ht="12.75" customHeight="1" x14ac:dyDescent="0.3">
      <c r="A300" s="2"/>
      <c r="B300" s="2"/>
      <c r="C300" s="3"/>
      <c r="D300" s="3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4"/>
      <c r="AA300" s="4"/>
      <c r="AB300" s="4"/>
      <c r="AC300" s="4"/>
      <c r="AD300" s="5"/>
      <c r="AE300" s="6"/>
      <c r="AF300" s="6"/>
      <c r="AG300" s="6"/>
      <c r="AH300" s="6"/>
    </row>
    <row r="301" spans="1:34" ht="12.75" customHeight="1" x14ac:dyDescent="0.3">
      <c r="A301" s="2"/>
      <c r="B301" s="2"/>
      <c r="C301" s="3"/>
      <c r="D301" s="3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4"/>
      <c r="AA301" s="4"/>
      <c r="AB301" s="4"/>
      <c r="AC301" s="4"/>
      <c r="AD301" s="5"/>
      <c r="AE301" s="6"/>
      <c r="AF301" s="6"/>
      <c r="AG301" s="6"/>
      <c r="AH301" s="6"/>
    </row>
    <row r="302" spans="1:34" ht="12.75" customHeight="1" x14ac:dyDescent="0.3">
      <c r="A302" s="2"/>
      <c r="B302" s="2"/>
      <c r="C302" s="3"/>
      <c r="D302" s="3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4"/>
      <c r="AA302" s="4"/>
      <c r="AB302" s="4"/>
      <c r="AC302" s="4"/>
      <c r="AD302" s="5"/>
      <c r="AE302" s="6"/>
      <c r="AF302" s="6"/>
      <c r="AG302" s="6"/>
      <c r="AH302" s="6"/>
    </row>
    <row r="303" spans="1:34" ht="12.75" customHeight="1" x14ac:dyDescent="0.3">
      <c r="A303" s="2"/>
      <c r="B303" s="2"/>
      <c r="C303" s="3"/>
      <c r="D303" s="3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4"/>
      <c r="AA303" s="4"/>
      <c r="AB303" s="4"/>
      <c r="AC303" s="4"/>
      <c r="AD303" s="5"/>
      <c r="AE303" s="6"/>
      <c r="AF303" s="6"/>
      <c r="AG303" s="6"/>
      <c r="AH303" s="6"/>
    </row>
    <row r="304" spans="1:34" ht="12.75" customHeight="1" x14ac:dyDescent="0.3">
      <c r="A304" s="2"/>
      <c r="B304" s="2"/>
      <c r="C304" s="3"/>
      <c r="D304" s="3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4"/>
      <c r="AA304" s="4"/>
      <c r="AB304" s="4"/>
      <c r="AC304" s="4"/>
      <c r="AD304" s="5"/>
      <c r="AE304" s="6"/>
      <c r="AF304" s="6"/>
      <c r="AG304" s="6"/>
      <c r="AH304" s="6"/>
    </row>
    <row r="305" spans="1:34" ht="12.75" customHeight="1" x14ac:dyDescent="0.3">
      <c r="A305" s="2"/>
      <c r="B305" s="2"/>
      <c r="C305" s="3"/>
      <c r="D305" s="3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4"/>
      <c r="AA305" s="4"/>
      <c r="AB305" s="4"/>
      <c r="AC305" s="4"/>
      <c r="AD305" s="5"/>
      <c r="AE305" s="6"/>
      <c r="AF305" s="6"/>
      <c r="AG305" s="6"/>
      <c r="AH305" s="6"/>
    </row>
    <row r="306" spans="1:34" ht="12.75" customHeight="1" x14ac:dyDescent="0.3">
      <c r="A306" s="2"/>
      <c r="B306" s="2"/>
      <c r="C306" s="3"/>
      <c r="D306" s="3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4"/>
      <c r="AA306" s="4"/>
      <c r="AB306" s="4"/>
      <c r="AC306" s="4"/>
      <c r="AD306" s="5"/>
      <c r="AE306" s="6"/>
      <c r="AF306" s="6"/>
      <c r="AG306" s="6"/>
      <c r="AH306" s="6"/>
    </row>
    <row r="307" spans="1:34" ht="12.75" customHeight="1" x14ac:dyDescent="0.3">
      <c r="A307" s="2"/>
      <c r="B307" s="2"/>
      <c r="C307" s="3"/>
      <c r="D307" s="3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4"/>
      <c r="AA307" s="4"/>
      <c r="AB307" s="4"/>
      <c r="AC307" s="4"/>
      <c r="AD307" s="5"/>
      <c r="AE307" s="6"/>
      <c r="AF307" s="6"/>
      <c r="AG307" s="6"/>
      <c r="AH307" s="6"/>
    </row>
    <row r="308" spans="1:34" ht="12.75" customHeight="1" x14ac:dyDescent="0.3">
      <c r="A308" s="2"/>
      <c r="B308" s="2"/>
      <c r="C308" s="3"/>
      <c r="D308" s="3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4"/>
      <c r="AA308" s="4"/>
      <c r="AB308" s="4"/>
      <c r="AC308" s="4"/>
      <c r="AD308" s="5"/>
      <c r="AE308" s="6"/>
      <c r="AF308" s="6"/>
      <c r="AG308" s="6"/>
      <c r="AH308" s="6"/>
    </row>
    <row r="309" spans="1:34" ht="12.75" customHeight="1" x14ac:dyDescent="0.3">
      <c r="A309" s="2"/>
      <c r="B309" s="2"/>
      <c r="C309" s="3"/>
      <c r="D309" s="3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4"/>
      <c r="AA309" s="4"/>
      <c r="AB309" s="4"/>
      <c r="AC309" s="4"/>
      <c r="AD309" s="5"/>
      <c r="AE309" s="6"/>
      <c r="AF309" s="6"/>
      <c r="AG309" s="6"/>
      <c r="AH309" s="6"/>
    </row>
    <row r="310" spans="1:34" ht="12.75" customHeight="1" x14ac:dyDescent="0.3">
      <c r="A310" s="2"/>
      <c r="B310" s="2"/>
      <c r="C310" s="3"/>
      <c r="D310" s="3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4"/>
      <c r="AA310" s="4"/>
      <c r="AB310" s="4"/>
      <c r="AC310" s="4"/>
      <c r="AD310" s="5"/>
      <c r="AE310" s="6"/>
      <c r="AF310" s="6"/>
      <c r="AG310" s="6"/>
      <c r="AH310" s="6"/>
    </row>
    <row r="311" spans="1:34" ht="12.75" customHeight="1" x14ac:dyDescent="0.3">
      <c r="A311" s="2"/>
      <c r="B311" s="2"/>
      <c r="C311" s="3"/>
      <c r="D311" s="3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4"/>
      <c r="AA311" s="4"/>
      <c r="AB311" s="4"/>
      <c r="AC311" s="4"/>
      <c r="AD311" s="5"/>
      <c r="AE311" s="6"/>
      <c r="AF311" s="6"/>
      <c r="AG311" s="6"/>
      <c r="AH311" s="6"/>
    </row>
    <row r="312" spans="1:34" ht="12.75" customHeight="1" x14ac:dyDescent="0.3">
      <c r="A312" s="2"/>
      <c r="B312" s="2"/>
      <c r="C312" s="3"/>
      <c r="D312" s="3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4"/>
      <c r="AA312" s="4"/>
      <c r="AB312" s="4"/>
      <c r="AC312" s="4"/>
      <c r="AD312" s="5"/>
      <c r="AE312" s="6"/>
      <c r="AF312" s="6"/>
      <c r="AG312" s="6"/>
      <c r="AH312" s="6"/>
    </row>
    <row r="313" spans="1:34" ht="12.75" customHeight="1" x14ac:dyDescent="0.3">
      <c r="A313" s="2"/>
      <c r="B313" s="2"/>
      <c r="C313" s="3"/>
      <c r="D313" s="3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4"/>
      <c r="AA313" s="4"/>
      <c r="AB313" s="4"/>
      <c r="AC313" s="4"/>
      <c r="AD313" s="5"/>
      <c r="AE313" s="6"/>
      <c r="AF313" s="6"/>
      <c r="AG313" s="6"/>
      <c r="AH313" s="6"/>
    </row>
    <row r="314" spans="1:34" ht="12.75" customHeight="1" x14ac:dyDescent="0.3">
      <c r="A314" s="2"/>
      <c r="B314" s="2"/>
      <c r="C314" s="3"/>
      <c r="D314" s="3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4"/>
      <c r="AA314" s="4"/>
      <c r="AB314" s="4"/>
      <c r="AC314" s="4"/>
      <c r="AD314" s="5"/>
      <c r="AE314" s="6"/>
      <c r="AF314" s="6"/>
      <c r="AG314" s="6"/>
      <c r="AH314" s="6"/>
    </row>
    <row r="315" spans="1:34" ht="12.75" customHeight="1" x14ac:dyDescent="0.3">
      <c r="A315" s="2"/>
      <c r="B315" s="2"/>
      <c r="C315" s="3"/>
      <c r="D315" s="3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4"/>
      <c r="AA315" s="4"/>
      <c r="AB315" s="4"/>
      <c r="AC315" s="4"/>
      <c r="AD315" s="5"/>
      <c r="AE315" s="6"/>
      <c r="AF315" s="6"/>
      <c r="AG315" s="6"/>
      <c r="AH315" s="6"/>
    </row>
    <row r="316" spans="1:34" ht="12.75" customHeight="1" x14ac:dyDescent="0.3">
      <c r="A316" s="2"/>
      <c r="B316" s="2"/>
      <c r="C316" s="3"/>
      <c r="D316" s="3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4"/>
      <c r="AA316" s="4"/>
      <c r="AB316" s="4"/>
      <c r="AC316" s="4"/>
      <c r="AD316" s="5"/>
      <c r="AE316" s="6"/>
      <c r="AF316" s="6"/>
      <c r="AG316" s="6"/>
      <c r="AH316" s="6"/>
    </row>
    <row r="317" spans="1:34" ht="12.75" customHeight="1" x14ac:dyDescent="0.3">
      <c r="A317" s="2"/>
      <c r="B317" s="2"/>
      <c r="C317" s="3"/>
      <c r="D317" s="3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4"/>
      <c r="AA317" s="4"/>
      <c r="AB317" s="4"/>
      <c r="AC317" s="4"/>
      <c r="AD317" s="5"/>
      <c r="AE317" s="6"/>
      <c r="AF317" s="6"/>
      <c r="AG317" s="6"/>
      <c r="AH317" s="6"/>
    </row>
    <row r="318" spans="1:34" ht="12.75" customHeight="1" x14ac:dyDescent="0.3">
      <c r="A318" s="2"/>
      <c r="B318" s="2"/>
      <c r="C318" s="3"/>
      <c r="D318" s="3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4"/>
      <c r="AA318" s="4"/>
      <c r="AB318" s="4"/>
      <c r="AC318" s="4"/>
      <c r="AD318" s="5"/>
      <c r="AE318" s="6"/>
      <c r="AF318" s="6"/>
      <c r="AG318" s="6"/>
      <c r="AH318" s="6"/>
    </row>
    <row r="319" spans="1:34" ht="12.75" customHeight="1" x14ac:dyDescent="0.3">
      <c r="A319" s="2"/>
      <c r="B319" s="2"/>
      <c r="C319" s="3"/>
      <c r="D319" s="3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4"/>
      <c r="AA319" s="4"/>
      <c r="AB319" s="4"/>
      <c r="AC319" s="4"/>
      <c r="AD319" s="5"/>
      <c r="AE319" s="6"/>
      <c r="AF319" s="6"/>
      <c r="AG319" s="6"/>
      <c r="AH319" s="6"/>
    </row>
    <row r="320" spans="1:34" ht="12.75" customHeight="1" x14ac:dyDescent="0.3">
      <c r="A320" s="2"/>
      <c r="B320" s="2"/>
      <c r="C320" s="3"/>
      <c r="D320" s="3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4"/>
      <c r="AA320" s="4"/>
      <c r="AB320" s="4"/>
      <c r="AC320" s="4"/>
      <c r="AD320" s="5"/>
      <c r="AE320" s="6"/>
      <c r="AF320" s="6"/>
      <c r="AG320" s="6"/>
      <c r="AH320" s="6"/>
    </row>
    <row r="321" spans="1:34" ht="12.75" customHeight="1" x14ac:dyDescent="0.3">
      <c r="A321" s="2"/>
      <c r="B321" s="2"/>
      <c r="C321" s="3"/>
      <c r="D321" s="3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4"/>
      <c r="AA321" s="4"/>
      <c r="AB321" s="4"/>
      <c r="AC321" s="4"/>
      <c r="AD321" s="5"/>
      <c r="AE321" s="6"/>
      <c r="AF321" s="6"/>
      <c r="AG321" s="6"/>
      <c r="AH321" s="6"/>
    </row>
    <row r="322" spans="1:34" ht="12.75" customHeight="1" x14ac:dyDescent="0.3">
      <c r="A322" s="2"/>
      <c r="B322" s="2"/>
      <c r="C322" s="3"/>
      <c r="D322" s="3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4"/>
      <c r="AA322" s="4"/>
      <c r="AB322" s="4"/>
      <c r="AC322" s="4"/>
      <c r="AD322" s="5"/>
      <c r="AE322" s="6"/>
      <c r="AF322" s="6"/>
      <c r="AG322" s="6"/>
      <c r="AH322" s="6"/>
    </row>
    <row r="323" spans="1:34" ht="12.75" customHeight="1" x14ac:dyDescent="0.3">
      <c r="A323" s="2"/>
      <c r="B323" s="2"/>
      <c r="C323" s="3"/>
      <c r="D323" s="3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4"/>
      <c r="AA323" s="4"/>
      <c r="AB323" s="4"/>
      <c r="AC323" s="4"/>
      <c r="AD323" s="5"/>
      <c r="AE323" s="6"/>
      <c r="AF323" s="6"/>
      <c r="AG323" s="6"/>
      <c r="AH323" s="6"/>
    </row>
    <row r="324" spans="1:34" ht="12.75" customHeight="1" x14ac:dyDescent="0.3">
      <c r="A324" s="2"/>
      <c r="B324" s="2"/>
      <c r="C324" s="3"/>
      <c r="D324" s="3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4"/>
      <c r="AA324" s="4"/>
      <c r="AB324" s="4"/>
      <c r="AC324" s="4"/>
      <c r="AD324" s="5"/>
      <c r="AE324" s="6"/>
      <c r="AF324" s="6"/>
      <c r="AG324" s="6"/>
      <c r="AH324" s="6"/>
    </row>
    <row r="325" spans="1:34" ht="12.75" customHeight="1" x14ac:dyDescent="0.3">
      <c r="A325" s="2"/>
      <c r="B325" s="2"/>
      <c r="C325" s="3"/>
      <c r="D325" s="3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4"/>
      <c r="AA325" s="4"/>
      <c r="AB325" s="4"/>
      <c r="AC325" s="4"/>
      <c r="AD325" s="5"/>
      <c r="AE325" s="6"/>
      <c r="AF325" s="6"/>
      <c r="AG325" s="6"/>
      <c r="AH325" s="6"/>
    </row>
    <row r="326" spans="1:34" ht="12.75" customHeight="1" x14ac:dyDescent="0.3">
      <c r="A326" s="2"/>
      <c r="B326" s="2"/>
      <c r="C326" s="3"/>
      <c r="D326" s="3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4"/>
      <c r="AA326" s="4"/>
      <c r="AB326" s="4"/>
      <c r="AC326" s="4"/>
      <c r="AD326" s="5"/>
      <c r="AE326" s="6"/>
      <c r="AF326" s="6"/>
      <c r="AG326" s="6"/>
      <c r="AH326" s="6"/>
    </row>
    <row r="327" spans="1:34" ht="12.75" customHeight="1" x14ac:dyDescent="0.3">
      <c r="A327" s="2"/>
      <c r="B327" s="2"/>
      <c r="C327" s="3"/>
      <c r="D327" s="3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4"/>
      <c r="AA327" s="4"/>
      <c r="AB327" s="4"/>
      <c r="AC327" s="4"/>
      <c r="AD327" s="5"/>
      <c r="AE327" s="6"/>
      <c r="AF327" s="6"/>
      <c r="AG327" s="6"/>
      <c r="AH327" s="6"/>
    </row>
    <row r="328" spans="1:34" ht="12.75" customHeight="1" x14ac:dyDescent="0.3">
      <c r="A328" s="2"/>
      <c r="B328" s="2"/>
      <c r="C328" s="3"/>
      <c r="D328" s="3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4"/>
      <c r="AA328" s="4"/>
      <c r="AB328" s="4"/>
      <c r="AC328" s="4"/>
      <c r="AD328" s="5"/>
      <c r="AE328" s="6"/>
      <c r="AF328" s="6"/>
      <c r="AG328" s="6"/>
      <c r="AH328" s="6"/>
    </row>
    <row r="329" spans="1:34" ht="12.75" customHeight="1" x14ac:dyDescent="0.3">
      <c r="A329" s="2"/>
      <c r="B329" s="2"/>
      <c r="C329" s="3"/>
      <c r="D329" s="3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4"/>
      <c r="AA329" s="4"/>
      <c r="AB329" s="4"/>
      <c r="AC329" s="4"/>
      <c r="AD329" s="5"/>
      <c r="AE329" s="6"/>
      <c r="AF329" s="6"/>
      <c r="AG329" s="6"/>
      <c r="AH329" s="6"/>
    </row>
    <row r="330" spans="1:34" ht="12.75" customHeight="1" x14ac:dyDescent="0.3">
      <c r="A330" s="2"/>
      <c r="B330" s="2"/>
      <c r="C330" s="3"/>
      <c r="D330" s="3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4"/>
      <c r="AA330" s="4"/>
      <c r="AB330" s="4"/>
      <c r="AC330" s="4"/>
      <c r="AD330" s="5"/>
      <c r="AE330" s="6"/>
      <c r="AF330" s="6"/>
      <c r="AG330" s="6"/>
      <c r="AH330" s="6"/>
    </row>
    <row r="331" spans="1:34" ht="12.75" customHeight="1" x14ac:dyDescent="0.3">
      <c r="A331" s="2"/>
      <c r="B331" s="2"/>
      <c r="C331" s="3"/>
      <c r="D331" s="3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4"/>
      <c r="AA331" s="4"/>
      <c r="AB331" s="4"/>
      <c r="AC331" s="4"/>
      <c r="AD331" s="5"/>
      <c r="AE331" s="6"/>
      <c r="AF331" s="6"/>
      <c r="AG331" s="6"/>
      <c r="AH331" s="6"/>
    </row>
    <row r="332" spans="1:34" ht="12.75" customHeight="1" x14ac:dyDescent="0.3">
      <c r="A332" s="2"/>
      <c r="B332" s="2"/>
      <c r="C332" s="3"/>
      <c r="D332" s="3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4"/>
      <c r="AA332" s="4"/>
      <c r="AB332" s="4"/>
      <c r="AC332" s="4"/>
      <c r="AD332" s="5"/>
      <c r="AE332" s="6"/>
      <c r="AF332" s="6"/>
      <c r="AG332" s="6"/>
      <c r="AH332" s="6"/>
    </row>
    <row r="333" spans="1:34" ht="12.75" customHeight="1" x14ac:dyDescent="0.3">
      <c r="A333" s="2"/>
      <c r="B333" s="2"/>
      <c r="C333" s="3"/>
      <c r="D333" s="3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4"/>
      <c r="AA333" s="4"/>
      <c r="AB333" s="4"/>
      <c r="AC333" s="4"/>
      <c r="AD333" s="5"/>
      <c r="AE333" s="6"/>
      <c r="AF333" s="6"/>
      <c r="AG333" s="6"/>
      <c r="AH333" s="6"/>
    </row>
    <row r="334" spans="1:34" ht="12.75" customHeight="1" x14ac:dyDescent="0.3">
      <c r="A334" s="2"/>
      <c r="B334" s="2"/>
      <c r="C334" s="3"/>
      <c r="D334" s="3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4"/>
      <c r="AA334" s="4"/>
      <c r="AB334" s="4"/>
      <c r="AC334" s="4"/>
      <c r="AD334" s="5"/>
      <c r="AE334" s="6"/>
      <c r="AF334" s="6"/>
      <c r="AG334" s="6"/>
      <c r="AH334" s="6"/>
    </row>
    <row r="335" spans="1:34" ht="12.75" customHeight="1" x14ac:dyDescent="0.3">
      <c r="A335" s="2"/>
      <c r="B335" s="2"/>
      <c r="C335" s="3"/>
      <c r="D335" s="3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4"/>
      <c r="AA335" s="4"/>
      <c r="AB335" s="4"/>
      <c r="AC335" s="4"/>
      <c r="AD335" s="5"/>
      <c r="AE335" s="6"/>
      <c r="AF335" s="6"/>
      <c r="AG335" s="6"/>
      <c r="AH335" s="6"/>
    </row>
    <row r="336" spans="1:34" ht="12.75" customHeight="1" x14ac:dyDescent="0.3">
      <c r="A336" s="2"/>
      <c r="B336" s="2"/>
      <c r="C336" s="3"/>
      <c r="D336" s="3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4"/>
      <c r="AA336" s="4"/>
      <c r="AB336" s="4"/>
      <c r="AC336" s="4"/>
      <c r="AD336" s="5"/>
      <c r="AE336" s="6"/>
      <c r="AF336" s="6"/>
      <c r="AG336" s="6"/>
      <c r="AH336" s="6"/>
    </row>
    <row r="337" spans="1:34" ht="12.75" customHeight="1" x14ac:dyDescent="0.3">
      <c r="A337" s="2"/>
      <c r="B337" s="2"/>
      <c r="C337" s="3"/>
      <c r="D337" s="3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4"/>
      <c r="AA337" s="4"/>
      <c r="AB337" s="4"/>
      <c r="AC337" s="4"/>
      <c r="AD337" s="5"/>
      <c r="AE337" s="6"/>
      <c r="AF337" s="6"/>
      <c r="AG337" s="6"/>
      <c r="AH337" s="6"/>
    </row>
    <row r="338" spans="1:34" ht="12.75" customHeight="1" x14ac:dyDescent="0.3">
      <c r="A338" s="2"/>
      <c r="B338" s="2"/>
      <c r="C338" s="3"/>
      <c r="D338" s="3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4"/>
      <c r="AA338" s="4"/>
      <c r="AB338" s="4"/>
      <c r="AC338" s="4"/>
      <c r="AD338" s="5"/>
      <c r="AE338" s="6"/>
      <c r="AF338" s="6"/>
      <c r="AG338" s="6"/>
      <c r="AH338" s="6"/>
    </row>
    <row r="339" spans="1:34" ht="12.75" customHeight="1" x14ac:dyDescent="0.3">
      <c r="A339" s="2"/>
      <c r="B339" s="2"/>
      <c r="C339" s="3"/>
      <c r="D339" s="3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4"/>
      <c r="AA339" s="4"/>
      <c r="AB339" s="4"/>
      <c r="AC339" s="4"/>
      <c r="AD339" s="5"/>
      <c r="AE339" s="6"/>
      <c r="AF339" s="6"/>
      <c r="AG339" s="6"/>
      <c r="AH339" s="6"/>
    </row>
    <row r="340" spans="1:34" ht="12.75" customHeight="1" x14ac:dyDescent="0.3">
      <c r="A340" s="2"/>
      <c r="B340" s="2"/>
      <c r="C340" s="3"/>
      <c r="D340" s="3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4"/>
      <c r="AA340" s="4"/>
      <c r="AB340" s="4"/>
      <c r="AC340" s="4"/>
      <c r="AD340" s="5"/>
      <c r="AE340" s="6"/>
      <c r="AF340" s="6"/>
      <c r="AG340" s="6"/>
      <c r="AH340" s="6"/>
    </row>
    <row r="341" spans="1:34" ht="12.75" customHeight="1" x14ac:dyDescent="0.3">
      <c r="A341" s="2"/>
      <c r="B341" s="2"/>
      <c r="C341" s="3"/>
      <c r="D341" s="3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4"/>
      <c r="AA341" s="4"/>
      <c r="AB341" s="4"/>
      <c r="AC341" s="4"/>
      <c r="AD341" s="5"/>
      <c r="AE341" s="6"/>
      <c r="AF341" s="6"/>
      <c r="AG341" s="6"/>
      <c r="AH341" s="6"/>
    </row>
    <row r="342" spans="1:34" ht="12.75" customHeight="1" x14ac:dyDescent="0.3">
      <c r="A342" s="2"/>
      <c r="B342" s="2"/>
      <c r="C342" s="3"/>
      <c r="D342" s="3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4"/>
      <c r="AA342" s="4"/>
      <c r="AB342" s="4"/>
      <c r="AC342" s="4"/>
      <c r="AD342" s="5"/>
      <c r="AE342" s="6"/>
      <c r="AF342" s="6"/>
      <c r="AG342" s="6"/>
      <c r="AH342" s="6"/>
    </row>
    <row r="343" spans="1:34" ht="12.75" customHeight="1" x14ac:dyDescent="0.3">
      <c r="A343" s="2"/>
      <c r="B343" s="2"/>
      <c r="C343" s="3"/>
      <c r="D343" s="3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4"/>
      <c r="AA343" s="4"/>
      <c r="AB343" s="4"/>
      <c r="AC343" s="4"/>
      <c r="AD343" s="5"/>
      <c r="AE343" s="6"/>
      <c r="AF343" s="6"/>
      <c r="AG343" s="6"/>
      <c r="AH343" s="6"/>
    </row>
    <row r="344" spans="1:34" ht="12.75" customHeight="1" x14ac:dyDescent="0.3">
      <c r="A344" s="2"/>
      <c r="B344" s="2"/>
      <c r="C344" s="3"/>
      <c r="D344" s="3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4"/>
      <c r="AA344" s="4"/>
      <c r="AB344" s="4"/>
      <c r="AC344" s="4"/>
      <c r="AD344" s="5"/>
      <c r="AE344" s="6"/>
      <c r="AF344" s="6"/>
      <c r="AG344" s="6"/>
      <c r="AH344" s="6"/>
    </row>
    <row r="345" spans="1:34" ht="12.75" customHeight="1" x14ac:dyDescent="0.3">
      <c r="A345" s="2"/>
      <c r="B345" s="2"/>
      <c r="C345" s="3"/>
      <c r="D345" s="3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4"/>
      <c r="AA345" s="4"/>
      <c r="AB345" s="4"/>
      <c r="AC345" s="4"/>
      <c r="AD345" s="5"/>
      <c r="AE345" s="6"/>
      <c r="AF345" s="6"/>
      <c r="AG345" s="6"/>
      <c r="AH345" s="6"/>
    </row>
    <row r="346" spans="1:34" ht="12.75" customHeight="1" x14ac:dyDescent="0.3">
      <c r="A346" s="2"/>
      <c r="B346" s="2"/>
      <c r="C346" s="3"/>
      <c r="D346" s="3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4"/>
      <c r="AA346" s="4"/>
      <c r="AB346" s="4"/>
      <c r="AC346" s="4"/>
      <c r="AD346" s="5"/>
      <c r="AE346" s="6"/>
      <c r="AF346" s="6"/>
      <c r="AG346" s="6"/>
      <c r="AH346" s="6"/>
    </row>
    <row r="347" spans="1:34" ht="12.75" customHeight="1" x14ac:dyDescent="0.3">
      <c r="A347" s="2"/>
      <c r="B347" s="2"/>
      <c r="C347" s="3"/>
      <c r="D347" s="3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4"/>
      <c r="AA347" s="4"/>
      <c r="AB347" s="4"/>
      <c r="AC347" s="4"/>
      <c r="AD347" s="5"/>
      <c r="AE347" s="6"/>
      <c r="AF347" s="6"/>
      <c r="AG347" s="6"/>
      <c r="AH347" s="6"/>
    </row>
    <row r="348" spans="1:34" ht="12.75" customHeight="1" x14ac:dyDescent="0.3">
      <c r="A348" s="2"/>
      <c r="B348" s="2"/>
      <c r="C348" s="3"/>
      <c r="D348" s="3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4"/>
      <c r="AA348" s="4"/>
      <c r="AB348" s="4"/>
      <c r="AC348" s="4"/>
      <c r="AD348" s="5"/>
      <c r="AE348" s="6"/>
      <c r="AF348" s="6"/>
      <c r="AG348" s="6"/>
      <c r="AH348" s="6"/>
    </row>
    <row r="349" spans="1:34" ht="12.75" customHeight="1" x14ac:dyDescent="0.3">
      <c r="A349" s="2"/>
      <c r="B349" s="2"/>
      <c r="C349" s="3"/>
      <c r="D349" s="3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4"/>
      <c r="AA349" s="4"/>
      <c r="AB349" s="4"/>
      <c r="AC349" s="4"/>
      <c r="AD349" s="5"/>
      <c r="AE349" s="6"/>
      <c r="AF349" s="6"/>
      <c r="AG349" s="6"/>
      <c r="AH349" s="6"/>
    </row>
    <row r="350" spans="1:34" ht="12.75" customHeight="1" x14ac:dyDescent="0.3">
      <c r="A350" s="2"/>
      <c r="B350" s="2"/>
      <c r="C350" s="3"/>
      <c r="D350" s="3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4"/>
      <c r="AA350" s="4"/>
      <c r="AB350" s="4"/>
      <c r="AC350" s="4"/>
      <c r="AD350" s="5"/>
      <c r="AE350" s="6"/>
      <c r="AF350" s="6"/>
      <c r="AG350" s="6"/>
      <c r="AH350" s="6"/>
    </row>
    <row r="351" spans="1:34" ht="12.75" customHeight="1" x14ac:dyDescent="0.3">
      <c r="A351" s="2"/>
      <c r="B351" s="2"/>
      <c r="C351" s="3"/>
      <c r="D351" s="3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4"/>
      <c r="AA351" s="4"/>
      <c r="AB351" s="4"/>
      <c r="AC351" s="4"/>
      <c r="AD351" s="5"/>
      <c r="AE351" s="6"/>
      <c r="AF351" s="6"/>
      <c r="AG351" s="6"/>
      <c r="AH351" s="6"/>
    </row>
    <row r="352" spans="1:34" ht="12.75" customHeight="1" x14ac:dyDescent="0.3">
      <c r="A352" s="2"/>
      <c r="B352" s="2"/>
      <c r="C352" s="3"/>
      <c r="D352" s="3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4"/>
      <c r="AA352" s="4"/>
      <c r="AB352" s="4"/>
      <c r="AC352" s="4"/>
      <c r="AD352" s="5"/>
      <c r="AE352" s="6"/>
      <c r="AF352" s="6"/>
      <c r="AG352" s="6"/>
      <c r="AH352" s="6"/>
    </row>
    <row r="353" spans="1:34" ht="12.75" customHeight="1" x14ac:dyDescent="0.3">
      <c r="A353" s="2"/>
      <c r="B353" s="2"/>
      <c r="C353" s="3"/>
      <c r="D353" s="3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4"/>
      <c r="AA353" s="4"/>
      <c r="AB353" s="4"/>
      <c r="AC353" s="4"/>
      <c r="AD353" s="5"/>
      <c r="AE353" s="6"/>
      <c r="AF353" s="6"/>
      <c r="AG353" s="6"/>
      <c r="AH353" s="6"/>
    </row>
    <row r="354" spans="1:34" ht="12.75" customHeight="1" x14ac:dyDescent="0.3">
      <c r="A354" s="2"/>
      <c r="B354" s="2"/>
      <c r="C354" s="3"/>
      <c r="D354" s="3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4"/>
      <c r="AA354" s="4"/>
      <c r="AB354" s="4"/>
      <c r="AC354" s="4"/>
      <c r="AD354" s="5"/>
      <c r="AE354" s="6"/>
      <c r="AF354" s="6"/>
      <c r="AG354" s="6"/>
      <c r="AH354" s="6"/>
    </row>
    <row r="355" spans="1:34" ht="12.75" customHeight="1" x14ac:dyDescent="0.3">
      <c r="A355" s="2"/>
      <c r="B355" s="2"/>
      <c r="C355" s="3"/>
      <c r="D355" s="3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4"/>
      <c r="AA355" s="4"/>
      <c r="AB355" s="4"/>
      <c r="AC355" s="4"/>
      <c r="AD355" s="5"/>
      <c r="AE355" s="6"/>
      <c r="AF355" s="6"/>
      <c r="AG355" s="6"/>
      <c r="AH355" s="6"/>
    </row>
    <row r="356" spans="1:34" ht="12.75" customHeight="1" x14ac:dyDescent="0.3">
      <c r="A356" s="2"/>
      <c r="B356" s="2"/>
      <c r="C356" s="3"/>
      <c r="D356" s="3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4"/>
      <c r="AA356" s="4"/>
      <c r="AB356" s="4"/>
      <c r="AC356" s="4"/>
      <c r="AD356" s="5"/>
      <c r="AE356" s="6"/>
      <c r="AF356" s="6"/>
      <c r="AG356" s="6"/>
      <c r="AH356" s="6"/>
    </row>
    <row r="357" spans="1:34" ht="12.75" customHeight="1" x14ac:dyDescent="0.3">
      <c r="A357" s="2"/>
      <c r="B357" s="2"/>
      <c r="C357" s="3"/>
      <c r="D357" s="3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4"/>
      <c r="AA357" s="4"/>
      <c r="AB357" s="4"/>
      <c r="AC357" s="4"/>
      <c r="AD357" s="5"/>
      <c r="AE357" s="6"/>
      <c r="AF357" s="6"/>
      <c r="AG357" s="6"/>
      <c r="AH357" s="6"/>
    </row>
    <row r="358" spans="1:34" ht="12.75" customHeight="1" x14ac:dyDescent="0.3">
      <c r="A358" s="2"/>
      <c r="B358" s="2"/>
      <c r="C358" s="3"/>
      <c r="D358" s="3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4"/>
      <c r="AA358" s="4"/>
      <c r="AB358" s="4"/>
      <c r="AC358" s="4"/>
      <c r="AD358" s="5"/>
      <c r="AE358" s="6"/>
      <c r="AF358" s="6"/>
      <c r="AG358" s="6"/>
      <c r="AH358" s="6"/>
    </row>
    <row r="359" spans="1:34" ht="12.75" customHeight="1" x14ac:dyDescent="0.3">
      <c r="A359" s="2"/>
      <c r="B359" s="2"/>
      <c r="C359" s="3"/>
      <c r="D359" s="3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4"/>
      <c r="AA359" s="4"/>
      <c r="AB359" s="4"/>
      <c r="AC359" s="4"/>
      <c r="AD359" s="5"/>
      <c r="AE359" s="6"/>
      <c r="AF359" s="6"/>
      <c r="AG359" s="6"/>
      <c r="AH359" s="6"/>
    </row>
    <row r="360" spans="1:34" ht="12.75" customHeight="1" x14ac:dyDescent="0.3">
      <c r="A360" s="2"/>
      <c r="B360" s="2"/>
      <c r="C360" s="3"/>
      <c r="D360" s="3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4"/>
      <c r="AA360" s="4"/>
      <c r="AB360" s="4"/>
      <c r="AC360" s="4"/>
      <c r="AD360" s="5"/>
      <c r="AE360" s="6"/>
      <c r="AF360" s="6"/>
      <c r="AG360" s="6"/>
      <c r="AH360" s="6"/>
    </row>
    <row r="361" spans="1:34" ht="12.75" customHeight="1" x14ac:dyDescent="0.3">
      <c r="A361" s="2"/>
      <c r="B361" s="2"/>
      <c r="C361" s="3"/>
      <c r="D361" s="3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4"/>
      <c r="AA361" s="4"/>
      <c r="AB361" s="4"/>
      <c r="AC361" s="4"/>
      <c r="AD361" s="5"/>
      <c r="AE361" s="6"/>
      <c r="AF361" s="6"/>
      <c r="AG361" s="6"/>
      <c r="AH361" s="6"/>
    </row>
    <row r="362" spans="1:34" ht="12.75" customHeight="1" x14ac:dyDescent="0.3">
      <c r="A362" s="2"/>
      <c r="B362" s="2"/>
      <c r="C362" s="3"/>
      <c r="D362" s="3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4"/>
      <c r="AA362" s="4"/>
      <c r="AB362" s="4"/>
      <c r="AC362" s="4"/>
      <c r="AD362" s="5"/>
      <c r="AE362" s="6"/>
      <c r="AF362" s="6"/>
      <c r="AG362" s="6"/>
      <c r="AH362" s="6"/>
    </row>
    <row r="363" spans="1:34" ht="12.75" customHeight="1" x14ac:dyDescent="0.3">
      <c r="A363" s="2"/>
      <c r="B363" s="2"/>
      <c r="C363" s="3"/>
      <c r="D363" s="3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4"/>
      <c r="AA363" s="4"/>
      <c r="AB363" s="4"/>
      <c r="AC363" s="4"/>
      <c r="AD363" s="5"/>
      <c r="AE363" s="6"/>
      <c r="AF363" s="6"/>
      <c r="AG363" s="6"/>
      <c r="AH363" s="6"/>
    </row>
    <row r="364" spans="1:34" ht="12.75" customHeight="1" x14ac:dyDescent="0.3">
      <c r="A364" s="2"/>
      <c r="B364" s="2"/>
      <c r="C364" s="3"/>
      <c r="D364" s="3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4"/>
      <c r="AA364" s="4"/>
      <c r="AB364" s="4"/>
      <c r="AC364" s="4"/>
      <c r="AD364" s="5"/>
      <c r="AE364" s="6"/>
      <c r="AF364" s="6"/>
      <c r="AG364" s="6"/>
      <c r="AH364" s="6"/>
    </row>
    <row r="365" spans="1:34" ht="12.75" customHeight="1" x14ac:dyDescent="0.3">
      <c r="A365" s="2"/>
      <c r="B365" s="2"/>
      <c r="C365" s="3"/>
      <c r="D365" s="3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4"/>
      <c r="AA365" s="4"/>
      <c r="AB365" s="4"/>
      <c r="AC365" s="4"/>
      <c r="AD365" s="5"/>
      <c r="AE365" s="6"/>
      <c r="AF365" s="6"/>
      <c r="AG365" s="6"/>
      <c r="AH365" s="6"/>
    </row>
    <row r="366" spans="1:34" ht="12.75" customHeight="1" x14ac:dyDescent="0.3">
      <c r="A366" s="2"/>
      <c r="B366" s="2"/>
      <c r="C366" s="3"/>
      <c r="D366" s="3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4"/>
      <c r="AA366" s="4"/>
      <c r="AB366" s="4"/>
      <c r="AC366" s="4"/>
      <c r="AD366" s="5"/>
      <c r="AE366" s="6"/>
      <c r="AF366" s="6"/>
      <c r="AG366" s="6"/>
      <c r="AH366" s="6"/>
    </row>
    <row r="367" spans="1:34" ht="12.75" customHeight="1" x14ac:dyDescent="0.3">
      <c r="A367" s="2"/>
      <c r="B367" s="2"/>
      <c r="C367" s="3"/>
      <c r="D367" s="3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4"/>
      <c r="AA367" s="4"/>
      <c r="AB367" s="4"/>
      <c r="AC367" s="4"/>
      <c r="AD367" s="5"/>
      <c r="AE367" s="6"/>
      <c r="AF367" s="6"/>
      <c r="AG367" s="6"/>
      <c r="AH367" s="6"/>
    </row>
    <row r="368" spans="1:34" ht="12.75" customHeight="1" x14ac:dyDescent="0.3">
      <c r="A368" s="2"/>
      <c r="B368" s="2"/>
      <c r="C368" s="3"/>
      <c r="D368" s="3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4"/>
      <c r="AA368" s="4"/>
      <c r="AB368" s="4"/>
      <c r="AC368" s="4"/>
      <c r="AD368" s="5"/>
      <c r="AE368" s="6"/>
      <c r="AF368" s="6"/>
      <c r="AG368" s="6"/>
      <c r="AH368" s="6"/>
    </row>
    <row r="369" spans="1:34" ht="12.75" customHeight="1" x14ac:dyDescent="0.3">
      <c r="A369" s="2"/>
      <c r="B369" s="2"/>
      <c r="C369" s="3"/>
      <c r="D369" s="3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4"/>
      <c r="AA369" s="4"/>
      <c r="AB369" s="4"/>
      <c r="AC369" s="4"/>
      <c r="AD369" s="5"/>
      <c r="AE369" s="6"/>
      <c r="AF369" s="6"/>
      <c r="AG369" s="6"/>
      <c r="AH369" s="6"/>
    </row>
    <row r="370" spans="1:34" ht="12.75" customHeight="1" x14ac:dyDescent="0.3">
      <c r="A370" s="2"/>
      <c r="B370" s="2"/>
      <c r="C370" s="3"/>
      <c r="D370" s="3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4"/>
      <c r="AA370" s="4"/>
      <c r="AB370" s="4"/>
      <c r="AC370" s="4"/>
      <c r="AD370" s="5"/>
      <c r="AE370" s="6"/>
      <c r="AF370" s="6"/>
      <c r="AG370" s="6"/>
      <c r="AH370" s="6"/>
    </row>
    <row r="371" spans="1:34" ht="12.75" customHeight="1" x14ac:dyDescent="0.3">
      <c r="A371" s="2"/>
      <c r="B371" s="2"/>
      <c r="C371" s="3"/>
      <c r="D371" s="3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4"/>
      <c r="AA371" s="4"/>
      <c r="AB371" s="4"/>
      <c r="AC371" s="4"/>
      <c r="AD371" s="5"/>
      <c r="AE371" s="6"/>
      <c r="AF371" s="6"/>
      <c r="AG371" s="6"/>
      <c r="AH371" s="6"/>
    </row>
    <row r="372" spans="1:34" ht="12.75" customHeight="1" x14ac:dyDescent="0.3">
      <c r="A372" s="2"/>
      <c r="B372" s="2"/>
      <c r="C372" s="3"/>
      <c r="D372" s="3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4"/>
      <c r="AA372" s="4"/>
      <c r="AB372" s="4"/>
      <c r="AC372" s="4"/>
      <c r="AD372" s="5"/>
      <c r="AE372" s="6"/>
      <c r="AF372" s="6"/>
      <c r="AG372" s="6"/>
      <c r="AH372" s="6"/>
    </row>
    <row r="373" spans="1:34" ht="12.75" customHeight="1" x14ac:dyDescent="0.3">
      <c r="A373" s="2"/>
      <c r="B373" s="2"/>
      <c r="C373" s="3"/>
      <c r="D373" s="3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4"/>
      <c r="AA373" s="4"/>
      <c r="AB373" s="4"/>
      <c r="AC373" s="4"/>
      <c r="AD373" s="5"/>
      <c r="AE373" s="6"/>
      <c r="AF373" s="6"/>
      <c r="AG373" s="6"/>
      <c r="AH373" s="6"/>
    </row>
    <row r="374" spans="1:34" ht="12.75" customHeight="1" x14ac:dyDescent="0.3">
      <c r="A374" s="2"/>
      <c r="B374" s="2"/>
      <c r="C374" s="3"/>
      <c r="D374" s="3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4"/>
      <c r="AA374" s="4"/>
      <c r="AB374" s="4"/>
      <c r="AC374" s="4"/>
      <c r="AD374" s="5"/>
      <c r="AE374" s="6"/>
      <c r="AF374" s="6"/>
      <c r="AG374" s="6"/>
      <c r="AH374" s="6"/>
    </row>
    <row r="375" spans="1:34" ht="12.75" customHeight="1" x14ac:dyDescent="0.3">
      <c r="A375" s="2"/>
      <c r="B375" s="2"/>
      <c r="C375" s="3"/>
      <c r="D375" s="3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4"/>
      <c r="AA375" s="4"/>
      <c r="AB375" s="4"/>
      <c r="AC375" s="4"/>
      <c r="AD375" s="5"/>
      <c r="AE375" s="6"/>
      <c r="AF375" s="6"/>
      <c r="AG375" s="6"/>
      <c r="AH375" s="6"/>
    </row>
    <row r="376" spans="1:34" ht="12.75" customHeight="1" x14ac:dyDescent="0.3">
      <c r="A376" s="2"/>
      <c r="B376" s="2"/>
      <c r="C376" s="3"/>
      <c r="D376" s="3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4"/>
      <c r="AA376" s="4"/>
      <c r="AB376" s="4"/>
      <c r="AC376" s="4"/>
      <c r="AD376" s="5"/>
      <c r="AE376" s="6"/>
      <c r="AF376" s="6"/>
      <c r="AG376" s="6"/>
      <c r="AH376" s="6"/>
    </row>
    <row r="377" spans="1:34" ht="12.75" customHeight="1" x14ac:dyDescent="0.3">
      <c r="A377" s="2"/>
      <c r="B377" s="2"/>
      <c r="C377" s="3"/>
      <c r="D377" s="3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4"/>
      <c r="AA377" s="4"/>
      <c r="AB377" s="4"/>
      <c r="AC377" s="4"/>
      <c r="AD377" s="5"/>
      <c r="AE377" s="6"/>
      <c r="AF377" s="6"/>
      <c r="AG377" s="6"/>
      <c r="AH377" s="6"/>
    </row>
    <row r="378" spans="1:34" ht="12.75" customHeight="1" x14ac:dyDescent="0.3">
      <c r="A378" s="2"/>
      <c r="B378" s="2"/>
      <c r="C378" s="3"/>
      <c r="D378" s="3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4"/>
      <c r="AA378" s="4"/>
      <c r="AB378" s="4"/>
      <c r="AC378" s="4"/>
      <c r="AD378" s="5"/>
      <c r="AE378" s="6"/>
      <c r="AF378" s="6"/>
      <c r="AG378" s="6"/>
      <c r="AH378" s="6"/>
    </row>
    <row r="379" spans="1:34" ht="12.75" customHeight="1" x14ac:dyDescent="0.3">
      <c r="A379" s="2"/>
      <c r="B379" s="2"/>
      <c r="C379" s="3"/>
      <c r="D379" s="3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4"/>
      <c r="AA379" s="4"/>
      <c r="AB379" s="4"/>
      <c r="AC379" s="4"/>
      <c r="AD379" s="5"/>
      <c r="AE379" s="6"/>
      <c r="AF379" s="6"/>
      <c r="AG379" s="6"/>
      <c r="AH379" s="6"/>
    </row>
    <row r="380" spans="1:34" ht="12.75" customHeight="1" x14ac:dyDescent="0.3">
      <c r="A380" s="2"/>
      <c r="B380" s="2"/>
      <c r="C380" s="3"/>
      <c r="D380" s="3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4"/>
      <c r="AA380" s="4"/>
      <c r="AB380" s="4"/>
      <c r="AC380" s="4"/>
      <c r="AD380" s="5"/>
      <c r="AE380" s="6"/>
      <c r="AF380" s="6"/>
      <c r="AG380" s="6"/>
      <c r="AH380" s="6"/>
    </row>
    <row r="381" spans="1:34" ht="12.75" customHeight="1" x14ac:dyDescent="0.3">
      <c r="A381" s="2"/>
      <c r="B381" s="2"/>
      <c r="C381" s="3"/>
      <c r="D381" s="3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4"/>
      <c r="AA381" s="4"/>
      <c r="AB381" s="4"/>
      <c r="AC381" s="4"/>
      <c r="AD381" s="5"/>
      <c r="AE381" s="6"/>
      <c r="AF381" s="6"/>
      <c r="AG381" s="6"/>
      <c r="AH381" s="6"/>
    </row>
    <row r="382" spans="1:34" ht="12.75" customHeight="1" x14ac:dyDescent="0.3">
      <c r="A382" s="2"/>
      <c r="B382" s="2"/>
      <c r="C382" s="3"/>
      <c r="D382" s="3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4"/>
      <c r="AA382" s="4"/>
      <c r="AB382" s="4"/>
      <c r="AC382" s="4"/>
      <c r="AD382" s="5"/>
      <c r="AE382" s="6"/>
      <c r="AF382" s="6"/>
      <c r="AG382" s="6"/>
      <c r="AH382" s="6"/>
    </row>
    <row r="383" spans="1:34" ht="12.75" customHeight="1" x14ac:dyDescent="0.3">
      <c r="A383" s="2"/>
      <c r="B383" s="2"/>
      <c r="C383" s="3"/>
      <c r="D383" s="3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4"/>
      <c r="AA383" s="4"/>
      <c r="AB383" s="4"/>
      <c r="AC383" s="4"/>
      <c r="AD383" s="5"/>
      <c r="AE383" s="6"/>
      <c r="AF383" s="6"/>
      <c r="AG383" s="6"/>
      <c r="AH383" s="6"/>
    </row>
    <row r="384" spans="1:34" ht="12.75" customHeight="1" x14ac:dyDescent="0.3">
      <c r="A384" s="2"/>
      <c r="B384" s="2"/>
      <c r="C384" s="3"/>
      <c r="D384" s="3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4"/>
      <c r="AA384" s="4"/>
      <c r="AB384" s="4"/>
      <c r="AC384" s="4"/>
      <c r="AD384" s="5"/>
      <c r="AE384" s="6"/>
      <c r="AF384" s="6"/>
      <c r="AG384" s="6"/>
      <c r="AH384" s="6"/>
    </row>
    <row r="385" spans="1:34" ht="12.75" customHeight="1" x14ac:dyDescent="0.3">
      <c r="A385" s="2"/>
      <c r="B385" s="2"/>
      <c r="C385" s="3"/>
      <c r="D385" s="3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4"/>
      <c r="AA385" s="4"/>
      <c r="AB385" s="4"/>
      <c r="AC385" s="4"/>
      <c r="AD385" s="5"/>
      <c r="AE385" s="6"/>
      <c r="AF385" s="6"/>
      <c r="AG385" s="6"/>
      <c r="AH385" s="6"/>
    </row>
    <row r="386" spans="1:34" ht="12.75" customHeight="1" x14ac:dyDescent="0.3">
      <c r="A386" s="2"/>
      <c r="B386" s="2"/>
      <c r="C386" s="3"/>
      <c r="D386" s="3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4"/>
      <c r="AA386" s="4"/>
      <c r="AB386" s="4"/>
      <c r="AC386" s="4"/>
      <c r="AD386" s="5"/>
      <c r="AE386" s="6"/>
      <c r="AF386" s="6"/>
      <c r="AG386" s="6"/>
      <c r="AH386" s="6"/>
    </row>
    <row r="387" spans="1:34" ht="12.75" customHeight="1" x14ac:dyDescent="0.3">
      <c r="A387" s="2"/>
      <c r="B387" s="2"/>
      <c r="C387" s="3"/>
      <c r="D387" s="3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4"/>
      <c r="AA387" s="4"/>
      <c r="AB387" s="4"/>
      <c r="AC387" s="4"/>
      <c r="AD387" s="5"/>
      <c r="AE387" s="6"/>
      <c r="AF387" s="6"/>
      <c r="AG387" s="6"/>
      <c r="AH387" s="6"/>
    </row>
    <row r="388" spans="1:34" ht="12.75" customHeight="1" x14ac:dyDescent="0.3">
      <c r="A388" s="2"/>
      <c r="B388" s="2"/>
      <c r="C388" s="3"/>
      <c r="D388" s="3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4"/>
      <c r="AA388" s="4"/>
      <c r="AB388" s="4"/>
      <c r="AC388" s="4"/>
      <c r="AD388" s="5"/>
      <c r="AE388" s="6"/>
      <c r="AF388" s="6"/>
      <c r="AG388" s="6"/>
      <c r="AH388" s="6"/>
    </row>
    <row r="389" spans="1:34" ht="12.75" customHeight="1" x14ac:dyDescent="0.3">
      <c r="A389" s="2"/>
      <c r="B389" s="2"/>
      <c r="C389" s="3"/>
      <c r="D389" s="3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4"/>
      <c r="AA389" s="4"/>
      <c r="AB389" s="4"/>
      <c r="AC389" s="4"/>
      <c r="AD389" s="5"/>
      <c r="AE389" s="6"/>
      <c r="AF389" s="6"/>
      <c r="AG389" s="6"/>
      <c r="AH389" s="6"/>
    </row>
    <row r="390" spans="1:34" ht="12.75" customHeight="1" x14ac:dyDescent="0.3">
      <c r="A390" s="2"/>
      <c r="B390" s="2"/>
      <c r="C390" s="3"/>
      <c r="D390" s="3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4"/>
      <c r="AA390" s="4"/>
      <c r="AB390" s="4"/>
      <c r="AC390" s="4"/>
      <c r="AD390" s="5"/>
      <c r="AE390" s="6"/>
      <c r="AF390" s="6"/>
      <c r="AG390" s="6"/>
      <c r="AH390" s="6"/>
    </row>
    <row r="391" spans="1:34" ht="12.75" customHeight="1" x14ac:dyDescent="0.3">
      <c r="A391" s="2"/>
      <c r="B391" s="2"/>
      <c r="C391" s="3"/>
      <c r="D391" s="3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4"/>
      <c r="AA391" s="4"/>
      <c r="AB391" s="4"/>
      <c r="AC391" s="4"/>
      <c r="AD391" s="5"/>
      <c r="AE391" s="6"/>
      <c r="AF391" s="6"/>
      <c r="AG391" s="6"/>
      <c r="AH391" s="6"/>
    </row>
    <row r="392" spans="1:34" ht="12.75" customHeight="1" x14ac:dyDescent="0.3">
      <c r="A392" s="2"/>
      <c r="B392" s="2"/>
      <c r="C392" s="3"/>
      <c r="D392" s="3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4"/>
      <c r="AA392" s="4"/>
      <c r="AB392" s="4"/>
      <c r="AC392" s="4"/>
      <c r="AD392" s="5"/>
      <c r="AE392" s="6"/>
      <c r="AF392" s="6"/>
      <c r="AG392" s="6"/>
      <c r="AH392" s="6"/>
    </row>
    <row r="393" spans="1:34" ht="12.75" customHeight="1" x14ac:dyDescent="0.3">
      <c r="A393" s="2"/>
      <c r="B393" s="2"/>
      <c r="C393" s="3"/>
      <c r="D393" s="3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4"/>
      <c r="AA393" s="4"/>
      <c r="AB393" s="4"/>
      <c r="AC393" s="4"/>
      <c r="AD393" s="5"/>
      <c r="AE393" s="6"/>
      <c r="AF393" s="6"/>
      <c r="AG393" s="6"/>
      <c r="AH393" s="6"/>
    </row>
    <row r="394" spans="1:34" ht="12.75" customHeight="1" x14ac:dyDescent="0.3">
      <c r="A394" s="2"/>
      <c r="B394" s="2"/>
      <c r="C394" s="3"/>
      <c r="D394" s="3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4"/>
      <c r="AA394" s="4"/>
      <c r="AB394" s="4"/>
      <c r="AC394" s="4"/>
      <c r="AD394" s="5"/>
      <c r="AE394" s="6"/>
      <c r="AF394" s="6"/>
      <c r="AG394" s="6"/>
      <c r="AH394" s="6"/>
    </row>
    <row r="395" spans="1:34" ht="12.75" customHeight="1" x14ac:dyDescent="0.3">
      <c r="A395" s="2"/>
      <c r="B395" s="2"/>
      <c r="C395" s="3"/>
      <c r="D395" s="3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4"/>
      <c r="AA395" s="4"/>
      <c r="AB395" s="4"/>
      <c r="AC395" s="4"/>
      <c r="AD395" s="5"/>
      <c r="AE395" s="6"/>
      <c r="AF395" s="6"/>
      <c r="AG395" s="6"/>
      <c r="AH395" s="6"/>
    </row>
    <row r="396" spans="1:34" ht="12.75" customHeight="1" x14ac:dyDescent="0.3">
      <c r="A396" s="2"/>
      <c r="B396" s="2"/>
      <c r="C396" s="3"/>
      <c r="D396" s="3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4"/>
      <c r="AA396" s="4"/>
      <c r="AB396" s="4"/>
      <c r="AC396" s="4"/>
      <c r="AD396" s="5"/>
      <c r="AE396" s="6"/>
      <c r="AF396" s="6"/>
      <c r="AG396" s="6"/>
      <c r="AH396" s="6"/>
    </row>
    <row r="397" spans="1:34" ht="12.75" customHeight="1" x14ac:dyDescent="0.3">
      <c r="A397" s="2"/>
      <c r="B397" s="2"/>
      <c r="C397" s="3"/>
      <c r="D397" s="3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4"/>
      <c r="AA397" s="4"/>
      <c r="AB397" s="4"/>
      <c r="AC397" s="4"/>
      <c r="AD397" s="5"/>
      <c r="AE397" s="6"/>
      <c r="AF397" s="6"/>
      <c r="AG397" s="6"/>
      <c r="AH397" s="6"/>
    </row>
    <row r="398" spans="1:34" ht="12.75" customHeight="1" x14ac:dyDescent="0.3">
      <c r="A398" s="2"/>
      <c r="B398" s="2"/>
      <c r="C398" s="3"/>
      <c r="D398" s="3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4"/>
      <c r="AA398" s="4"/>
      <c r="AB398" s="4"/>
      <c r="AC398" s="4"/>
      <c r="AD398" s="5"/>
      <c r="AE398" s="6"/>
      <c r="AF398" s="6"/>
      <c r="AG398" s="6"/>
      <c r="AH398" s="6"/>
    </row>
    <row r="399" spans="1:34" ht="12.75" customHeight="1" x14ac:dyDescent="0.3">
      <c r="A399" s="2"/>
      <c r="B399" s="2"/>
      <c r="C399" s="3"/>
      <c r="D399" s="3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4"/>
      <c r="AA399" s="4"/>
      <c r="AB399" s="4"/>
      <c r="AC399" s="4"/>
      <c r="AD399" s="5"/>
      <c r="AE399" s="6"/>
      <c r="AF399" s="6"/>
      <c r="AG399" s="6"/>
      <c r="AH399" s="6"/>
    </row>
    <row r="400" spans="1:34" ht="12.75" customHeight="1" x14ac:dyDescent="0.3">
      <c r="A400" s="2"/>
      <c r="B400" s="2"/>
      <c r="C400" s="3"/>
      <c r="D400" s="3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4"/>
      <c r="AA400" s="4"/>
      <c r="AB400" s="4"/>
      <c r="AC400" s="4"/>
      <c r="AD400" s="5"/>
      <c r="AE400" s="6"/>
      <c r="AF400" s="6"/>
      <c r="AG400" s="6"/>
      <c r="AH400" s="6"/>
    </row>
    <row r="401" spans="1:34" ht="12.75" customHeight="1" x14ac:dyDescent="0.3">
      <c r="A401" s="2"/>
      <c r="B401" s="2"/>
      <c r="C401" s="3"/>
      <c r="D401" s="3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4"/>
      <c r="AA401" s="4"/>
      <c r="AB401" s="4"/>
      <c r="AC401" s="4"/>
      <c r="AD401" s="5"/>
      <c r="AE401" s="6"/>
      <c r="AF401" s="6"/>
      <c r="AG401" s="6"/>
      <c r="AH401" s="6"/>
    </row>
    <row r="402" spans="1:34" ht="12.75" customHeight="1" x14ac:dyDescent="0.3">
      <c r="A402" s="2"/>
      <c r="B402" s="2"/>
      <c r="C402" s="3"/>
      <c r="D402" s="3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4"/>
      <c r="AA402" s="4"/>
      <c r="AB402" s="4"/>
      <c r="AC402" s="4"/>
      <c r="AD402" s="5"/>
      <c r="AE402" s="6"/>
      <c r="AF402" s="6"/>
      <c r="AG402" s="6"/>
      <c r="AH402" s="6"/>
    </row>
    <row r="403" spans="1:34" ht="12.75" customHeight="1" x14ac:dyDescent="0.3">
      <c r="A403" s="2"/>
      <c r="B403" s="2"/>
      <c r="C403" s="3"/>
      <c r="D403" s="3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4"/>
      <c r="AA403" s="4"/>
      <c r="AB403" s="4"/>
      <c r="AC403" s="4"/>
      <c r="AD403" s="5"/>
      <c r="AE403" s="6"/>
      <c r="AF403" s="6"/>
      <c r="AG403" s="6"/>
      <c r="AH403" s="6"/>
    </row>
    <row r="404" spans="1:34" ht="12.75" customHeight="1" x14ac:dyDescent="0.3">
      <c r="A404" s="2"/>
      <c r="B404" s="2"/>
      <c r="C404" s="3"/>
      <c r="D404" s="3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4"/>
      <c r="AA404" s="4"/>
      <c r="AB404" s="4"/>
      <c r="AC404" s="4"/>
      <c r="AD404" s="5"/>
      <c r="AE404" s="6"/>
      <c r="AF404" s="6"/>
      <c r="AG404" s="6"/>
      <c r="AH404" s="6"/>
    </row>
    <row r="405" spans="1:34" ht="12.75" customHeight="1" x14ac:dyDescent="0.3">
      <c r="A405" s="2"/>
      <c r="B405" s="2"/>
      <c r="C405" s="3"/>
      <c r="D405" s="3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4"/>
      <c r="AA405" s="4"/>
      <c r="AB405" s="4"/>
      <c r="AC405" s="4"/>
      <c r="AD405" s="5"/>
      <c r="AE405" s="6"/>
      <c r="AF405" s="6"/>
      <c r="AG405" s="6"/>
      <c r="AH405" s="6"/>
    </row>
    <row r="406" spans="1:34" ht="12.75" customHeight="1" x14ac:dyDescent="0.3">
      <c r="A406" s="2"/>
      <c r="B406" s="2"/>
      <c r="C406" s="3"/>
      <c r="D406" s="3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4"/>
      <c r="AA406" s="4"/>
      <c r="AB406" s="4"/>
      <c r="AC406" s="4"/>
      <c r="AD406" s="5"/>
      <c r="AE406" s="6"/>
      <c r="AF406" s="6"/>
      <c r="AG406" s="6"/>
      <c r="AH406" s="6"/>
    </row>
    <row r="407" spans="1:34" ht="12.75" customHeight="1" x14ac:dyDescent="0.3">
      <c r="A407" s="2"/>
      <c r="B407" s="2"/>
      <c r="C407" s="3"/>
      <c r="D407" s="3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4"/>
      <c r="AA407" s="4"/>
      <c r="AB407" s="4"/>
      <c r="AC407" s="4"/>
      <c r="AD407" s="5"/>
      <c r="AE407" s="6"/>
      <c r="AF407" s="6"/>
      <c r="AG407" s="6"/>
      <c r="AH407" s="6"/>
    </row>
    <row r="408" spans="1:34" ht="12.75" customHeight="1" x14ac:dyDescent="0.3">
      <c r="A408" s="2"/>
      <c r="B408" s="2"/>
      <c r="C408" s="3"/>
      <c r="D408" s="3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4"/>
      <c r="AA408" s="4"/>
      <c r="AB408" s="4"/>
      <c r="AC408" s="4"/>
      <c r="AD408" s="5"/>
      <c r="AE408" s="6"/>
      <c r="AF408" s="6"/>
      <c r="AG408" s="6"/>
      <c r="AH408" s="6"/>
    </row>
    <row r="409" spans="1:34" ht="12.75" customHeight="1" x14ac:dyDescent="0.3">
      <c r="A409" s="2"/>
      <c r="B409" s="2"/>
      <c r="C409" s="3"/>
      <c r="D409" s="3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4"/>
      <c r="AA409" s="4"/>
      <c r="AB409" s="4"/>
      <c r="AC409" s="4"/>
      <c r="AD409" s="5"/>
      <c r="AE409" s="6"/>
      <c r="AF409" s="6"/>
      <c r="AG409" s="6"/>
      <c r="AH409" s="6"/>
    </row>
    <row r="410" spans="1:34" ht="12.75" customHeight="1" x14ac:dyDescent="0.3">
      <c r="A410" s="2"/>
      <c r="B410" s="2"/>
      <c r="C410" s="3"/>
      <c r="D410" s="3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4"/>
      <c r="AA410" s="4"/>
      <c r="AB410" s="4"/>
      <c r="AC410" s="4"/>
      <c r="AD410" s="5"/>
      <c r="AE410" s="6"/>
      <c r="AF410" s="6"/>
      <c r="AG410" s="6"/>
      <c r="AH410" s="6"/>
    </row>
    <row r="411" spans="1:34" ht="12.75" customHeight="1" x14ac:dyDescent="0.3">
      <c r="A411" s="2"/>
      <c r="B411" s="2"/>
      <c r="C411" s="3"/>
      <c r="D411" s="3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4"/>
      <c r="AA411" s="4"/>
      <c r="AB411" s="4"/>
      <c r="AC411" s="4"/>
      <c r="AD411" s="5"/>
      <c r="AE411" s="6"/>
      <c r="AF411" s="6"/>
      <c r="AG411" s="6"/>
      <c r="AH411" s="6"/>
    </row>
    <row r="412" spans="1:34" ht="12.75" customHeight="1" x14ac:dyDescent="0.3">
      <c r="A412" s="2"/>
      <c r="B412" s="2"/>
      <c r="C412" s="3"/>
      <c r="D412" s="3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4"/>
      <c r="AA412" s="4"/>
      <c r="AB412" s="4"/>
      <c r="AC412" s="4"/>
      <c r="AD412" s="5"/>
      <c r="AE412" s="6"/>
      <c r="AF412" s="6"/>
      <c r="AG412" s="6"/>
      <c r="AH412" s="6"/>
    </row>
    <row r="413" spans="1:34" ht="12.75" customHeight="1" x14ac:dyDescent="0.3">
      <c r="A413" s="2"/>
      <c r="B413" s="2"/>
      <c r="C413" s="3"/>
      <c r="D413" s="3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4"/>
      <c r="AA413" s="4"/>
      <c r="AB413" s="4"/>
      <c r="AC413" s="4"/>
      <c r="AD413" s="5"/>
      <c r="AE413" s="6"/>
      <c r="AF413" s="6"/>
      <c r="AG413" s="6"/>
      <c r="AH413" s="6"/>
    </row>
    <row r="414" spans="1:34" ht="12.75" customHeight="1" x14ac:dyDescent="0.3">
      <c r="A414" s="2"/>
      <c r="B414" s="2"/>
      <c r="C414" s="3"/>
      <c r="D414" s="3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4"/>
      <c r="AA414" s="4"/>
      <c r="AB414" s="4"/>
      <c r="AC414" s="4"/>
      <c r="AD414" s="5"/>
      <c r="AE414" s="6"/>
      <c r="AF414" s="6"/>
      <c r="AG414" s="6"/>
      <c r="AH414" s="6"/>
    </row>
    <row r="415" spans="1:34" ht="12.75" customHeight="1" x14ac:dyDescent="0.3">
      <c r="A415" s="2"/>
      <c r="B415" s="2"/>
      <c r="C415" s="3"/>
      <c r="D415" s="3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4"/>
      <c r="AA415" s="4"/>
      <c r="AB415" s="4"/>
      <c r="AC415" s="4"/>
      <c r="AD415" s="5"/>
      <c r="AE415" s="6"/>
      <c r="AF415" s="6"/>
      <c r="AG415" s="6"/>
      <c r="AH415" s="6"/>
    </row>
    <row r="416" spans="1:34" ht="12.75" customHeight="1" x14ac:dyDescent="0.3">
      <c r="A416" s="2"/>
      <c r="B416" s="2"/>
      <c r="C416" s="3"/>
      <c r="D416" s="3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4"/>
      <c r="AA416" s="4"/>
      <c r="AB416" s="4"/>
      <c r="AC416" s="4"/>
      <c r="AD416" s="5"/>
      <c r="AE416" s="6"/>
      <c r="AF416" s="6"/>
      <c r="AG416" s="6"/>
      <c r="AH416" s="6"/>
    </row>
    <row r="417" spans="1:34" ht="12.75" customHeight="1" x14ac:dyDescent="0.3">
      <c r="A417" s="2"/>
      <c r="B417" s="2"/>
      <c r="C417" s="3"/>
      <c r="D417" s="3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4"/>
      <c r="AA417" s="4"/>
      <c r="AB417" s="4"/>
      <c r="AC417" s="4"/>
      <c r="AD417" s="5"/>
      <c r="AE417" s="6"/>
      <c r="AF417" s="6"/>
      <c r="AG417" s="6"/>
      <c r="AH417" s="6"/>
    </row>
    <row r="418" spans="1:34" ht="12.75" customHeight="1" x14ac:dyDescent="0.3">
      <c r="A418" s="2"/>
      <c r="B418" s="2"/>
      <c r="C418" s="3"/>
      <c r="D418" s="3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4"/>
      <c r="AA418" s="4"/>
      <c r="AB418" s="4"/>
      <c r="AC418" s="4"/>
      <c r="AD418" s="5"/>
      <c r="AE418" s="6"/>
      <c r="AF418" s="6"/>
      <c r="AG418" s="6"/>
      <c r="AH418" s="6"/>
    </row>
    <row r="419" spans="1:34" ht="12.75" customHeight="1" x14ac:dyDescent="0.3">
      <c r="A419" s="2"/>
      <c r="B419" s="2"/>
      <c r="C419" s="3"/>
      <c r="D419" s="3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4"/>
      <c r="AA419" s="4"/>
      <c r="AB419" s="4"/>
      <c r="AC419" s="4"/>
      <c r="AD419" s="5"/>
      <c r="AE419" s="6"/>
      <c r="AF419" s="6"/>
      <c r="AG419" s="6"/>
      <c r="AH419" s="6"/>
    </row>
    <row r="420" spans="1:34" ht="12.75" customHeight="1" x14ac:dyDescent="0.3">
      <c r="A420" s="2"/>
      <c r="B420" s="2"/>
      <c r="C420" s="3"/>
      <c r="D420" s="3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4"/>
      <c r="AA420" s="4"/>
      <c r="AB420" s="4"/>
      <c r="AC420" s="4"/>
      <c r="AD420" s="5"/>
      <c r="AE420" s="6"/>
      <c r="AF420" s="6"/>
      <c r="AG420" s="6"/>
      <c r="AH420" s="6"/>
    </row>
    <row r="421" spans="1:34" ht="12.75" customHeight="1" x14ac:dyDescent="0.3">
      <c r="A421" s="2"/>
      <c r="B421" s="2"/>
      <c r="C421" s="3"/>
      <c r="D421" s="3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4"/>
      <c r="AA421" s="4"/>
      <c r="AB421" s="4"/>
      <c r="AC421" s="4"/>
      <c r="AD421" s="5"/>
      <c r="AE421" s="6"/>
      <c r="AF421" s="6"/>
      <c r="AG421" s="6"/>
      <c r="AH421" s="6"/>
    </row>
    <row r="422" spans="1:34" ht="12.75" customHeight="1" x14ac:dyDescent="0.3">
      <c r="A422" s="2"/>
      <c r="B422" s="2"/>
      <c r="C422" s="3"/>
      <c r="D422" s="3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4"/>
      <c r="AA422" s="4"/>
      <c r="AB422" s="4"/>
      <c r="AC422" s="4"/>
      <c r="AD422" s="5"/>
      <c r="AE422" s="6"/>
      <c r="AF422" s="6"/>
      <c r="AG422" s="6"/>
      <c r="AH422" s="6"/>
    </row>
    <row r="423" spans="1:34" ht="12.75" customHeight="1" x14ac:dyDescent="0.3">
      <c r="A423" s="2"/>
      <c r="B423" s="2"/>
      <c r="C423" s="3"/>
      <c r="D423" s="3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4"/>
      <c r="AA423" s="4"/>
      <c r="AB423" s="4"/>
      <c r="AC423" s="4"/>
      <c r="AD423" s="5"/>
      <c r="AE423" s="6"/>
      <c r="AF423" s="6"/>
      <c r="AG423" s="6"/>
      <c r="AH423" s="6"/>
    </row>
    <row r="424" spans="1:34" ht="12.75" customHeight="1" x14ac:dyDescent="0.3">
      <c r="A424" s="2"/>
      <c r="B424" s="2"/>
      <c r="C424" s="3"/>
      <c r="D424" s="3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4"/>
      <c r="AA424" s="4"/>
      <c r="AB424" s="4"/>
      <c r="AC424" s="4"/>
      <c r="AD424" s="5"/>
      <c r="AE424" s="6"/>
      <c r="AF424" s="6"/>
      <c r="AG424" s="6"/>
      <c r="AH424" s="6"/>
    </row>
    <row r="425" spans="1:34" ht="12.75" customHeight="1" x14ac:dyDescent="0.3">
      <c r="A425" s="2"/>
      <c r="B425" s="2"/>
      <c r="C425" s="3"/>
      <c r="D425" s="3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4"/>
      <c r="AA425" s="4"/>
      <c r="AB425" s="4"/>
      <c r="AC425" s="4"/>
      <c r="AD425" s="5"/>
      <c r="AE425" s="6"/>
      <c r="AF425" s="6"/>
      <c r="AG425" s="6"/>
      <c r="AH425" s="6"/>
    </row>
    <row r="426" spans="1:34" ht="12.75" customHeight="1" x14ac:dyDescent="0.3">
      <c r="A426" s="2"/>
      <c r="B426" s="2"/>
      <c r="C426" s="3"/>
      <c r="D426" s="3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4"/>
      <c r="AA426" s="4"/>
      <c r="AB426" s="4"/>
      <c r="AC426" s="4"/>
      <c r="AD426" s="5"/>
      <c r="AE426" s="6"/>
      <c r="AF426" s="6"/>
      <c r="AG426" s="6"/>
      <c r="AH426" s="6"/>
    </row>
    <row r="427" spans="1:34" ht="12.75" customHeight="1" x14ac:dyDescent="0.3">
      <c r="A427" s="2"/>
      <c r="B427" s="2"/>
      <c r="C427" s="3"/>
      <c r="D427" s="3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4"/>
      <c r="AA427" s="4"/>
      <c r="AB427" s="4"/>
      <c r="AC427" s="4"/>
      <c r="AD427" s="5"/>
      <c r="AE427" s="6"/>
      <c r="AF427" s="6"/>
      <c r="AG427" s="6"/>
      <c r="AH427" s="6"/>
    </row>
    <row r="428" spans="1:34" ht="12.75" customHeight="1" x14ac:dyDescent="0.3">
      <c r="A428" s="2"/>
      <c r="B428" s="2"/>
      <c r="C428" s="3"/>
      <c r="D428" s="3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4"/>
      <c r="AA428" s="4"/>
      <c r="AB428" s="4"/>
      <c r="AC428" s="4"/>
      <c r="AD428" s="5"/>
      <c r="AE428" s="6"/>
      <c r="AF428" s="6"/>
      <c r="AG428" s="6"/>
      <c r="AH428" s="6"/>
    </row>
    <row r="429" spans="1:34" ht="12.75" customHeight="1" x14ac:dyDescent="0.3">
      <c r="A429" s="2"/>
      <c r="B429" s="2"/>
      <c r="C429" s="3"/>
      <c r="D429" s="3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4"/>
      <c r="AA429" s="4"/>
      <c r="AB429" s="4"/>
      <c r="AC429" s="4"/>
      <c r="AD429" s="5"/>
      <c r="AE429" s="6"/>
      <c r="AF429" s="6"/>
      <c r="AG429" s="6"/>
      <c r="AH429" s="6"/>
    </row>
    <row r="430" spans="1:34" ht="12.75" customHeight="1" x14ac:dyDescent="0.3">
      <c r="A430" s="2"/>
      <c r="B430" s="2"/>
      <c r="C430" s="3"/>
      <c r="D430" s="3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4"/>
      <c r="AA430" s="4"/>
      <c r="AB430" s="4"/>
      <c r="AC430" s="4"/>
      <c r="AD430" s="5"/>
      <c r="AE430" s="6"/>
      <c r="AF430" s="6"/>
      <c r="AG430" s="6"/>
      <c r="AH430" s="6"/>
    </row>
    <row r="431" spans="1:34" ht="12.75" customHeight="1" x14ac:dyDescent="0.3">
      <c r="A431" s="2"/>
      <c r="B431" s="2"/>
      <c r="C431" s="3"/>
      <c r="D431" s="3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4"/>
      <c r="AA431" s="4"/>
      <c r="AB431" s="4"/>
      <c r="AC431" s="4"/>
      <c r="AD431" s="5"/>
      <c r="AE431" s="6"/>
      <c r="AF431" s="6"/>
      <c r="AG431" s="6"/>
      <c r="AH431" s="6"/>
    </row>
    <row r="432" spans="1:34" ht="12.75" customHeight="1" x14ac:dyDescent="0.3">
      <c r="A432" s="2"/>
      <c r="B432" s="2"/>
      <c r="C432" s="3"/>
      <c r="D432" s="3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4"/>
      <c r="AA432" s="4"/>
      <c r="AB432" s="4"/>
      <c r="AC432" s="4"/>
      <c r="AD432" s="5"/>
      <c r="AE432" s="6"/>
      <c r="AF432" s="6"/>
      <c r="AG432" s="6"/>
      <c r="AH432" s="6"/>
    </row>
    <row r="433" spans="1:34" ht="12.75" customHeight="1" x14ac:dyDescent="0.3">
      <c r="A433" s="2"/>
      <c r="B433" s="2"/>
      <c r="C433" s="3"/>
      <c r="D433" s="3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4"/>
      <c r="AA433" s="4"/>
      <c r="AB433" s="4"/>
      <c r="AC433" s="4"/>
      <c r="AD433" s="5"/>
      <c r="AE433" s="6"/>
      <c r="AF433" s="6"/>
      <c r="AG433" s="6"/>
      <c r="AH433" s="6"/>
    </row>
    <row r="434" spans="1:34" ht="12.75" customHeight="1" x14ac:dyDescent="0.3">
      <c r="A434" s="2"/>
      <c r="B434" s="2"/>
      <c r="C434" s="3"/>
      <c r="D434" s="3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4"/>
      <c r="AA434" s="4"/>
      <c r="AB434" s="4"/>
      <c r="AC434" s="4"/>
      <c r="AD434" s="5"/>
      <c r="AE434" s="6"/>
      <c r="AF434" s="6"/>
      <c r="AG434" s="6"/>
      <c r="AH434" s="6"/>
    </row>
    <row r="435" spans="1:34" ht="12.75" customHeight="1" x14ac:dyDescent="0.3">
      <c r="A435" s="2"/>
      <c r="B435" s="2"/>
      <c r="C435" s="3"/>
      <c r="D435" s="3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4"/>
      <c r="AA435" s="4"/>
      <c r="AB435" s="4"/>
      <c r="AC435" s="4"/>
      <c r="AD435" s="5"/>
      <c r="AE435" s="6"/>
      <c r="AF435" s="6"/>
      <c r="AG435" s="6"/>
      <c r="AH435" s="6"/>
    </row>
    <row r="436" spans="1:34" ht="12.75" customHeight="1" x14ac:dyDescent="0.3">
      <c r="A436" s="2"/>
      <c r="B436" s="2"/>
      <c r="C436" s="3"/>
      <c r="D436" s="3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4"/>
      <c r="AA436" s="4"/>
      <c r="AB436" s="4"/>
      <c r="AC436" s="4"/>
      <c r="AD436" s="5"/>
      <c r="AE436" s="6"/>
      <c r="AF436" s="6"/>
      <c r="AG436" s="6"/>
      <c r="AH436" s="6"/>
    </row>
    <row r="437" spans="1:34" ht="12.75" customHeight="1" x14ac:dyDescent="0.3">
      <c r="A437" s="2"/>
      <c r="B437" s="2"/>
      <c r="C437" s="3"/>
      <c r="D437" s="3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4"/>
      <c r="AA437" s="4"/>
      <c r="AB437" s="4"/>
      <c r="AC437" s="4"/>
      <c r="AD437" s="5"/>
      <c r="AE437" s="6"/>
      <c r="AF437" s="6"/>
      <c r="AG437" s="6"/>
      <c r="AH437" s="6"/>
    </row>
    <row r="438" spans="1:34" ht="12.75" customHeight="1" x14ac:dyDescent="0.3">
      <c r="A438" s="2"/>
      <c r="B438" s="2"/>
      <c r="C438" s="3"/>
      <c r="D438" s="3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4"/>
      <c r="AA438" s="4"/>
      <c r="AB438" s="4"/>
      <c r="AC438" s="4"/>
      <c r="AD438" s="5"/>
      <c r="AE438" s="6"/>
      <c r="AF438" s="6"/>
      <c r="AG438" s="6"/>
      <c r="AH438" s="6"/>
    </row>
    <row r="439" spans="1:34" ht="12.75" customHeight="1" x14ac:dyDescent="0.3">
      <c r="A439" s="2"/>
      <c r="B439" s="2"/>
      <c r="C439" s="3"/>
      <c r="D439" s="3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4"/>
      <c r="AA439" s="4"/>
      <c r="AB439" s="4"/>
      <c r="AC439" s="4"/>
      <c r="AD439" s="5"/>
      <c r="AE439" s="6"/>
      <c r="AF439" s="6"/>
      <c r="AG439" s="6"/>
      <c r="AH439" s="6"/>
    </row>
    <row r="440" spans="1:34" ht="12.75" customHeight="1" x14ac:dyDescent="0.3">
      <c r="A440" s="2"/>
      <c r="B440" s="2"/>
      <c r="C440" s="3"/>
      <c r="D440" s="3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4"/>
      <c r="AA440" s="4"/>
      <c r="AB440" s="4"/>
      <c r="AC440" s="4"/>
      <c r="AD440" s="5"/>
      <c r="AE440" s="6"/>
      <c r="AF440" s="6"/>
      <c r="AG440" s="6"/>
      <c r="AH440" s="6"/>
    </row>
    <row r="441" spans="1:34" ht="12.75" customHeight="1" x14ac:dyDescent="0.3">
      <c r="A441" s="2"/>
      <c r="B441" s="2"/>
      <c r="C441" s="3"/>
      <c r="D441" s="3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4"/>
      <c r="AA441" s="4"/>
      <c r="AB441" s="4"/>
      <c r="AC441" s="4"/>
      <c r="AD441" s="5"/>
      <c r="AE441" s="6"/>
      <c r="AF441" s="6"/>
      <c r="AG441" s="6"/>
      <c r="AH441" s="6"/>
    </row>
    <row r="442" spans="1:34" ht="12.75" customHeight="1" x14ac:dyDescent="0.3">
      <c r="A442" s="2"/>
      <c r="B442" s="2"/>
      <c r="C442" s="3"/>
      <c r="D442" s="3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4"/>
      <c r="AA442" s="4"/>
      <c r="AB442" s="4"/>
      <c r="AC442" s="4"/>
      <c r="AD442" s="5"/>
      <c r="AE442" s="6"/>
      <c r="AF442" s="6"/>
      <c r="AG442" s="6"/>
      <c r="AH442" s="6"/>
    </row>
    <row r="443" spans="1:34" ht="12.75" customHeight="1" x14ac:dyDescent="0.3">
      <c r="A443" s="2"/>
      <c r="B443" s="2"/>
      <c r="C443" s="3"/>
      <c r="D443" s="3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4"/>
      <c r="AA443" s="4"/>
      <c r="AB443" s="4"/>
      <c r="AC443" s="4"/>
      <c r="AD443" s="5"/>
      <c r="AE443" s="6"/>
      <c r="AF443" s="6"/>
      <c r="AG443" s="6"/>
      <c r="AH443" s="6"/>
    </row>
    <row r="444" spans="1:34" ht="12.75" customHeight="1" x14ac:dyDescent="0.3">
      <c r="A444" s="2"/>
      <c r="B444" s="2"/>
      <c r="C444" s="3"/>
      <c r="D444" s="3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4"/>
      <c r="AA444" s="4"/>
      <c r="AB444" s="4"/>
      <c r="AC444" s="4"/>
      <c r="AD444" s="5"/>
      <c r="AE444" s="6"/>
      <c r="AF444" s="6"/>
      <c r="AG444" s="6"/>
      <c r="AH444" s="6"/>
    </row>
    <row r="445" spans="1:34" ht="12.75" customHeight="1" x14ac:dyDescent="0.3">
      <c r="A445" s="2"/>
      <c r="B445" s="2"/>
      <c r="C445" s="3"/>
      <c r="D445" s="3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4"/>
      <c r="AA445" s="4"/>
      <c r="AB445" s="4"/>
      <c r="AC445" s="4"/>
      <c r="AD445" s="5"/>
      <c r="AE445" s="6"/>
      <c r="AF445" s="6"/>
      <c r="AG445" s="6"/>
      <c r="AH445" s="6"/>
    </row>
    <row r="446" spans="1:34" ht="12.75" customHeight="1" x14ac:dyDescent="0.3">
      <c r="A446" s="2"/>
      <c r="B446" s="2"/>
      <c r="C446" s="3"/>
      <c r="D446" s="3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4"/>
      <c r="AA446" s="4"/>
      <c r="AB446" s="4"/>
      <c r="AC446" s="4"/>
      <c r="AD446" s="5"/>
      <c r="AE446" s="6"/>
      <c r="AF446" s="6"/>
      <c r="AG446" s="6"/>
      <c r="AH446" s="6"/>
    </row>
    <row r="447" spans="1:34" ht="12.75" customHeight="1" x14ac:dyDescent="0.3">
      <c r="A447" s="2"/>
      <c r="B447" s="2"/>
      <c r="C447" s="3"/>
      <c r="D447" s="3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4"/>
      <c r="AA447" s="4"/>
      <c r="AB447" s="4"/>
      <c r="AC447" s="4"/>
      <c r="AD447" s="5"/>
      <c r="AE447" s="6"/>
      <c r="AF447" s="6"/>
      <c r="AG447" s="6"/>
      <c r="AH447" s="6"/>
    </row>
    <row r="448" spans="1:34" ht="12.75" customHeight="1" x14ac:dyDescent="0.3">
      <c r="A448" s="2"/>
      <c r="B448" s="2"/>
      <c r="C448" s="3"/>
      <c r="D448" s="3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4"/>
      <c r="AA448" s="4"/>
      <c r="AB448" s="4"/>
      <c r="AC448" s="4"/>
      <c r="AD448" s="5"/>
      <c r="AE448" s="6"/>
      <c r="AF448" s="6"/>
      <c r="AG448" s="6"/>
      <c r="AH448" s="6"/>
    </row>
    <row r="449" spans="1:34" ht="12.75" customHeight="1" x14ac:dyDescent="0.3">
      <c r="A449" s="2"/>
      <c r="B449" s="2"/>
      <c r="C449" s="3"/>
      <c r="D449" s="3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4"/>
      <c r="AA449" s="4"/>
      <c r="AB449" s="4"/>
      <c r="AC449" s="4"/>
      <c r="AD449" s="5"/>
      <c r="AE449" s="6"/>
      <c r="AF449" s="6"/>
      <c r="AG449" s="6"/>
      <c r="AH449" s="6"/>
    </row>
    <row r="450" spans="1:34" ht="12.75" customHeight="1" x14ac:dyDescent="0.3">
      <c r="A450" s="2"/>
      <c r="B450" s="2"/>
      <c r="C450" s="3"/>
      <c r="D450" s="3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4"/>
      <c r="AA450" s="4"/>
      <c r="AB450" s="4"/>
      <c r="AC450" s="4"/>
      <c r="AD450" s="5"/>
      <c r="AE450" s="6"/>
      <c r="AF450" s="6"/>
      <c r="AG450" s="6"/>
      <c r="AH450" s="6"/>
    </row>
    <row r="451" spans="1:34" ht="12.75" customHeight="1" x14ac:dyDescent="0.3">
      <c r="A451" s="2"/>
      <c r="B451" s="2"/>
      <c r="C451" s="3"/>
      <c r="D451" s="3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4"/>
      <c r="AA451" s="4"/>
      <c r="AB451" s="4"/>
      <c r="AC451" s="4"/>
      <c r="AD451" s="5"/>
      <c r="AE451" s="6"/>
      <c r="AF451" s="6"/>
      <c r="AG451" s="6"/>
      <c r="AH451" s="6"/>
    </row>
    <row r="452" spans="1:34" ht="12.75" customHeight="1" x14ac:dyDescent="0.3">
      <c r="A452" s="2"/>
      <c r="B452" s="2"/>
      <c r="C452" s="3"/>
      <c r="D452" s="3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4"/>
      <c r="AA452" s="4"/>
      <c r="AB452" s="4"/>
      <c r="AC452" s="4"/>
      <c r="AD452" s="5"/>
      <c r="AE452" s="6"/>
      <c r="AF452" s="6"/>
      <c r="AG452" s="6"/>
      <c r="AH452" s="6"/>
    </row>
    <row r="453" spans="1:34" ht="12.75" customHeight="1" x14ac:dyDescent="0.3">
      <c r="A453" s="2"/>
      <c r="B453" s="2"/>
      <c r="C453" s="3"/>
      <c r="D453" s="3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4"/>
      <c r="AA453" s="4"/>
      <c r="AB453" s="4"/>
      <c r="AC453" s="4"/>
      <c r="AD453" s="5"/>
      <c r="AE453" s="6"/>
      <c r="AF453" s="6"/>
      <c r="AG453" s="6"/>
      <c r="AH453" s="6"/>
    </row>
    <row r="454" spans="1:34" ht="12.75" customHeight="1" x14ac:dyDescent="0.3">
      <c r="A454" s="2"/>
      <c r="B454" s="2"/>
      <c r="C454" s="3"/>
      <c r="D454" s="3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4"/>
      <c r="AA454" s="4"/>
      <c r="AB454" s="4"/>
      <c r="AC454" s="4"/>
      <c r="AD454" s="5"/>
      <c r="AE454" s="6"/>
      <c r="AF454" s="6"/>
      <c r="AG454" s="6"/>
      <c r="AH454" s="6"/>
    </row>
    <row r="455" spans="1:34" ht="12.75" customHeight="1" x14ac:dyDescent="0.3">
      <c r="A455" s="2"/>
      <c r="B455" s="2"/>
      <c r="C455" s="3"/>
      <c r="D455" s="3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4"/>
      <c r="AA455" s="4"/>
      <c r="AB455" s="4"/>
      <c r="AC455" s="4"/>
      <c r="AD455" s="5"/>
      <c r="AE455" s="6"/>
      <c r="AF455" s="6"/>
      <c r="AG455" s="6"/>
      <c r="AH455" s="6"/>
    </row>
    <row r="456" spans="1:34" ht="12.75" customHeight="1" x14ac:dyDescent="0.3">
      <c r="A456" s="2"/>
      <c r="B456" s="2"/>
      <c r="C456" s="3"/>
      <c r="D456" s="3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4"/>
      <c r="AA456" s="4"/>
      <c r="AB456" s="4"/>
      <c r="AC456" s="4"/>
      <c r="AD456" s="5"/>
      <c r="AE456" s="6"/>
      <c r="AF456" s="6"/>
      <c r="AG456" s="6"/>
      <c r="AH456" s="6"/>
    </row>
    <row r="457" spans="1:34" ht="12.75" customHeight="1" x14ac:dyDescent="0.3">
      <c r="A457" s="2"/>
      <c r="B457" s="2"/>
      <c r="C457" s="3"/>
      <c r="D457" s="3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4"/>
      <c r="AA457" s="4"/>
      <c r="AB457" s="4"/>
      <c r="AC457" s="4"/>
      <c r="AD457" s="5"/>
      <c r="AE457" s="6"/>
      <c r="AF457" s="6"/>
      <c r="AG457" s="6"/>
      <c r="AH457" s="6"/>
    </row>
    <row r="458" spans="1:34" ht="12.75" customHeight="1" x14ac:dyDescent="0.3">
      <c r="A458" s="2"/>
      <c r="B458" s="2"/>
      <c r="C458" s="3"/>
      <c r="D458" s="3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4"/>
      <c r="AA458" s="4"/>
      <c r="AB458" s="4"/>
      <c r="AC458" s="4"/>
      <c r="AD458" s="5"/>
      <c r="AE458" s="6"/>
      <c r="AF458" s="6"/>
      <c r="AG458" s="6"/>
      <c r="AH458" s="6"/>
    </row>
    <row r="459" spans="1:34" ht="12.75" customHeight="1" x14ac:dyDescent="0.3">
      <c r="A459" s="2"/>
      <c r="B459" s="2"/>
      <c r="C459" s="3"/>
      <c r="D459" s="3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4"/>
      <c r="AA459" s="4"/>
      <c r="AB459" s="4"/>
      <c r="AC459" s="4"/>
      <c r="AD459" s="5"/>
      <c r="AE459" s="6"/>
      <c r="AF459" s="6"/>
      <c r="AG459" s="6"/>
      <c r="AH459" s="6"/>
    </row>
    <row r="460" spans="1:34" ht="12.75" customHeight="1" x14ac:dyDescent="0.3">
      <c r="A460" s="2"/>
      <c r="B460" s="2"/>
      <c r="C460" s="3"/>
      <c r="D460" s="3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4"/>
      <c r="AA460" s="4"/>
      <c r="AB460" s="4"/>
      <c r="AC460" s="4"/>
      <c r="AD460" s="5"/>
      <c r="AE460" s="6"/>
      <c r="AF460" s="6"/>
      <c r="AG460" s="6"/>
      <c r="AH460" s="6"/>
    </row>
    <row r="461" spans="1:34" ht="12.75" customHeight="1" x14ac:dyDescent="0.3">
      <c r="A461" s="2"/>
      <c r="B461" s="2"/>
      <c r="C461" s="3"/>
      <c r="D461" s="3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4"/>
      <c r="AA461" s="4"/>
      <c r="AB461" s="4"/>
      <c r="AC461" s="4"/>
      <c r="AD461" s="5"/>
      <c r="AE461" s="6"/>
      <c r="AF461" s="6"/>
      <c r="AG461" s="6"/>
      <c r="AH461" s="6"/>
    </row>
    <row r="462" spans="1:34" ht="12.75" customHeight="1" x14ac:dyDescent="0.3">
      <c r="A462" s="2"/>
      <c r="B462" s="2"/>
      <c r="C462" s="3"/>
      <c r="D462" s="3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4"/>
      <c r="AA462" s="4"/>
      <c r="AB462" s="4"/>
      <c r="AC462" s="4"/>
      <c r="AD462" s="5"/>
      <c r="AE462" s="6"/>
      <c r="AF462" s="6"/>
      <c r="AG462" s="6"/>
      <c r="AH462" s="6"/>
    </row>
    <row r="463" spans="1:34" ht="12.75" customHeight="1" x14ac:dyDescent="0.3">
      <c r="A463" s="2"/>
      <c r="B463" s="2"/>
      <c r="C463" s="3"/>
      <c r="D463" s="3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4"/>
      <c r="AA463" s="4"/>
      <c r="AB463" s="4"/>
      <c r="AC463" s="4"/>
      <c r="AD463" s="5"/>
      <c r="AE463" s="6"/>
      <c r="AF463" s="6"/>
      <c r="AG463" s="6"/>
      <c r="AH463" s="6"/>
    </row>
    <row r="464" spans="1:34" ht="12.75" customHeight="1" x14ac:dyDescent="0.3">
      <c r="A464" s="2"/>
      <c r="B464" s="2"/>
      <c r="C464" s="3"/>
      <c r="D464" s="3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4"/>
      <c r="AA464" s="4"/>
      <c r="AB464" s="4"/>
      <c r="AC464" s="4"/>
      <c r="AD464" s="5"/>
      <c r="AE464" s="6"/>
      <c r="AF464" s="6"/>
      <c r="AG464" s="6"/>
      <c r="AH464" s="6"/>
    </row>
    <row r="465" spans="1:34" ht="12.75" customHeight="1" x14ac:dyDescent="0.3">
      <c r="A465" s="2"/>
      <c r="B465" s="2"/>
      <c r="C465" s="3"/>
      <c r="D465" s="3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4"/>
      <c r="AA465" s="4"/>
      <c r="AB465" s="4"/>
      <c r="AC465" s="4"/>
      <c r="AD465" s="5"/>
      <c r="AE465" s="6"/>
      <c r="AF465" s="6"/>
      <c r="AG465" s="6"/>
      <c r="AH465" s="6"/>
    </row>
    <row r="466" spans="1:34" ht="12.75" customHeight="1" x14ac:dyDescent="0.3">
      <c r="A466" s="2"/>
      <c r="B466" s="2"/>
      <c r="C466" s="3"/>
      <c r="D466" s="3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4"/>
      <c r="AA466" s="4"/>
      <c r="AB466" s="4"/>
      <c r="AC466" s="4"/>
      <c r="AD466" s="5"/>
      <c r="AE466" s="6"/>
      <c r="AF466" s="6"/>
      <c r="AG466" s="6"/>
      <c r="AH466" s="6"/>
    </row>
    <row r="467" spans="1:34" ht="12.75" customHeight="1" x14ac:dyDescent="0.3">
      <c r="A467" s="2"/>
      <c r="B467" s="2"/>
      <c r="C467" s="3"/>
      <c r="D467" s="3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4"/>
      <c r="AA467" s="4"/>
      <c r="AB467" s="4"/>
      <c r="AC467" s="4"/>
      <c r="AD467" s="5"/>
      <c r="AE467" s="6"/>
      <c r="AF467" s="6"/>
      <c r="AG467" s="6"/>
      <c r="AH467" s="6"/>
    </row>
    <row r="468" spans="1:34" ht="12.75" customHeight="1" x14ac:dyDescent="0.3">
      <c r="A468" s="2"/>
      <c r="B468" s="2"/>
      <c r="C468" s="3"/>
      <c r="D468" s="3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4"/>
      <c r="AA468" s="4"/>
      <c r="AB468" s="4"/>
      <c r="AC468" s="4"/>
      <c r="AD468" s="5"/>
      <c r="AE468" s="6"/>
      <c r="AF468" s="6"/>
      <c r="AG468" s="6"/>
      <c r="AH468" s="6"/>
    </row>
    <row r="469" spans="1:34" ht="12.75" customHeight="1" x14ac:dyDescent="0.3">
      <c r="A469" s="2"/>
      <c r="B469" s="2"/>
      <c r="C469" s="3"/>
      <c r="D469" s="3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4"/>
      <c r="AA469" s="4"/>
      <c r="AB469" s="4"/>
      <c r="AC469" s="4"/>
      <c r="AD469" s="5"/>
      <c r="AE469" s="6"/>
      <c r="AF469" s="6"/>
      <c r="AG469" s="6"/>
      <c r="AH469" s="6"/>
    </row>
    <row r="470" spans="1:34" ht="12.75" customHeight="1" x14ac:dyDescent="0.3">
      <c r="A470" s="2"/>
      <c r="B470" s="2"/>
      <c r="C470" s="3"/>
      <c r="D470" s="3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4"/>
      <c r="AA470" s="4"/>
      <c r="AB470" s="4"/>
      <c r="AC470" s="4"/>
      <c r="AD470" s="5"/>
      <c r="AE470" s="6"/>
      <c r="AF470" s="6"/>
      <c r="AG470" s="6"/>
      <c r="AH470" s="6"/>
    </row>
    <row r="471" spans="1:34" ht="12.75" customHeight="1" x14ac:dyDescent="0.3">
      <c r="A471" s="2"/>
      <c r="B471" s="2"/>
      <c r="C471" s="3"/>
      <c r="D471" s="3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4"/>
      <c r="AA471" s="4"/>
      <c r="AB471" s="4"/>
      <c r="AC471" s="4"/>
      <c r="AD471" s="5"/>
      <c r="AE471" s="6"/>
      <c r="AF471" s="6"/>
      <c r="AG471" s="6"/>
      <c r="AH471" s="6"/>
    </row>
    <row r="472" spans="1:34" ht="12.75" customHeight="1" x14ac:dyDescent="0.3">
      <c r="A472" s="2"/>
      <c r="B472" s="2"/>
      <c r="C472" s="3"/>
      <c r="D472" s="3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4"/>
      <c r="AA472" s="4"/>
      <c r="AB472" s="4"/>
      <c r="AC472" s="4"/>
      <c r="AD472" s="5"/>
      <c r="AE472" s="6"/>
      <c r="AF472" s="6"/>
      <c r="AG472" s="6"/>
      <c r="AH472" s="6"/>
    </row>
    <row r="473" spans="1:34" ht="12.75" customHeight="1" x14ac:dyDescent="0.3">
      <c r="A473" s="2"/>
      <c r="B473" s="2"/>
      <c r="C473" s="3"/>
      <c r="D473" s="3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4"/>
      <c r="AA473" s="4"/>
      <c r="AB473" s="4"/>
      <c r="AC473" s="4"/>
      <c r="AD473" s="5"/>
      <c r="AE473" s="6"/>
      <c r="AF473" s="6"/>
      <c r="AG473" s="6"/>
      <c r="AH473" s="6"/>
    </row>
    <row r="474" spans="1:34" ht="12.75" customHeight="1" x14ac:dyDescent="0.3">
      <c r="A474" s="2"/>
      <c r="B474" s="2"/>
      <c r="C474" s="3"/>
      <c r="D474" s="3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4"/>
      <c r="AA474" s="4"/>
      <c r="AB474" s="4"/>
      <c r="AC474" s="4"/>
      <c r="AD474" s="5"/>
      <c r="AE474" s="6"/>
      <c r="AF474" s="6"/>
      <c r="AG474" s="6"/>
      <c r="AH474" s="6"/>
    </row>
    <row r="475" spans="1:34" ht="12.75" customHeight="1" x14ac:dyDescent="0.3">
      <c r="A475" s="2"/>
      <c r="B475" s="2"/>
      <c r="C475" s="3"/>
      <c r="D475" s="3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4"/>
      <c r="AA475" s="4"/>
      <c r="AB475" s="4"/>
      <c r="AC475" s="4"/>
      <c r="AD475" s="5"/>
      <c r="AE475" s="6"/>
      <c r="AF475" s="6"/>
      <c r="AG475" s="6"/>
      <c r="AH475" s="6"/>
    </row>
    <row r="476" spans="1:34" ht="12.75" customHeight="1" x14ac:dyDescent="0.3">
      <c r="A476" s="2"/>
      <c r="B476" s="2"/>
      <c r="C476" s="3"/>
      <c r="D476" s="3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4"/>
      <c r="AA476" s="4"/>
      <c r="AB476" s="4"/>
      <c r="AC476" s="4"/>
      <c r="AD476" s="5"/>
      <c r="AE476" s="6"/>
      <c r="AF476" s="6"/>
      <c r="AG476" s="6"/>
      <c r="AH476" s="6"/>
    </row>
    <row r="477" spans="1:34" ht="12.75" customHeight="1" x14ac:dyDescent="0.3">
      <c r="A477" s="2"/>
      <c r="B477" s="2"/>
      <c r="C477" s="3"/>
      <c r="D477" s="3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4"/>
      <c r="AA477" s="4"/>
      <c r="AB477" s="4"/>
      <c r="AC477" s="4"/>
      <c r="AD477" s="5"/>
      <c r="AE477" s="6"/>
      <c r="AF477" s="6"/>
      <c r="AG477" s="6"/>
      <c r="AH477" s="6"/>
    </row>
    <row r="478" spans="1:34" ht="12.75" customHeight="1" x14ac:dyDescent="0.3">
      <c r="A478" s="2"/>
      <c r="B478" s="2"/>
      <c r="C478" s="3"/>
      <c r="D478" s="3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4"/>
      <c r="AA478" s="4"/>
      <c r="AB478" s="4"/>
      <c r="AC478" s="4"/>
      <c r="AD478" s="5"/>
      <c r="AE478" s="6"/>
      <c r="AF478" s="6"/>
      <c r="AG478" s="6"/>
      <c r="AH478" s="6"/>
    </row>
    <row r="479" spans="1:34" ht="12.75" customHeight="1" x14ac:dyDescent="0.3">
      <c r="A479" s="2"/>
      <c r="B479" s="2"/>
      <c r="C479" s="3"/>
      <c r="D479" s="3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4"/>
      <c r="AA479" s="4"/>
      <c r="AB479" s="4"/>
      <c r="AC479" s="4"/>
      <c r="AD479" s="5"/>
      <c r="AE479" s="6"/>
      <c r="AF479" s="6"/>
      <c r="AG479" s="6"/>
      <c r="AH479" s="6"/>
    </row>
    <row r="480" spans="1:34" ht="12.75" customHeight="1" x14ac:dyDescent="0.3">
      <c r="A480" s="2"/>
      <c r="B480" s="2"/>
      <c r="C480" s="3"/>
      <c r="D480" s="3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4"/>
      <c r="AA480" s="4"/>
      <c r="AB480" s="4"/>
      <c r="AC480" s="4"/>
      <c r="AD480" s="5"/>
      <c r="AE480" s="6"/>
      <c r="AF480" s="6"/>
      <c r="AG480" s="6"/>
      <c r="AH480" s="6"/>
    </row>
    <row r="481" spans="1:34" ht="12.75" customHeight="1" x14ac:dyDescent="0.3">
      <c r="A481" s="2"/>
      <c r="B481" s="2"/>
      <c r="C481" s="3"/>
      <c r="D481" s="3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4"/>
      <c r="AA481" s="4"/>
      <c r="AB481" s="4"/>
      <c r="AC481" s="4"/>
      <c r="AD481" s="5"/>
      <c r="AE481" s="6"/>
      <c r="AF481" s="6"/>
      <c r="AG481" s="6"/>
      <c r="AH481" s="6"/>
    </row>
    <row r="482" spans="1:34" ht="12.75" customHeight="1" x14ac:dyDescent="0.3">
      <c r="A482" s="2"/>
      <c r="B482" s="2"/>
      <c r="C482" s="3"/>
      <c r="D482" s="3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4"/>
      <c r="AA482" s="4"/>
      <c r="AB482" s="4"/>
      <c r="AC482" s="4"/>
      <c r="AD482" s="5"/>
      <c r="AE482" s="6"/>
      <c r="AF482" s="6"/>
      <c r="AG482" s="6"/>
      <c r="AH482" s="6"/>
    </row>
    <row r="483" spans="1:34" ht="12.75" customHeight="1" x14ac:dyDescent="0.3">
      <c r="A483" s="2"/>
      <c r="B483" s="2"/>
      <c r="C483" s="3"/>
      <c r="D483" s="3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4"/>
      <c r="AA483" s="4"/>
      <c r="AB483" s="4"/>
      <c r="AC483" s="4"/>
      <c r="AD483" s="5"/>
      <c r="AE483" s="6"/>
      <c r="AF483" s="6"/>
      <c r="AG483" s="6"/>
      <c r="AH483" s="6"/>
    </row>
    <row r="484" spans="1:34" ht="12.75" customHeight="1" x14ac:dyDescent="0.3">
      <c r="A484" s="2"/>
      <c r="B484" s="2"/>
      <c r="C484" s="3"/>
      <c r="D484" s="3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4"/>
      <c r="AA484" s="4"/>
      <c r="AB484" s="4"/>
      <c r="AC484" s="4"/>
      <c r="AD484" s="5"/>
      <c r="AE484" s="6"/>
      <c r="AF484" s="6"/>
      <c r="AG484" s="6"/>
      <c r="AH484" s="6"/>
    </row>
    <row r="485" spans="1:34" ht="12.75" customHeight="1" x14ac:dyDescent="0.3">
      <c r="A485" s="2"/>
      <c r="B485" s="2"/>
      <c r="C485" s="3"/>
      <c r="D485" s="3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4"/>
      <c r="AA485" s="4"/>
      <c r="AB485" s="4"/>
      <c r="AC485" s="4"/>
      <c r="AD485" s="5"/>
      <c r="AE485" s="6"/>
      <c r="AF485" s="6"/>
      <c r="AG485" s="6"/>
      <c r="AH485" s="6"/>
    </row>
    <row r="486" spans="1:34" ht="12.75" customHeight="1" x14ac:dyDescent="0.3">
      <c r="A486" s="2"/>
      <c r="B486" s="2"/>
      <c r="C486" s="3"/>
      <c r="D486" s="3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4"/>
      <c r="AA486" s="4"/>
      <c r="AB486" s="4"/>
      <c r="AC486" s="4"/>
      <c r="AD486" s="5"/>
      <c r="AE486" s="6"/>
      <c r="AF486" s="6"/>
      <c r="AG486" s="6"/>
      <c r="AH486" s="6"/>
    </row>
    <row r="487" spans="1:34" ht="12.75" customHeight="1" x14ac:dyDescent="0.3">
      <c r="A487" s="2"/>
      <c r="B487" s="2"/>
      <c r="C487" s="3"/>
      <c r="D487" s="3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4"/>
      <c r="AA487" s="4"/>
      <c r="AB487" s="4"/>
      <c r="AC487" s="4"/>
      <c r="AD487" s="5"/>
      <c r="AE487" s="6"/>
      <c r="AF487" s="6"/>
      <c r="AG487" s="6"/>
      <c r="AH487" s="6"/>
    </row>
    <row r="488" spans="1:34" ht="12.75" customHeight="1" x14ac:dyDescent="0.3">
      <c r="A488" s="2"/>
      <c r="B488" s="2"/>
      <c r="C488" s="3"/>
      <c r="D488" s="3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4"/>
      <c r="AA488" s="4"/>
      <c r="AB488" s="4"/>
      <c r="AC488" s="4"/>
      <c r="AD488" s="5"/>
      <c r="AE488" s="6"/>
      <c r="AF488" s="6"/>
      <c r="AG488" s="6"/>
      <c r="AH488" s="6"/>
    </row>
    <row r="489" spans="1:34" ht="12.75" customHeight="1" x14ac:dyDescent="0.3">
      <c r="A489" s="2"/>
      <c r="B489" s="2"/>
      <c r="C489" s="3"/>
      <c r="D489" s="3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4"/>
      <c r="AA489" s="4"/>
      <c r="AB489" s="4"/>
      <c r="AC489" s="4"/>
      <c r="AD489" s="5"/>
      <c r="AE489" s="6"/>
      <c r="AF489" s="6"/>
      <c r="AG489" s="6"/>
      <c r="AH489" s="6"/>
    </row>
    <row r="490" spans="1:34" ht="12.75" customHeight="1" x14ac:dyDescent="0.3">
      <c r="A490" s="2"/>
      <c r="B490" s="2"/>
      <c r="C490" s="3"/>
      <c r="D490" s="3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4"/>
      <c r="AA490" s="4"/>
      <c r="AB490" s="4"/>
      <c r="AC490" s="4"/>
      <c r="AD490" s="5"/>
      <c r="AE490" s="6"/>
      <c r="AF490" s="6"/>
      <c r="AG490" s="6"/>
      <c r="AH490" s="6"/>
    </row>
    <row r="491" spans="1:34" ht="12.75" customHeight="1" x14ac:dyDescent="0.3">
      <c r="A491" s="2"/>
      <c r="B491" s="2"/>
      <c r="C491" s="3"/>
      <c r="D491" s="3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4"/>
      <c r="AA491" s="4"/>
      <c r="AB491" s="4"/>
      <c r="AC491" s="4"/>
      <c r="AD491" s="5"/>
      <c r="AE491" s="6"/>
      <c r="AF491" s="6"/>
      <c r="AG491" s="6"/>
      <c r="AH491" s="6"/>
    </row>
    <row r="492" spans="1:34" ht="12.75" customHeight="1" x14ac:dyDescent="0.3">
      <c r="A492" s="2"/>
      <c r="B492" s="2"/>
      <c r="C492" s="3"/>
      <c r="D492" s="3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4"/>
      <c r="AA492" s="4"/>
      <c r="AB492" s="4"/>
      <c r="AC492" s="4"/>
      <c r="AD492" s="5"/>
      <c r="AE492" s="6"/>
      <c r="AF492" s="6"/>
      <c r="AG492" s="6"/>
      <c r="AH492" s="6"/>
    </row>
    <row r="493" spans="1:34" ht="12.75" customHeight="1" x14ac:dyDescent="0.3">
      <c r="A493" s="2"/>
      <c r="B493" s="2"/>
      <c r="C493" s="3"/>
      <c r="D493" s="3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4"/>
      <c r="AA493" s="4"/>
      <c r="AB493" s="4"/>
      <c r="AC493" s="4"/>
      <c r="AD493" s="5"/>
      <c r="AE493" s="6"/>
      <c r="AF493" s="6"/>
      <c r="AG493" s="6"/>
      <c r="AH493" s="6"/>
    </row>
    <row r="494" spans="1:34" ht="12.75" customHeight="1" x14ac:dyDescent="0.3">
      <c r="A494" s="2"/>
      <c r="B494" s="2"/>
      <c r="C494" s="3"/>
      <c r="D494" s="3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4"/>
      <c r="AA494" s="4"/>
      <c r="AB494" s="4"/>
      <c r="AC494" s="4"/>
      <c r="AD494" s="5"/>
      <c r="AE494" s="6"/>
      <c r="AF494" s="6"/>
      <c r="AG494" s="6"/>
      <c r="AH494" s="6"/>
    </row>
    <row r="495" spans="1:34" ht="12.75" customHeight="1" x14ac:dyDescent="0.3">
      <c r="A495" s="2"/>
      <c r="B495" s="2"/>
      <c r="C495" s="3"/>
      <c r="D495" s="3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4"/>
      <c r="AA495" s="4"/>
      <c r="AB495" s="4"/>
      <c r="AC495" s="4"/>
      <c r="AD495" s="5"/>
      <c r="AE495" s="6"/>
      <c r="AF495" s="6"/>
      <c r="AG495" s="6"/>
      <c r="AH495" s="6"/>
    </row>
    <row r="496" spans="1:34" ht="12.75" customHeight="1" x14ac:dyDescent="0.3">
      <c r="A496" s="2"/>
      <c r="B496" s="2"/>
      <c r="C496" s="3"/>
      <c r="D496" s="3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4"/>
      <c r="AA496" s="4"/>
      <c r="AB496" s="4"/>
      <c r="AC496" s="4"/>
      <c r="AD496" s="5"/>
      <c r="AE496" s="6"/>
      <c r="AF496" s="6"/>
      <c r="AG496" s="6"/>
      <c r="AH496" s="6"/>
    </row>
    <row r="497" spans="1:34" ht="12.75" customHeight="1" x14ac:dyDescent="0.3">
      <c r="A497" s="2"/>
      <c r="B497" s="2"/>
      <c r="C497" s="3"/>
      <c r="D497" s="3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4"/>
      <c r="AA497" s="4"/>
      <c r="AB497" s="4"/>
      <c r="AC497" s="4"/>
      <c r="AD497" s="5"/>
      <c r="AE497" s="6"/>
      <c r="AF497" s="6"/>
      <c r="AG497" s="6"/>
      <c r="AH497" s="6"/>
    </row>
    <row r="498" spans="1:34" ht="12.75" customHeight="1" x14ac:dyDescent="0.3">
      <c r="A498" s="2"/>
      <c r="B498" s="2"/>
      <c r="C498" s="3"/>
      <c r="D498" s="3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4"/>
      <c r="AA498" s="4"/>
      <c r="AB498" s="4"/>
      <c r="AC498" s="4"/>
      <c r="AD498" s="5"/>
      <c r="AE498" s="6"/>
      <c r="AF498" s="6"/>
      <c r="AG498" s="6"/>
      <c r="AH498" s="6"/>
    </row>
    <row r="499" spans="1:34" ht="12.75" customHeight="1" x14ac:dyDescent="0.3">
      <c r="A499" s="2"/>
      <c r="B499" s="2"/>
      <c r="C499" s="3"/>
      <c r="D499" s="3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4"/>
      <c r="AA499" s="4"/>
      <c r="AB499" s="4"/>
      <c r="AC499" s="4"/>
      <c r="AD499" s="5"/>
      <c r="AE499" s="6"/>
      <c r="AF499" s="6"/>
      <c r="AG499" s="6"/>
      <c r="AH499" s="6"/>
    </row>
    <row r="500" spans="1:34" ht="12.75" customHeight="1" x14ac:dyDescent="0.3">
      <c r="A500" s="2"/>
      <c r="B500" s="2"/>
      <c r="C500" s="3"/>
      <c r="D500" s="3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4"/>
      <c r="AA500" s="4"/>
      <c r="AB500" s="4"/>
      <c r="AC500" s="4"/>
      <c r="AD500" s="5"/>
      <c r="AE500" s="6"/>
      <c r="AF500" s="6"/>
      <c r="AG500" s="6"/>
      <c r="AH500" s="6"/>
    </row>
    <row r="501" spans="1:34" ht="12.75" customHeight="1" x14ac:dyDescent="0.3">
      <c r="A501" s="2"/>
      <c r="B501" s="2"/>
      <c r="C501" s="3"/>
      <c r="D501" s="3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4"/>
      <c r="AA501" s="4"/>
      <c r="AB501" s="4"/>
      <c r="AC501" s="4"/>
      <c r="AD501" s="5"/>
      <c r="AE501" s="6"/>
      <c r="AF501" s="6"/>
      <c r="AG501" s="6"/>
      <c r="AH501" s="6"/>
    </row>
    <row r="502" spans="1:34" ht="12.75" customHeight="1" x14ac:dyDescent="0.3">
      <c r="A502" s="2"/>
      <c r="B502" s="2"/>
      <c r="C502" s="3"/>
      <c r="D502" s="3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4"/>
      <c r="AA502" s="4"/>
      <c r="AB502" s="4"/>
      <c r="AC502" s="4"/>
      <c r="AD502" s="5"/>
      <c r="AE502" s="6"/>
      <c r="AF502" s="6"/>
      <c r="AG502" s="6"/>
      <c r="AH502" s="6"/>
    </row>
    <row r="503" spans="1:34" ht="12.75" customHeight="1" x14ac:dyDescent="0.3">
      <c r="A503" s="2"/>
      <c r="B503" s="2"/>
      <c r="C503" s="3"/>
      <c r="D503" s="3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4"/>
      <c r="AA503" s="4"/>
      <c r="AB503" s="4"/>
      <c r="AC503" s="4"/>
      <c r="AD503" s="5"/>
      <c r="AE503" s="6"/>
      <c r="AF503" s="6"/>
      <c r="AG503" s="6"/>
      <c r="AH503" s="6"/>
    </row>
    <row r="504" spans="1:34" ht="12.75" customHeight="1" x14ac:dyDescent="0.3">
      <c r="A504" s="2"/>
      <c r="B504" s="2"/>
      <c r="C504" s="3"/>
      <c r="D504" s="3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4"/>
      <c r="AA504" s="4"/>
      <c r="AB504" s="4"/>
      <c r="AC504" s="4"/>
      <c r="AD504" s="5"/>
      <c r="AE504" s="6"/>
      <c r="AF504" s="6"/>
      <c r="AG504" s="6"/>
      <c r="AH504" s="6"/>
    </row>
    <row r="505" spans="1:34" ht="12.75" customHeight="1" x14ac:dyDescent="0.3">
      <c r="A505" s="2"/>
      <c r="B505" s="2"/>
      <c r="C505" s="3"/>
      <c r="D505" s="3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4"/>
      <c r="AA505" s="4"/>
      <c r="AB505" s="4"/>
      <c r="AC505" s="4"/>
      <c r="AD505" s="5"/>
      <c r="AE505" s="6"/>
      <c r="AF505" s="6"/>
      <c r="AG505" s="6"/>
      <c r="AH505" s="6"/>
    </row>
    <row r="506" spans="1:34" ht="12.75" customHeight="1" x14ac:dyDescent="0.3">
      <c r="A506" s="2"/>
      <c r="B506" s="2"/>
      <c r="C506" s="3"/>
      <c r="D506" s="3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4"/>
      <c r="AA506" s="4"/>
      <c r="AB506" s="4"/>
      <c r="AC506" s="4"/>
      <c r="AD506" s="5"/>
      <c r="AE506" s="6"/>
      <c r="AF506" s="6"/>
      <c r="AG506" s="6"/>
      <c r="AH506" s="6"/>
    </row>
    <row r="507" spans="1:34" ht="12.75" customHeight="1" x14ac:dyDescent="0.3">
      <c r="A507" s="2"/>
      <c r="B507" s="2"/>
      <c r="C507" s="3"/>
      <c r="D507" s="3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4"/>
      <c r="AA507" s="4"/>
      <c r="AB507" s="4"/>
      <c r="AC507" s="4"/>
      <c r="AD507" s="5"/>
      <c r="AE507" s="6"/>
      <c r="AF507" s="6"/>
      <c r="AG507" s="6"/>
      <c r="AH507" s="6"/>
    </row>
    <row r="508" spans="1:34" ht="12.75" customHeight="1" x14ac:dyDescent="0.3">
      <c r="A508" s="2"/>
      <c r="B508" s="2"/>
      <c r="C508" s="3"/>
      <c r="D508" s="3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4"/>
      <c r="AA508" s="4"/>
      <c r="AB508" s="4"/>
      <c r="AC508" s="4"/>
      <c r="AD508" s="5"/>
      <c r="AE508" s="6"/>
      <c r="AF508" s="6"/>
      <c r="AG508" s="6"/>
      <c r="AH508" s="6"/>
    </row>
    <row r="509" spans="1:34" ht="12.75" customHeight="1" x14ac:dyDescent="0.3">
      <c r="A509" s="2"/>
      <c r="B509" s="2"/>
      <c r="C509" s="3"/>
      <c r="D509" s="3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4"/>
      <c r="AA509" s="4"/>
      <c r="AB509" s="4"/>
      <c r="AC509" s="4"/>
      <c r="AD509" s="5"/>
      <c r="AE509" s="6"/>
      <c r="AF509" s="6"/>
      <c r="AG509" s="6"/>
      <c r="AH509" s="6"/>
    </row>
    <row r="510" spans="1:34" ht="12.75" customHeight="1" x14ac:dyDescent="0.3">
      <c r="A510" s="2"/>
      <c r="B510" s="2"/>
      <c r="C510" s="3"/>
      <c r="D510" s="3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4"/>
      <c r="AA510" s="4"/>
      <c r="AB510" s="4"/>
      <c r="AC510" s="4"/>
      <c r="AD510" s="5"/>
      <c r="AE510" s="6"/>
      <c r="AF510" s="6"/>
      <c r="AG510" s="6"/>
      <c r="AH510" s="6"/>
    </row>
    <row r="511" spans="1:34" ht="12.75" customHeight="1" x14ac:dyDescent="0.3">
      <c r="A511" s="2"/>
      <c r="B511" s="2"/>
      <c r="C511" s="3"/>
      <c r="D511" s="3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4"/>
      <c r="AA511" s="4"/>
      <c r="AB511" s="4"/>
      <c r="AC511" s="4"/>
      <c r="AD511" s="5"/>
      <c r="AE511" s="6"/>
      <c r="AF511" s="6"/>
      <c r="AG511" s="6"/>
      <c r="AH511" s="6"/>
    </row>
    <row r="512" spans="1:34" ht="12.75" customHeight="1" x14ac:dyDescent="0.3">
      <c r="A512" s="2"/>
      <c r="B512" s="2"/>
      <c r="C512" s="3"/>
      <c r="D512" s="3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4"/>
      <c r="AA512" s="4"/>
      <c r="AB512" s="4"/>
      <c r="AC512" s="4"/>
      <c r="AD512" s="5"/>
      <c r="AE512" s="6"/>
      <c r="AF512" s="6"/>
      <c r="AG512" s="6"/>
      <c r="AH512" s="6"/>
    </row>
    <row r="513" spans="1:34" ht="12.75" customHeight="1" x14ac:dyDescent="0.3">
      <c r="A513" s="2"/>
      <c r="B513" s="2"/>
      <c r="C513" s="3"/>
      <c r="D513" s="3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4"/>
      <c r="AA513" s="4"/>
      <c r="AB513" s="4"/>
      <c r="AC513" s="4"/>
      <c r="AD513" s="5"/>
      <c r="AE513" s="6"/>
      <c r="AF513" s="6"/>
      <c r="AG513" s="6"/>
      <c r="AH513" s="6"/>
    </row>
    <row r="514" spans="1:34" ht="12.75" customHeight="1" x14ac:dyDescent="0.3">
      <c r="A514" s="2"/>
      <c r="B514" s="2"/>
      <c r="C514" s="3"/>
      <c r="D514" s="3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4"/>
      <c r="AA514" s="4"/>
      <c r="AB514" s="4"/>
      <c r="AC514" s="4"/>
      <c r="AD514" s="5"/>
      <c r="AE514" s="6"/>
      <c r="AF514" s="6"/>
      <c r="AG514" s="6"/>
      <c r="AH514" s="6"/>
    </row>
    <row r="515" spans="1:34" ht="12.75" customHeight="1" x14ac:dyDescent="0.3">
      <c r="A515" s="2"/>
      <c r="B515" s="2"/>
      <c r="C515" s="3"/>
      <c r="D515" s="3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4"/>
      <c r="AA515" s="4"/>
      <c r="AB515" s="4"/>
      <c r="AC515" s="4"/>
      <c r="AD515" s="5"/>
      <c r="AE515" s="6"/>
      <c r="AF515" s="6"/>
      <c r="AG515" s="6"/>
      <c r="AH515" s="6"/>
    </row>
    <row r="516" spans="1:34" ht="12.75" customHeight="1" x14ac:dyDescent="0.3">
      <c r="A516" s="2"/>
      <c r="B516" s="2"/>
      <c r="C516" s="3"/>
      <c r="D516" s="3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4"/>
      <c r="AA516" s="4"/>
      <c r="AB516" s="4"/>
      <c r="AC516" s="4"/>
      <c r="AD516" s="5"/>
      <c r="AE516" s="6"/>
      <c r="AF516" s="6"/>
      <c r="AG516" s="6"/>
      <c r="AH516" s="6"/>
    </row>
    <row r="517" spans="1:34" ht="12.75" customHeight="1" x14ac:dyDescent="0.3">
      <c r="A517" s="2"/>
      <c r="B517" s="2"/>
      <c r="C517" s="3"/>
      <c r="D517" s="3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4"/>
      <c r="AA517" s="4"/>
      <c r="AB517" s="4"/>
      <c r="AC517" s="4"/>
      <c r="AD517" s="5"/>
      <c r="AE517" s="6"/>
      <c r="AF517" s="6"/>
      <c r="AG517" s="6"/>
      <c r="AH517" s="6"/>
    </row>
    <row r="518" spans="1:34" ht="12.75" customHeight="1" x14ac:dyDescent="0.3">
      <c r="A518" s="2"/>
      <c r="B518" s="2"/>
      <c r="C518" s="3"/>
      <c r="D518" s="3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4"/>
      <c r="AA518" s="4"/>
      <c r="AB518" s="4"/>
      <c r="AC518" s="4"/>
      <c r="AD518" s="5"/>
      <c r="AE518" s="6"/>
      <c r="AF518" s="6"/>
      <c r="AG518" s="6"/>
      <c r="AH518" s="6"/>
    </row>
    <row r="519" spans="1:34" ht="12.75" customHeight="1" x14ac:dyDescent="0.3">
      <c r="A519" s="2"/>
      <c r="B519" s="2"/>
      <c r="C519" s="3"/>
      <c r="D519" s="3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4"/>
      <c r="AA519" s="4"/>
      <c r="AB519" s="4"/>
      <c r="AC519" s="4"/>
      <c r="AD519" s="5"/>
      <c r="AE519" s="6"/>
      <c r="AF519" s="6"/>
      <c r="AG519" s="6"/>
      <c r="AH519" s="6"/>
    </row>
    <row r="520" spans="1:34" ht="12.75" customHeight="1" x14ac:dyDescent="0.3">
      <c r="A520" s="2"/>
      <c r="B520" s="2"/>
      <c r="C520" s="3"/>
      <c r="D520" s="3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4"/>
      <c r="AA520" s="4"/>
      <c r="AB520" s="4"/>
      <c r="AC520" s="4"/>
      <c r="AD520" s="5"/>
      <c r="AE520" s="6"/>
      <c r="AF520" s="6"/>
      <c r="AG520" s="6"/>
      <c r="AH520" s="6"/>
    </row>
    <row r="521" spans="1:34" ht="12.75" customHeight="1" x14ac:dyDescent="0.3">
      <c r="A521" s="2"/>
      <c r="B521" s="2"/>
      <c r="C521" s="3"/>
      <c r="D521" s="3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4"/>
      <c r="AA521" s="4"/>
      <c r="AB521" s="4"/>
      <c r="AC521" s="4"/>
      <c r="AD521" s="5"/>
      <c r="AE521" s="6"/>
      <c r="AF521" s="6"/>
      <c r="AG521" s="6"/>
      <c r="AH521" s="6"/>
    </row>
    <row r="522" spans="1:34" ht="12.75" customHeight="1" x14ac:dyDescent="0.3">
      <c r="A522" s="2"/>
      <c r="B522" s="2"/>
      <c r="C522" s="3"/>
      <c r="D522" s="3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4"/>
      <c r="AA522" s="4"/>
      <c r="AB522" s="4"/>
      <c r="AC522" s="4"/>
      <c r="AD522" s="5"/>
      <c r="AE522" s="6"/>
      <c r="AF522" s="6"/>
      <c r="AG522" s="6"/>
      <c r="AH522" s="6"/>
    </row>
    <row r="523" spans="1:34" ht="12.75" customHeight="1" x14ac:dyDescent="0.3">
      <c r="A523" s="2"/>
      <c r="B523" s="2"/>
      <c r="C523" s="3"/>
      <c r="D523" s="3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4"/>
      <c r="AA523" s="4"/>
      <c r="AB523" s="4"/>
      <c r="AC523" s="4"/>
      <c r="AD523" s="5"/>
      <c r="AE523" s="6"/>
      <c r="AF523" s="6"/>
      <c r="AG523" s="6"/>
      <c r="AH523" s="6"/>
    </row>
    <row r="524" spans="1:34" ht="12.75" customHeight="1" x14ac:dyDescent="0.3">
      <c r="A524" s="2"/>
      <c r="B524" s="2"/>
      <c r="C524" s="3"/>
      <c r="D524" s="3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4"/>
      <c r="AA524" s="4"/>
      <c r="AB524" s="4"/>
      <c r="AC524" s="4"/>
      <c r="AD524" s="5"/>
      <c r="AE524" s="6"/>
      <c r="AF524" s="6"/>
      <c r="AG524" s="6"/>
      <c r="AH524" s="6"/>
    </row>
    <row r="525" spans="1:34" ht="12.75" customHeight="1" x14ac:dyDescent="0.3">
      <c r="A525" s="2"/>
      <c r="B525" s="2"/>
      <c r="C525" s="3"/>
      <c r="D525" s="3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4"/>
      <c r="AA525" s="4"/>
      <c r="AB525" s="4"/>
      <c r="AC525" s="4"/>
      <c r="AD525" s="5"/>
      <c r="AE525" s="6"/>
      <c r="AF525" s="6"/>
      <c r="AG525" s="6"/>
      <c r="AH525" s="6"/>
    </row>
    <row r="526" spans="1:34" ht="12.75" customHeight="1" x14ac:dyDescent="0.3">
      <c r="A526" s="2"/>
      <c r="B526" s="2"/>
      <c r="C526" s="3"/>
      <c r="D526" s="3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4"/>
      <c r="AA526" s="4"/>
      <c r="AB526" s="4"/>
      <c r="AC526" s="4"/>
      <c r="AD526" s="5"/>
      <c r="AE526" s="6"/>
      <c r="AF526" s="6"/>
      <c r="AG526" s="6"/>
      <c r="AH526" s="6"/>
    </row>
    <row r="527" spans="1:34" ht="12.75" customHeight="1" x14ac:dyDescent="0.3">
      <c r="A527" s="2"/>
      <c r="B527" s="2"/>
      <c r="C527" s="3"/>
      <c r="D527" s="3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4"/>
      <c r="AA527" s="4"/>
      <c r="AB527" s="4"/>
      <c r="AC527" s="4"/>
      <c r="AD527" s="5"/>
      <c r="AE527" s="6"/>
      <c r="AF527" s="6"/>
      <c r="AG527" s="6"/>
      <c r="AH527" s="6"/>
    </row>
    <row r="528" spans="1:34" ht="12.75" customHeight="1" x14ac:dyDescent="0.3">
      <c r="A528" s="2"/>
      <c r="B528" s="2"/>
      <c r="C528" s="3"/>
      <c r="D528" s="3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4"/>
      <c r="AA528" s="4"/>
      <c r="AB528" s="4"/>
      <c r="AC528" s="4"/>
      <c r="AD528" s="5"/>
      <c r="AE528" s="6"/>
      <c r="AF528" s="6"/>
      <c r="AG528" s="6"/>
      <c r="AH528" s="6"/>
    </row>
    <row r="529" spans="1:34" ht="12.75" customHeight="1" x14ac:dyDescent="0.3">
      <c r="A529" s="2"/>
      <c r="B529" s="2"/>
      <c r="C529" s="3"/>
      <c r="D529" s="3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4"/>
      <c r="AA529" s="4"/>
      <c r="AB529" s="4"/>
      <c r="AC529" s="4"/>
      <c r="AD529" s="5"/>
      <c r="AE529" s="6"/>
      <c r="AF529" s="6"/>
      <c r="AG529" s="6"/>
      <c r="AH529" s="6"/>
    </row>
    <row r="530" spans="1:34" ht="12.75" customHeight="1" x14ac:dyDescent="0.3">
      <c r="A530" s="2"/>
      <c r="B530" s="2"/>
      <c r="C530" s="3"/>
      <c r="D530" s="3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4"/>
      <c r="AA530" s="4"/>
      <c r="AB530" s="4"/>
      <c r="AC530" s="4"/>
      <c r="AD530" s="5"/>
      <c r="AE530" s="6"/>
      <c r="AF530" s="6"/>
      <c r="AG530" s="6"/>
      <c r="AH530" s="6"/>
    </row>
    <row r="531" spans="1:34" ht="12.75" customHeight="1" x14ac:dyDescent="0.3">
      <c r="A531" s="2"/>
      <c r="B531" s="2"/>
      <c r="C531" s="3"/>
      <c r="D531" s="3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4"/>
      <c r="AA531" s="4"/>
      <c r="AB531" s="4"/>
      <c r="AC531" s="4"/>
      <c r="AD531" s="5"/>
      <c r="AE531" s="6"/>
      <c r="AF531" s="6"/>
      <c r="AG531" s="6"/>
      <c r="AH531" s="6"/>
    </row>
    <row r="532" spans="1:34" ht="12.75" customHeight="1" x14ac:dyDescent="0.3">
      <c r="A532" s="2"/>
      <c r="B532" s="2"/>
      <c r="C532" s="3"/>
      <c r="D532" s="3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4"/>
      <c r="AA532" s="4"/>
      <c r="AB532" s="4"/>
      <c r="AC532" s="4"/>
      <c r="AD532" s="5"/>
      <c r="AE532" s="6"/>
      <c r="AF532" s="6"/>
      <c r="AG532" s="6"/>
      <c r="AH532" s="6"/>
    </row>
    <row r="533" spans="1:34" ht="12.75" customHeight="1" x14ac:dyDescent="0.3">
      <c r="A533" s="2"/>
      <c r="B533" s="2"/>
      <c r="C533" s="3"/>
      <c r="D533" s="3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4"/>
      <c r="AA533" s="4"/>
      <c r="AB533" s="4"/>
      <c r="AC533" s="4"/>
      <c r="AD533" s="5"/>
      <c r="AE533" s="6"/>
      <c r="AF533" s="6"/>
      <c r="AG533" s="6"/>
      <c r="AH533" s="6"/>
    </row>
    <row r="534" spans="1:34" ht="12.75" customHeight="1" x14ac:dyDescent="0.3">
      <c r="A534" s="2"/>
      <c r="B534" s="2"/>
      <c r="C534" s="3"/>
      <c r="D534" s="3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4"/>
      <c r="AA534" s="4"/>
      <c r="AB534" s="4"/>
      <c r="AC534" s="4"/>
      <c r="AD534" s="5"/>
      <c r="AE534" s="6"/>
      <c r="AF534" s="6"/>
      <c r="AG534" s="6"/>
      <c r="AH534" s="6"/>
    </row>
    <row r="535" spans="1:34" ht="12.75" customHeight="1" x14ac:dyDescent="0.3">
      <c r="A535" s="2"/>
      <c r="B535" s="2"/>
      <c r="C535" s="3"/>
      <c r="D535" s="3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4"/>
      <c r="AA535" s="4"/>
      <c r="AB535" s="4"/>
      <c r="AC535" s="4"/>
      <c r="AD535" s="5"/>
      <c r="AE535" s="6"/>
      <c r="AF535" s="6"/>
      <c r="AG535" s="6"/>
      <c r="AH535" s="6"/>
    </row>
    <row r="536" spans="1:34" ht="12.75" customHeight="1" x14ac:dyDescent="0.3">
      <c r="A536" s="2"/>
      <c r="B536" s="2"/>
      <c r="C536" s="3"/>
      <c r="D536" s="3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4"/>
      <c r="AA536" s="4"/>
      <c r="AB536" s="4"/>
      <c r="AC536" s="4"/>
      <c r="AD536" s="5"/>
      <c r="AE536" s="6"/>
      <c r="AF536" s="6"/>
      <c r="AG536" s="6"/>
      <c r="AH536" s="6"/>
    </row>
    <row r="537" spans="1:34" ht="12.75" customHeight="1" x14ac:dyDescent="0.3">
      <c r="A537" s="2"/>
      <c r="B537" s="2"/>
      <c r="C537" s="3"/>
      <c r="D537" s="3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4"/>
      <c r="AA537" s="4"/>
      <c r="AB537" s="4"/>
      <c r="AC537" s="4"/>
      <c r="AD537" s="5"/>
      <c r="AE537" s="6"/>
      <c r="AF537" s="6"/>
      <c r="AG537" s="6"/>
      <c r="AH537" s="6"/>
    </row>
    <row r="538" spans="1:34" ht="12.75" customHeight="1" x14ac:dyDescent="0.3">
      <c r="A538" s="2"/>
      <c r="B538" s="2"/>
      <c r="C538" s="3"/>
      <c r="D538" s="3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4"/>
      <c r="AA538" s="4"/>
      <c r="AB538" s="4"/>
      <c r="AC538" s="4"/>
      <c r="AD538" s="5"/>
      <c r="AE538" s="6"/>
      <c r="AF538" s="6"/>
      <c r="AG538" s="6"/>
      <c r="AH538" s="6"/>
    </row>
    <row r="539" spans="1:34" ht="12.75" customHeight="1" x14ac:dyDescent="0.3">
      <c r="A539" s="2"/>
      <c r="B539" s="2"/>
      <c r="C539" s="3"/>
      <c r="D539" s="3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4"/>
      <c r="AA539" s="4"/>
      <c r="AB539" s="4"/>
      <c r="AC539" s="4"/>
      <c r="AD539" s="5"/>
      <c r="AE539" s="6"/>
      <c r="AF539" s="6"/>
      <c r="AG539" s="6"/>
      <c r="AH539" s="6"/>
    </row>
    <row r="540" spans="1:34" ht="12.75" customHeight="1" x14ac:dyDescent="0.3">
      <c r="A540" s="2"/>
      <c r="B540" s="2"/>
      <c r="C540" s="3"/>
      <c r="D540" s="3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4"/>
      <c r="AA540" s="4"/>
      <c r="AB540" s="4"/>
      <c r="AC540" s="4"/>
      <c r="AD540" s="5"/>
      <c r="AE540" s="6"/>
      <c r="AF540" s="6"/>
      <c r="AG540" s="6"/>
      <c r="AH540" s="6"/>
    </row>
    <row r="541" spans="1:34" ht="12.75" customHeight="1" x14ac:dyDescent="0.3">
      <c r="A541" s="2"/>
      <c r="B541" s="2"/>
      <c r="C541" s="3"/>
      <c r="D541" s="3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4"/>
      <c r="AA541" s="4"/>
      <c r="AB541" s="4"/>
      <c r="AC541" s="4"/>
      <c r="AD541" s="5"/>
      <c r="AE541" s="6"/>
      <c r="AF541" s="6"/>
      <c r="AG541" s="6"/>
      <c r="AH541" s="6"/>
    </row>
    <row r="542" spans="1:34" ht="12.75" customHeight="1" x14ac:dyDescent="0.3">
      <c r="A542" s="2"/>
      <c r="B542" s="2"/>
      <c r="C542" s="3"/>
      <c r="D542" s="3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4"/>
      <c r="AA542" s="4"/>
      <c r="AB542" s="4"/>
      <c r="AC542" s="4"/>
      <c r="AD542" s="5"/>
      <c r="AE542" s="6"/>
      <c r="AF542" s="6"/>
      <c r="AG542" s="6"/>
      <c r="AH542" s="6"/>
    </row>
    <row r="543" spans="1:34" ht="12.75" customHeight="1" x14ac:dyDescent="0.3">
      <c r="A543" s="2"/>
      <c r="B543" s="2"/>
      <c r="C543" s="3"/>
      <c r="D543" s="3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4"/>
      <c r="AA543" s="4"/>
      <c r="AB543" s="4"/>
      <c r="AC543" s="4"/>
      <c r="AD543" s="5"/>
      <c r="AE543" s="6"/>
      <c r="AF543" s="6"/>
      <c r="AG543" s="6"/>
      <c r="AH543" s="6"/>
    </row>
    <row r="544" spans="1:34" ht="12.75" customHeight="1" x14ac:dyDescent="0.3">
      <c r="A544" s="2"/>
      <c r="B544" s="2"/>
      <c r="C544" s="3"/>
      <c r="D544" s="3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4"/>
      <c r="AA544" s="4"/>
      <c r="AB544" s="4"/>
      <c r="AC544" s="4"/>
      <c r="AD544" s="5"/>
      <c r="AE544" s="6"/>
      <c r="AF544" s="6"/>
      <c r="AG544" s="6"/>
      <c r="AH544" s="6"/>
    </row>
    <row r="545" spans="1:34" ht="12.75" customHeight="1" x14ac:dyDescent="0.3">
      <c r="A545" s="2"/>
      <c r="B545" s="2"/>
      <c r="C545" s="3"/>
      <c r="D545" s="3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4"/>
      <c r="AA545" s="4"/>
      <c r="AB545" s="4"/>
      <c r="AC545" s="4"/>
      <c r="AD545" s="5"/>
      <c r="AE545" s="6"/>
      <c r="AF545" s="6"/>
      <c r="AG545" s="6"/>
      <c r="AH545" s="6"/>
    </row>
    <row r="546" spans="1:34" ht="12.75" customHeight="1" x14ac:dyDescent="0.3">
      <c r="A546" s="2"/>
      <c r="B546" s="2"/>
      <c r="C546" s="3"/>
      <c r="D546" s="3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4"/>
      <c r="AA546" s="4"/>
      <c r="AB546" s="4"/>
      <c r="AC546" s="4"/>
      <c r="AD546" s="5"/>
      <c r="AE546" s="6"/>
      <c r="AF546" s="6"/>
      <c r="AG546" s="6"/>
      <c r="AH546" s="6"/>
    </row>
    <row r="547" spans="1:34" ht="12.75" customHeight="1" x14ac:dyDescent="0.3">
      <c r="A547" s="2"/>
      <c r="B547" s="2"/>
      <c r="C547" s="3"/>
      <c r="D547" s="3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4"/>
      <c r="AA547" s="4"/>
      <c r="AB547" s="4"/>
      <c r="AC547" s="4"/>
      <c r="AD547" s="5"/>
      <c r="AE547" s="6"/>
      <c r="AF547" s="6"/>
      <c r="AG547" s="6"/>
      <c r="AH547" s="6"/>
    </row>
    <row r="548" spans="1:34" ht="12.75" customHeight="1" x14ac:dyDescent="0.3">
      <c r="A548" s="2"/>
      <c r="B548" s="2"/>
      <c r="C548" s="3"/>
      <c r="D548" s="3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4"/>
      <c r="AA548" s="4"/>
      <c r="AB548" s="4"/>
      <c r="AC548" s="4"/>
      <c r="AD548" s="5"/>
      <c r="AE548" s="6"/>
      <c r="AF548" s="6"/>
      <c r="AG548" s="6"/>
      <c r="AH548" s="6"/>
    </row>
    <row r="549" spans="1:34" ht="12.75" customHeight="1" x14ac:dyDescent="0.3">
      <c r="A549" s="2"/>
      <c r="B549" s="2"/>
      <c r="C549" s="3"/>
      <c r="D549" s="3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4"/>
      <c r="AA549" s="4"/>
      <c r="AB549" s="4"/>
      <c r="AC549" s="4"/>
      <c r="AD549" s="5"/>
      <c r="AE549" s="6"/>
      <c r="AF549" s="6"/>
      <c r="AG549" s="6"/>
      <c r="AH549" s="6"/>
    </row>
    <row r="550" spans="1:34" ht="12.75" customHeight="1" x14ac:dyDescent="0.3">
      <c r="A550" s="2"/>
      <c r="B550" s="2"/>
      <c r="C550" s="3"/>
      <c r="D550" s="3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4"/>
      <c r="AA550" s="4"/>
      <c r="AB550" s="4"/>
      <c r="AC550" s="4"/>
      <c r="AD550" s="5"/>
      <c r="AE550" s="6"/>
      <c r="AF550" s="6"/>
      <c r="AG550" s="6"/>
      <c r="AH550" s="6"/>
    </row>
    <row r="551" spans="1:34" ht="12.75" customHeight="1" x14ac:dyDescent="0.3">
      <c r="A551" s="2"/>
      <c r="B551" s="2"/>
      <c r="C551" s="3"/>
      <c r="D551" s="3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4"/>
      <c r="AA551" s="4"/>
      <c r="AB551" s="4"/>
      <c r="AC551" s="4"/>
      <c r="AD551" s="5"/>
      <c r="AE551" s="6"/>
      <c r="AF551" s="6"/>
      <c r="AG551" s="6"/>
      <c r="AH551" s="6"/>
    </row>
    <row r="552" spans="1:34" ht="12.75" customHeight="1" x14ac:dyDescent="0.3">
      <c r="A552" s="2"/>
      <c r="B552" s="2"/>
      <c r="C552" s="3"/>
      <c r="D552" s="3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4"/>
      <c r="AA552" s="4"/>
      <c r="AB552" s="4"/>
      <c r="AC552" s="4"/>
      <c r="AD552" s="5"/>
      <c r="AE552" s="6"/>
      <c r="AF552" s="6"/>
      <c r="AG552" s="6"/>
      <c r="AH552" s="6"/>
    </row>
    <row r="553" spans="1:34" ht="12.75" customHeight="1" x14ac:dyDescent="0.3">
      <c r="A553" s="2"/>
      <c r="B553" s="2"/>
      <c r="C553" s="3"/>
      <c r="D553" s="3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4"/>
      <c r="AA553" s="4"/>
      <c r="AB553" s="4"/>
      <c r="AC553" s="4"/>
      <c r="AD553" s="5"/>
      <c r="AE553" s="6"/>
      <c r="AF553" s="6"/>
      <c r="AG553" s="6"/>
      <c r="AH553" s="6"/>
    </row>
    <row r="554" spans="1:34" ht="12.75" customHeight="1" x14ac:dyDescent="0.3">
      <c r="A554" s="2"/>
      <c r="B554" s="2"/>
      <c r="C554" s="3"/>
      <c r="D554" s="3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4"/>
      <c r="AA554" s="4"/>
      <c r="AB554" s="4"/>
      <c r="AC554" s="4"/>
      <c r="AD554" s="5"/>
      <c r="AE554" s="6"/>
      <c r="AF554" s="6"/>
      <c r="AG554" s="6"/>
      <c r="AH554" s="6"/>
    </row>
    <row r="555" spans="1:34" ht="12.75" customHeight="1" x14ac:dyDescent="0.3">
      <c r="A555" s="2"/>
      <c r="B555" s="2"/>
      <c r="C555" s="3"/>
      <c r="D555" s="3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4"/>
      <c r="AA555" s="4"/>
      <c r="AB555" s="4"/>
      <c r="AC555" s="4"/>
      <c r="AD555" s="5"/>
      <c r="AE555" s="6"/>
      <c r="AF555" s="6"/>
      <c r="AG555" s="6"/>
      <c r="AH555" s="6"/>
    </row>
    <row r="556" spans="1:34" ht="12.75" customHeight="1" x14ac:dyDescent="0.3">
      <c r="A556" s="2"/>
      <c r="B556" s="2"/>
      <c r="C556" s="3"/>
      <c r="D556" s="3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4"/>
      <c r="AA556" s="4"/>
      <c r="AB556" s="4"/>
      <c r="AC556" s="4"/>
      <c r="AD556" s="5"/>
      <c r="AE556" s="6"/>
      <c r="AF556" s="6"/>
      <c r="AG556" s="6"/>
      <c r="AH556" s="6"/>
    </row>
    <row r="557" spans="1:34" ht="12.75" customHeight="1" x14ac:dyDescent="0.3">
      <c r="A557" s="2"/>
      <c r="B557" s="2"/>
      <c r="C557" s="3"/>
      <c r="D557" s="3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4"/>
      <c r="AA557" s="4"/>
      <c r="AB557" s="4"/>
      <c r="AC557" s="4"/>
      <c r="AD557" s="5"/>
      <c r="AE557" s="6"/>
      <c r="AF557" s="6"/>
      <c r="AG557" s="6"/>
      <c r="AH557" s="6"/>
    </row>
    <row r="558" spans="1:34" ht="12.75" customHeight="1" x14ac:dyDescent="0.3">
      <c r="A558" s="2"/>
      <c r="B558" s="2"/>
      <c r="C558" s="3"/>
      <c r="D558" s="3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4"/>
      <c r="AA558" s="4"/>
      <c r="AB558" s="4"/>
      <c r="AC558" s="4"/>
      <c r="AD558" s="5"/>
      <c r="AE558" s="6"/>
      <c r="AF558" s="6"/>
      <c r="AG558" s="6"/>
      <c r="AH558" s="6"/>
    </row>
    <row r="559" spans="1:34" ht="12.75" customHeight="1" x14ac:dyDescent="0.3">
      <c r="A559" s="2"/>
      <c r="B559" s="2"/>
      <c r="C559" s="3"/>
      <c r="D559" s="3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4"/>
      <c r="AA559" s="4"/>
      <c r="AB559" s="4"/>
      <c r="AC559" s="4"/>
      <c r="AD559" s="5"/>
      <c r="AE559" s="6"/>
      <c r="AF559" s="6"/>
      <c r="AG559" s="6"/>
      <c r="AH559" s="6"/>
    </row>
    <row r="560" spans="1:34" ht="12.75" customHeight="1" x14ac:dyDescent="0.3">
      <c r="A560" s="2"/>
      <c r="B560" s="2"/>
      <c r="C560" s="3"/>
      <c r="D560" s="3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4"/>
      <c r="AA560" s="4"/>
      <c r="AB560" s="4"/>
      <c r="AC560" s="4"/>
      <c r="AD560" s="5"/>
      <c r="AE560" s="6"/>
      <c r="AF560" s="6"/>
      <c r="AG560" s="6"/>
      <c r="AH560" s="6"/>
    </row>
    <row r="561" spans="1:34" ht="12.75" customHeight="1" x14ac:dyDescent="0.3">
      <c r="A561" s="2"/>
      <c r="B561" s="2"/>
      <c r="C561" s="3"/>
      <c r="D561" s="3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4"/>
      <c r="AA561" s="4"/>
      <c r="AB561" s="4"/>
      <c r="AC561" s="4"/>
      <c r="AD561" s="5"/>
      <c r="AE561" s="6"/>
      <c r="AF561" s="6"/>
      <c r="AG561" s="6"/>
      <c r="AH561" s="6"/>
    </row>
    <row r="562" spans="1:34" ht="12.75" customHeight="1" x14ac:dyDescent="0.3">
      <c r="A562" s="2"/>
      <c r="B562" s="2"/>
      <c r="C562" s="3"/>
      <c r="D562" s="3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4"/>
      <c r="AA562" s="4"/>
      <c r="AB562" s="4"/>
      <c r="AC562" s="4"/>
      <c r="AD562" s="5"/>
      <c r="AE562" s="6"/>
      <c r="AF562" s="6"/>
      <c r="AG562" s="6"/>
      <c r="AH562" s="6"/>
    </row>
    <row r="563" spans="1:34" ht="12.75" customHeight="1" x14ac:dyDescent="0.3">
      <c r="A563" s="2"/>
      <c r="B563" s="2"/>
      <c r="C563" s="3"/>
      <c r="D563" s="3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4"/>
      <c r="AA563" s="4"/>
      <c r="AB563" s="4"/>
      <c r="AC563" s="4"/>
      <c r="AD563" s="5"/>
      <c r="AE563" s="6"/>
      <c r="AF563" s="6"/>
      <c r="AG563" s="6"/>
      <c r="AH563" s="6"/>
    </row>
    <row r="564" spans="1:34" ht="12.75" customHeight="1" x14ac:dyDescent="0.3">
      <c r="A564" s="2"/>
      <c r="B564" s="2"/>
      <c r="C564" s="3"/>
      <c r="D564" s="3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4"/>
      <c r="AA564" s="4"/>
      <c r="AB564" s="4"/>
      <c r="AC564" s="4"/>
      <c r="AD564" s="5"/>
      <c r="AE564" s="6"/>
      <c r="AF564" s="6"/>
      <c r="AG564" s="6"/>
      <c r="AH564" s="6"/>
    </row>
    <row r="565" spans="1:34" ht="12.75" customHeight="1" x14ac:dyDescent="0.3">
      <c r="A565" s="2"/>
      <c r="B565" s="2"/>
      <c r="C565" s="3"/>
      <c r="D565" s="3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4"/>
      <c r="AA565" s="4"/>
      <c r="AB565" s="4"/>
      <c r="AC565" s="4"/>
      <c r="AD565" s="5"/>
      <c r="AE565" s="6"/>
      <c r="AF565" s="6"/>
      <c r="AG565" s="6"/>
      <c r="AH565" s="6"/>
    </row>
    <row r="566" spans="1:34" ht="12.75" customHeight="1" x14ac:dyDescent="0.3">
      <c r="A566" s="2"/>
      <c r="B566" s="2"/>
      <c r="C566" s="3"/>
      <c r="D566" s="3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4"/>
      <c r="AA566" s="4"/>
      <c r="AB566" s="4"/>
      <c r="AC566" s="4"/>
      <c r="AD566" s="5"/>
      <c r="AE566" s="6"/>
      <c r="AF566" s="6"/>
      <c r="AG566" s="6"/>
      <c r="AH566" s="6"/>
    </row>
    <row r="567" spans="1:34" ht="12.75" customHeight="1" x14ac:dyDescent="0.3">
      <c r="A567" s="2"/>
      <c r="B567" s="2"/>
      <c r="C567" s="3"/>
      <c r="D567" s="3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4"/>
      <c r="AA567" s="4"/>
      <c r="AB567" s="4"/>
      <c r="AC567" s="4"/>
      <c r="AD567" s="5"/>
      <c r="AE567" s="6"/>
      <c r="AF567" s="6"/>
      <c r="AG567" s="6"/>
      <c r="AH567" s="6"/>
    </row>
    <row r="568" spans="1:34" ht="12.75" customHeight="1" x14ac:dyDescent="0.3">
      <c r="A568" s="2"/>
      <c r="B568" s="2"/>
      <c r="C568" s="3"/>
      <c r="D568" s="3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4"/>
      <c r="AA568" s="4"/>
      <c r="AB568" s="4"/>
      <c r="AC568" s="4"/>
      <c r="AD568" s="5"/>
      <c r="AE568" s="6"/>
      <c r="AF568" s="6"/>
      <c r="AG568" s="6"/>
      <c r="AH568" s="6"/>
    </row>
    <row r="569" spans="1:34" ht="12.75" customHeight="1" x14ac:dyDescent="0.3">
      <c r="A569" s="2"/>
      <c r="B569" s="2"/>
      <c r="C569" s="3"/>
      <c r="D569" s="3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4"/>
      <c r="AA569" s="4"/>
      <c r="AB569" s="4"/>
      <c r="AC569" s="4"/>
      <c r="AD569" s="5"/>
      <c r="AE569" s="6"/>
      <c r="AF569" s="6"/>
      <c r="AG569" s="6"/>
      <c r="AH569" s="6"/>
    </row>
    <row r="570" spans="1:34" ht="12.75" customHeight="1" x14ac:dyDescent="0.3">
      <c r="A570" s="2"/>
      <c r="B570" s="2"/>
      <c r="C570" s="3"/>
      <c r="D570" s="3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4"/>
      <c r="AA570" s="4"/>
      <c r="AB570" s="4"/>
      <c r="AC570" s="4"/>
      <c r="AD570" s="5"/>
      <c r="AE570" s="6"/>
      <c r="AF570" s="6"/>
      <c r="AG570" s="6"/>
      <c r="AH570" s="6"/>
    </row>
    <row r="571" spans="1:34" ht="12.75" customHeight="1" x14ac:dyDescent="0.3">
      <c r="A571" s="2"/>
      <c r="B571" s="2"/>
      <c r="C571" s="3"/>
      <c r="D571" s="3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4"/>
      <c r="AA571" s="4"/>
      <c r="AB571" s="4"/>
      <c r="AC571" s="4"/>
      <c r="AD571" s="5"/>
      <c r="AE571" s="6"/>
      <c r="AF571" s="6"/>
      <c r="AG571" s="6"/>
      <c r="AH571" s="6"/>
    </row>
    <row r="572" spans="1:34" ht="12.75" customHeight="1" x14ac:dyDescent="0.3">
      <c r="A572" s="2"/>
      <c r="B572" s="2"/>
      <c r="C572" s="3"/>
      <c r="D572" s="3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4"/>
      <c r="AA572" s="4"/>
      <c r="AB572" s="4"/>
      <c r="AC572" s="4"/>
      <c r="AD572" s="5"/>
      <c r="AE572" s="6"/>
      <c r="AF572" s="6"/>
      <c r="AG572" s="6"/>
      <c r="AH572" s="6"/>
    </row>
    <row r="573" spans="1:34" ht="12.75" customHeight="1" x14ac:dyDescent="0.3">
      <c r="A573" s="2"/>
      <c r="B573" s="2"/>
      <c r="C573" s="3"/>
      <c r="D573" s="3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4"/>
      <c r="AA573" s="4"/>
      <c r="AB573" s="4"/>
      <c r="AC573" s="4"/>
      <c r="AD573" s="5"/>
      <c r="AE573" s="6"/>
      <c r="AF573" s="6"/>
      <c r="AG573" s="6"/>
      <c r="AH573" s="6"/>
    </row>
    <row r="574" spans="1:34" ht="12.75" customHeight="1" x14ac:dyDescent="0.3">
      <c r="A574" s="2"/>
      <c r="B574" s="2"/>
      <c r="C574" s="3"/>
      <c r="D574" s="3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4"/>
      <c r="AA574" s="4"/>
      <c r="AB574" s="4"/>
      <c r="AC574" s="4"/>
      <c r="AD574" s="5"/>
      <c r="AE574" s="6"/>
      <c r="AF574" s="6"/>
      <c r="AG574" s="6"/>
      <c r="AH574" s="6"/>
    </row>
    <row r="575" spans="1:34" ht="12.75" customHeight="1" x14ac:dyDescent="0.3">
      <c r="A575" s="2"/>
      <c r="B575" s="2"/>
      <c r="C575" s="3"/>
      <c r="D575" s="3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4"/>
      <c r="AA575" s="4"/>
      <c r="AB575" s="4"/>
      <c r="AC575" s="4"/>
      <c r="AD575" s="5"/>
      <c r="AE575" s="6"/>
      <c r="AF575" s="6"/>
      <c r="AG575" s="6"/>
      <c r="AH575" s="6"/>
    </row>
    <row r="576" spans="1:34" ht="12.75" customHeight="1" x14ac:dyDescent="0.3">
      <c r="A576" s="2"/>
      <c r="B576" s="2"/>
      <c r="C576" s="3"/>
      <c r="D576" s="3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4"/>
      <c r="AA576" s="4"/>
      <c r="AB576" s="4"/>
      <c r="AC576" s="4"/>
      <c r="AD576" s="5"/>
      <c r="AE576" s="6"/>
      <c r="AF576" s="6"/>
      <c r="AG576" s="6"/>
      <c r="AH576" s="6"/>
    </row>
    <row r="577" spans="1:34" ht="12.75" customHeight="1" x14ac:dyDescent="0.3">
      <c r="A577" s="2"/>
      <c r="B577" s="2"/>
      <c r="C577" s="3"/>
      <c r="D577" s="3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4"/>
      <c r="AA577" s="4"/>
      <c r="AB577" s="4"/>
      <c r="AC577" s="4"/>
      <c r="AD577" s="5"/>
      <c r="AE577" s="6"/>
      <c r="AF577" s="6"/>
      <c r="AG577" s="6"/>
      <c r="AH577" s="6"/>
    </row>
    <row r="578" spans="1:34" ht="12.75" customHeight="1" x14ac:dyDescent="0.3">
      <c r="A578" s="2"/>
      <c r="B578" s="2"/>
      <c r="C578" s="3"/>
      <c r="D578" s="3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4"/>
      <c r="AA578" s="4"/>
      <c r="AB578" s="4"/>
      <c r="AC578" s="4"/>
      <c r="AD578" s="5"/>
      <c r="AE578" s="6"/>
      <c r="AF578" s="6"/>
      <c r="AG578" s="6"/>
      <c r="AH578" s="6"/>
    </row>
    <row r="579" spans="1:34" ht="12.75" customHeight="1" x14ac:dyDescent="0.3">
      <c r="A579" s="2"/>
      <c r="B579" s="2"/>
      <c r="C579" s="3"/>
      <c r="D579" s="3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4"/>
      <c r="AA579" s="4"/>
      <c r="AB579" s="4"/>
      <c r="AC579" s="4"/>
      <c r="AD579" s="5"/>
      <c r="AE579" s="6"/>
      <c r="AF579" s="6"/>
      <c r="AG579" s="6"/>
      <c r="AH579" s="6"/>
    </row>
    <row r="580" spans="1:34" ht="12.75" customHeight="1" x14ac:dyDescent="0.3">
      <c r="A580" s="2"/>
      <c r="B580" s="2"/>
      <c r="C580" s="3"/>
      <c r="D580" s="3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4"/>
      <c r="AA580" s="4"/>
      <c r="AB580" s="4"/>
      <c r="AC580" s="4"/>
      <c r="AD580" s="5"/>
      <c r="AE580" s="6"/>
      <c r="AF580" s="6"/>
      <c r="AG580" s="6"/>
      <c r="AH580" s="6"/>
    </row>
    <row r="581" spans="1:34" ht="12.75" customHeight="1" x14ac:dyDescent="0.3">
      <c r="A581" s="2"/>
      <c r="B581" s="2"/>
      <c r="C581" s="3"/>
      <c r="D581" s="3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4"/>
      <c r="AA581" s="4"/>
      <c r="AB581" s="4"/>
      <c r="AC581" s="4"/>
      <c r="AD581" s="5"/>
      <c r="AE581" s="6"/>
      <c r="AF581" s="6"/>
      <c r="AG581" s="6"/>
      <c r="AH581" s="6"/>
    </row>
    <row r="582" spans="1:34" ht="12.75" customHeight="1" x14ac:dyDescent="0.3">
      <c r="A582" s="2"/>
      <c r="B582" s="2"/>
      <c r="C582" s="3"/>
      <c r="D582" s="3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4"/>
      <c r="AA582" s="4"/>
      <c r="AB582" s="4"/>
      <c r="AC582" s="4"/>
      <c r="AD582" s="5"/>
      <c r="AE582" s="6"/>
      <c r="AF582" s="6"/>
      <c r="AG582" s="6"/>
      <c r="AH582" s="6"/>
    </row>
    <row r="583" spans="1:34" ht="12.75" customHeight="1" x14ac:dyDescent="0.3">
      <c r="A583" s="2"/>
      <c r="B583" s="2"/>
      <c r="C583" s="3"/>
      <c r="D583" s="3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4"/>
      <c r="AA583" s="4"/>
      <c r="AB583" s="4"/>
      <c r="AC583" s="4"/>
      <c r="AD583" s="5"/>
      <c r="AE583" s="6"/>
      <c r="AF583" s="6"/>
      <c r="AG583" s="6"/>
      <c r="AH583" s="6"/>
    </row>
    <row r="584" spans="1:34" ht="12.75" customHeight="1" x14ac:dyDescent="0.3">
      <c r="A584" s="2"/>
      <c r="B584" s="2"/>
      <c r="C584" s="3"/>
      <c r="D584" s="3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4"/>
      <c r="AA584" s="4"/>
      <c r="AB584" s="4"/>
      <c r="AC584" s="4"/>
      <c r="AD584" s="5"/>
      <c r="AE584" s="6"/>
      <c r="AF584" s="6"/>
      <c r="AG584" s="6"/>
      <c r="AH584" s="6"/>
    </row>
    <row r="585" spans="1:34" ht="12.75" customHeight="1" x14ac:dyDescent="0.3">
      <c r="A585" s="2"/>
      <c r="B585" s="2"/>
      <c r="C585" s="3"/>
      <c r="D585" s="3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4"/>
      <c r="AA585" s="4"/>
      <c r="AB585" s="4"/>
      <c r="AC585" s="4"/>
      <c r="AD585" s="5"/>
      <c r="AE585" s="6"/>
      <c r="AF585" s="6"/>
      <c r="AG585" s="6"/>
      <c r="AH585" s="6"/>
    </row>
    <row r="586" spans="1:34" ht="12.75" customHeight="1" x14ac:dyDescent="0.3">
      <c r="A586" s="2"/>
      <c r="B586" s="2"/>
      <c r="C586" s="3"/>
      <c r="D586" s="3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4"/>
      <c r="AA586" s="4"/>
      <c r="AB586" s="4"/>
      <c r="AC586" s="4"/>
      <c r="AD586" s="5"/>
      <c r="AE586" s="6"/>
      <c r="AF586" s="6"/>
      <c r="AG586" s="6"/>
      <c r="AH586" s="6"/>
    </row>
    <row r="587" spans="1:34" ht="12.75" customHeight="1" x14ac:dyDescent="0.3">
      <c r="A587" s="2"/>
      <c r="B587" s="2"/>
      <c r="C587" s="3"/>
      <c r="D587" s="3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4"/>
      <c r="AA587" s="4"/>
      <c r="AB587" s="4"/>
      <c r="AC587" s="4"/>
      <c r="AD587" s="5"/>
      <c r="AE587" s="6"/>
      <c r="AF587" s="6"/>
      <c r="AG587" s="6"/>
      <c r="AH587" s="6"/>
    </row>
    <row r="588" spans="1:34" ht="12.75" customHeight="1" x14ac:dyDescent="0.3">
      <c r="A588" s="2"/>
      <c r="B588" s="2"/>
      <c r="C588" s="3"/>
      <c r="D588" s="3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4"/>
      <c r="AA588" s="4"/>
      <c r="AB588" s="4"/>
      <c r="AC588" s="4"/>
      <c r="AD588" s="5"/>
      <c r="AE588" s="6"/>
      <c r="AF588" s="6"/>
      <c r="AG588" s="6"/>
      <c r="AH588" s="6"/>
    </row>
    <row r="589" spans="1:34" ht="12.75" customHeight="1" x14ac:dyDescent="0.3">
      <c r="A589" s="2"/>
      <c r="B589" s="2"/>
      <c r="C589" s="3"/>
      <c r="D589" s="3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4"/>
      <c r="AA589" s="4"/>
      <c r="AB589" s="4"/>
      <c r="AC589" s="4"/>
      <c r="AD589" s="5"/>
      <c r="AE589" s="6"/>
      <c r="AF589" s="6"/>
      <c r="AG589" s="6"/>
      <c r="AH589" s="6"/>
    </row>
    <row r="590" spans="1:34" ht="12.75" customHeight="1" x14ac:dyDescent="0.3">
      <c r="A590" s="2"/>
      <c r="B590" s="2"/>
      <c r="C590" s="3"/>
      <c r="D590" s="3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4"/>
      <c r="AA590" s="4"/>
      <c r="AB590" s="4"/>
      <c r="AC590" s="4"/>
      <c r="AD590" s="5"/>
      <c r="AE590" s="6"/>
      <c r="AF590" s="6"/>
      <c r="AG590" s="6"/>
      <c r="AH590" s="6"/>
    </row>
    <row r="591" spans="1:34" ht="12.75" customHeight="1" x14ac:dyDescent="0.3">
      <c r="A591" s="2"/>
      <c r="B591" s="2"/>
      <c r="C591" s="3"/>
      <c r="D591" s="3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4"/>
      <c r="AA591" s="4"/>
      <c r="AB591" s="4"/>
      <c r="AC591" s="4"/>
      <c r="AD591" s="5"/>
      <c r="AE591" s="6"/>
      <c r="AF591" s="6"/>
      <c r="AG591" s="6"/>
      <c r="AH591" s="6"/>
    </row>
    <row r="592" spans="1:34" ht="12.75" customHeight="1" x14ac:dyDescent="0.3">
      <c r="A592" s="2"/>
      <c r="B592" s="2"/>
      <c r="C592" s="3"/>
      <c r="D592" s="3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4"/>
      <c r="AA592" s="4"/>
      <c r="AB592" s="4"/>
      <c r="AC592" s="4"/>
      <c r="AD592" s="5"/>
      <c r="AE592" s="6"/>
      <c r="AF592" s="6"/>
      <c r="AG592" s="6"/>
      <c r="AH592" s="6"/>
    </row>
    <row r="593" spans="1:34" ht="12.75" customHeight="1" x14ac:dyDescent="0.3">
      <c r="A593" s="2"/>
      <c r="B593" s="2"/>
      <c r="C593" s="3"/>
      <c r="D593" s="3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4"/>
      <c r="AA593" s="4"/>
      <c r="AB593" s="4"/>
      <c r="AC593" s="4"/>
      <c r="AD593" s="5"/>
      <c r="AE593" s="6"/>
      <c r="AF593" s="6"/>
      <c r="AG593" s="6"/>
      <c r="AH593" s="6"/>
    </row>
    <row r="594" spans="1:34" ht="12.75" customHeight="1" x14ac:dyDescent="0.3">
      <c r="A594" s="2"/>
      <c r="B594" s="2"/>
      <c r="C594" s="3"/>
      <c r="D594" s="3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4"/>
      <c r="AA594" s="4"/>
      <c r="AB594" s="4"/>
      <c r="AC594" s="4"/>
      <c r="AD594" s="5"/>
      <c r="AE594" s="6"/>
      <c r="AF594" s="6"/>
      <c r="AG594" s="6"/>
      <c r="AH594" s="6"/>
    </row>
    <row r="595" spans="1:34" ht="12.75" customHeight="1" x14ac:dyDescent="0.3">
      <c r="A595" s="2"/>
      <c r="B595" s="2"/>
      <c r="C595" s="3"/>
      <c r="D595" s="3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4"/>
      <c r="AA595" s="4"/>
      <c r="AB595" s="4"/>
      <c r="AC595" s="4"/>
      <c r="AD595" s="5"/>
      <c r="AE595" s="6"/>
      <c r="AF595" s="6"/>
      <c r="AG595" s="6"/>
      <c r="AH595" s="6"/>
    </row>
    <row r="596" spans="1:34" ht="12.75" customHeight="1" x14ac:dyDescent="0.3">
      <c r="A596" s="2"/>
      <c r="B596" s="2"/>
      <c r="C596" s="3"/>
      <c r="D596" s="3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4"/>
      <c r="AA596" s="4"/>
      <c r="AB596" s="4"/>
      <c r="AC596" s="4"/>
      <c r="AD596" s="5"/>
      <c r="AE596" s="6"/>
      <c r="AF596" s="6"/>
      <c r="AG596" s="6"/>
      <c r="AH596" s="6"/>
    </row>
    <row r="597" spans="1:34" ht="12.75" customHeight="1" x14ac:dyDescent="0.3">
      <c r="A597" s="2"/>
      <c r="B597" s="2"/>
      <c r="C597" s="3"/>
      <c r="D597" s="3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4"/>
      <c r="AA597" s="4"/>
      <c r="AB597" s="4"/>
      <c r="AC597" s="4"/>
      <c r="AD597" s="5"/>
      <c r="AE597" s="6"/>
      <c r="AF597" s="6"/>
      <c r="AG597" s="6"/>
      <c r="AH597" s="6"/>
    </row>
    <row r="598" spans="1:34" ht="12.75" customHeight="1" x14ac:dyDescent="0.3">
      <c r="A598" s="2"/>
      <c r="B598" s="2"/>
      <c r="C598" s="3"/>
      <c r="D598" s="3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4"/>
      <c r="AA598" s="4"/>
      <c r="AB598" s="4"/>
      <c r="AC598" s="4"/>
      <c r="AD598" s="5"/>
      <c r="AE598" s="6"/>
      <c r="AF598" s="6"/>
      <c r="AG598" s="6"/>
      <c r="AH598" s="6"/>
    </row>
    <row r="599" spans="1:34" ht="12.75" customHeight="1" x14ac:dyDescent="0.3">
      <c r="A599" s="2"/>
      <c r="B599" s="2"/>
      <c r="C599" s="3"/>
      <c r="D599" s="3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4"/>
      <c r="AA599" s="4"/>
      <c r="AB599" s="4"/>
      <c r="AC599" s="4"/>
      <c r="AD599" s="5"/>
      <c r="AE599" s="6"/>
      <c r="AF599" s="6"/>
      <c r="AG599" s="6"/>
      <c r="AH599" s="6"/>
    </row>
    <row r="600" spans="1:34" ht="12.75" customHeight="1" x14ac:dyDescent="0.3">
      <c r="A600" s="2"/>
      <c r="B600" s="2"/>
      <c r="C600" s="3"/>
      <c r="D600" s="3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4"/>
      <c r="AA600" s="4"/>
      <c r="AB600" s="4"/>
      <c r="AC600" s="4"/>
      <c r="AD600" s="5"/>
      <c r="AE600" s="6"/>
      <c r="AF600" s="6"/>
      <c r="AG600" s="6"/>
      <c r="AH600" s="6"/>
    </row>
    <row r="601" spans="1:34" ht="12.75" customHeight="1" x14ac:dyDescent="0.3">
      <c r="A601" s="2"/>
      <c r="B601" s="2"/>
      <c r="C601" s="3"/>
      <c r="D601" s="3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4"/>
      <c r="AA601" s="4"/>
      <c r="AB601" s="4"/>
      <c r="AC601" s="4"/>
      <c r="AD601" s="5"/>
      <c r="AE601" s="6"/>
      <c r="AF601" s="6"/>
      <c r="AG601" s="6"/>
      <c r="AH601" s="6"/>
    </row>
    <row r="602" spans="1:34" ht="12.75" customHeight="1" x14ac:dyDescent="0.3">
      <c r="A602" s="2"/>
      <c r="B602" s="2"/>
      <c r="C602" s="3"/>
      <c r="D602" s="3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4"/>
      <c r="AA602" s="4"/>
      <c r="AB602" s="4"/>
      <c r="AC602" s="4"/>
      <c r="AD602" s="5"/>
      <c r="AE602" s="6"/>
      <c r="AF602" s="6"/>
      <c r="AG602" s="6"/>
      <c r="AH602" s="6"/>
    </row>
    <row r="603" spans="1:34" ht="12.75" customHeight="1" x14ac:dyDescent="0.3">
      <c r="A603" s="2"/>
      <c r="B603" s="2"/>
      <c r="C603" s="3"/>
      <c r="D603" s="3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4"/>
      <c r="AA603" s="4"/>
      <c r="AB603" s="4"/>
      <c r="AC603" s="4"/>
      <c r="AD603" s="5"/>
      <c r="AE603" s="6"/>
      <c r="AF603" s="6"/>
      <c r="AG603" s="6"/>
      <c r="AH603" s="6"/>
    </row>
    <row r="604" spans="1:34" ht="12.75" customHeight="1" x14ac:dyDescent="0.3">
      <c r="A604" s="2"/>
      <c r="B604" s="2"/>
      <c r="C604" s="3"/>
      <c r="D604" s="3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4"/>
      <c r="AA604" s="4"/>
      <c r="AB604" s="4"/>
      <c r="AC604" s="4"/>
      <c r="AD604" s="5"/>
      <c r="AE604" s="6"/>
      <c r="AF604" s="6"/>
      <c r="AG604" s="6"/>
      <c r="AH604" s="6"/>
    </row>
    <row r="605" spans="1:34" ht="12.75" customHeight="1" x14ac:dyDescent="0.3">
      <c r="A605" s="2"/>
      <c r="B605" s="2"/>
      <c r="C605" s="3"/>
      <c r="D605" s="3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4"/>
      <c r="AA605" s="4"/>
      <c r="AB605" s="4"/>
      <c r="AC605" s="4"/>
      <c r="AD605" s="5"/>
      <c r="AE605" s="6"/>
      <c r="AF605" s="6"/>
      <c r="AG605" s="6"/>
      <c r="AH605" s="6"/>
    </row>
    <row r="606" spans="1:34" ht="12.75" customHeight="1" x14ac:dyDescent="0.3">
      <c r="A606" s="2"/>
      <c r="B606" s="2"/>
      <c r="C606" s="3"/>
      <c r="D606" s="3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4"/>
      <c r="AA606" s="4"/>
      <c r="AB606" s="4"/>
      <c r="AC606" s="4"/>
      <c r="AD606" s="5"/>
      <c r="AE606" s="6"/>
      <c r="AF606" s="6"/>
      <c r="AG606" s="6"/>
      <c r="AH606" s="6"/>
    </row>
    <row r="607" spans="1:34" ht="12.75" customHeight="1" x14ac:dyDescent="0.3">
      <c r="A607" s="2"/>
      <c r="B607" s="2"/>
      <c r="C607" s="3"/>
      <c r="D607" s="3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4"/>
      <c r="AA607" s="4"/>
      <c r="AB607" s="4"/>
      <c r="AC607" s="4"/>
      <c r="AD607" s="5"/>
      <c r="AE607" s="6"/>
      <c r="AF607" s="6"/>
      <c r="AG607" s="6"/>
      <c r="AH607" s="6"/>
    </row>
    <row r="608" spans="1:34" ht="12.75" customHeight="1" x14ac:dyDescent="0.3">
      <c r="A608" s="2"/>
      <c r="B608" s="2"/>
      <c r="C608" s="3"/>
      <c r="D608" s="3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4"/>
      <c r="AA608" s="4"/>
      <c r="AB608" s="4"/>
      <c r="AC608" s="4"/>
      <c r="AD608" s="5"/>
      <c r="AE608" s="6"/>
      <c r="AF608" s="6"/>
      <c r="AG608" s="6"/>
      <c r="AH608" s="6"/>
    </row>
    <row r="609" spans="1:34" ht="12.75" customHeight="1" x14ac:dyDescent="0.3">
      <c r="A609" s="2"/>
      <c r="B609" s="2"/>
      <c r="C609" s="3"/>
      <c r="D609" s="3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4"/>
      <c r="AA609" s="4"/>
      <c r="AB609" s="4"/>
      <c r="AC609" s="4"/>
      <c r="AD609" s="5"/>
      <c r="AE609" s="6"/>
      <c r="AF609" s="6"/>
      <c r="AG609" s="6"/>
      <c r="AH609" s="6"/>
    </row>
    <row r="610" spans="1:34" ht="12.75" customHeight="1" x14ac:dyDescent="0.3">
      <c r="A610" s="2"/>
      <c r="B610" s="2"/>
      <c r="C610" s="3"/>
      <c r="D610" s="3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4"/>
      <c r="AA610" s="4"/>
      <c r="AB610" s="4"/>
      <c r="AC610" s="4"/>
      <c r="AD610" s="5"/>
      <c r="AE610" s="6"/>
      <c r="AF610" s="6"/>
      <c r="AG610" s="6"/>
      <c r="AH610" s="6"/>
    </row>
    <row r="611" spans="1:34" ht="12.75" customHeight="1" x14ac:dyDescent="0.3">
      <c r="A611" s="2"/>
      <c r="B611" s="2"/>
      <c r="C611" s="3"/>
      <c r="D611" s="3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4"/>
      <c r="AA611" s="4"/>
      <c r="AB611" s="4"/>
      <c r="AC611" s="4"/>
      <c r="AD611" s="5"/>
      <c r="AE611" s="6"/>
      <c r="AF611" s="6"/>
      <c r="AG611" s="6"/>
      <c r="AH611" s="6"/>
    </row>
    <row r="612" spans="1:34" ht="12.75" customHeight="1" x14ac:dyDescent="0.3">
      <c r="A612" s="2"/>
      <c r="B612" s="2"/>
      <c r="C612" s="3"/>
      <c r="D612" s="3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4"/>
      <c r="AA612" s="4"/>
      <c r="AB612" s="4"/>
      <c r="AC612" s="4"/>
      <c r="AD612" s="5"/>
      <c r="AE612" s="6"/>
      <c r="AF612" s="6"/>
      <c r="AG612" s="6"/>
      <c r="AH612" s="6"/>
    </row>
    <row r="613" spans="1:34" ht="12.75" customHeight="1" x14ac:dyDescent="0.3">
      <c r="A613" s="2"/>
      <c r="B613" s="2"/>
      <c r="C613" s="3"/>
      <c r="D613" s="3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4"/>
      <c r="AA613" s="4"/>
      <c r="AB613" s="4"/>
      <c r="AC613" s="4"/>
      <c r="AD613" s="5"/>
      <c r="AE613" s="6"/>
      <c r="AF613" s="6"/>
      <c r="AG613" s="6"/>
      <c r="AH613" s="6"/>
    </row>
    <row r="614" spans="1:34" ht="12.75" customHeight="1" x14ac:dyDescent="0.3">
      <c r="A614" s="2"/>
      <c r="B614" s="2"/>
      <c r="C614" s="3"/>
      <c r="D614" s="3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4"/>
      <c r="AA614" s="4"/>
      <c r="AB614" s="4"/>
      <c r="AC614" s="4"/>
      <c r="AD614" s="5"/>
      <c r="AE614" s="6"/>
      <c r="AF614" s="6"/>
      <c r="AG614" s="6"/>
      <c r="AH614" s="6"/>
    </row>
    <row r="615" spans="1:34" ht="12.75" customHeight="1" x14ac:dyDescent="0.3">
      <c r="A615" s="2"/>
      <c r="B615" s="2"/>
      <c r="C615" s="3"/>
      <c r="D615" s="3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4"/>
      <c r="AA615" s="4"/>
      <c r="AB615" s="4"/>
      <c r="AC615" s="4"/>
      <c r="AD615" s="5"/>
      <c r="AE615" s="6"/>
      <c r="AF615" s="6"/>
      <c r="AG615" s="6"/>
      <c r="AH615" s="6"/>
    </row>
    <row r="616" spans="1:34" ht="12.75" customHeight="1" x14ac:dyDescent="0.3">
      <c r="A616" s="2"/>
      <c r="B616" s="2"/>
      <c r="C616" s="3"/>
      <c r="D616" s="3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4"/>
      <c r="AA616" s="4"/>
      <c r="AB616" s="4"/>
      <c r="AC616" s="4"/>
      <c r="AD616" s="5"/>
      <c r="AE616" s="6"/>
      <c r="AF616" s="6"/>
      <c r="AG616" s="6"/>
      <c r="AH616" s="6"/>
    </row>
    <row r="617" spans="1:34" ht="12.75" customHeight="1" x14ac:dyDescent="0.3">
      <c r="A617" s="2"/>
      <c r="B617" s="2"/>
      <c r="C617" s="3"/>
      <c r="D617" s="3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4"/>
      <c r="AA617" s="4"/>
      <c r="AB617" s="4"/>
      <c r="AC617" s="4"/>
      <c r="AD617" s="5"/>
      <c r="AE617" s="6"/>
      <c r="AF617" s="6"/>
      <c r="AG617" s="6"/>
      <c r="AH617" s="6"/>
    </row>
    <row r="618" spans="1:34" ht="12.75" customHeight="1" x14ac:dyDescent="0.3">
      <c r="A618" s="2"/>
      <c r="B618" s="2"/>
      <c r="C618" s="3"/>
      <c r="D618" s="3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4"/>
      <c r="AA618" s="4"/>
      <c r="AB618" s="4"/>
      <c r="AC618" s="4"/>
      <c r="AD618" s="5"/>
      <c r="AE618" s="6"/>
      <c r="AF618" s="6"/>
      <c r="AG618" s="6"/>
      <c r="AH618" s="6"/>
    </row>
    <row r="619" spans="1:34" ht="12.75" customHeight="1" x14ac:dyDescent="0.3">
      <c r="A619" s="2"/>
      <c r="B619" s="2"/>
      <c r="C619" s="3"/>
      <c r="D619" s="3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4"/>
      <c r="AA619" s="4"/>
      <c r="AB619" s="4"/>
      <c r="AC619" s="4"/>
      <c r="AD619" s="5"/>
      <c r="AE619" s="6"/>
      <c r="AF619" s="6"/>
      <c r="AG619" s="6"/>
      <c r="AH619" s="6"/>
    </row>
    <row r="620" spans="1:34" ht="12.75" customHeight="1" x14ac:dyDescent="0.3">
      <c r="A620" s="2"/>
      <c r="B620" s="2"/>
      <c r="C620" s="3"/>
      <c r="D620" s="3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4"/>
      <c r="AA620" s="4"/>
      <c r="AB620" s="4"/>
      <c r="AC620" s="4"/>
      <c r="AD620" s="5"/>
      <c r="AE620" s="6"/>
      <c r="AF620" s="6"/>
      <c r="AG620" s="6"/>
      <c r="AH620" s="6"/>
    </row>
    <row r="621" spans="1:34" ht="12.75" customHeight="1" x14ac:dyDescent="0.3">
      <c r="A621" s="2"/>
      <c r="B621" s="2"/>
      <c r="C621" s="3"/>
      <c r="D621" s="3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4"/>
      <c r="AA621" s="4"/>
      <c r="AB621" s="4"/>
      <c r="AC621" s="4"/>
      <c r="AD621" s="5"/>
      <c r="AE621" s="6"/>
      <c r="AF621" s="6"/>
      <c r="AG621" s="6"/>
      <c r="AH621" s="6"/>
    </row>
    <row r="622" spans="1:34" ht="12.75" customHeight="1" x14ac:dyDescent="0.3">
      <c r="A622" s="2"/>
      <c r="B622" s="2"/>
      <c r="C622" s="3"/>
      <c r="D622" s="3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4"/>
      <c r="AA622" s="4"/>
      <c r="AB622" s="4"/>
      <c r="AC622" s="4"/>
      <c r="AD622" s="5"/>
      <c r="AE622" s="6"/>
      <c r="AF622" s="6"/>
      <c r="AG622" s="6"/>
      <c r="AH622" s="6"/>
    </row>
    <row r="623" spans="1:34" ht="12.75" customHeight="1" x14ac:dyDescent="0.3">
      <c r="A623" s="2"/>
      <c r="B623" s="2"/>
      <c r="C623" s="3"/>
      <c r="D623" s="3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4"/>
      <c r="AA623" s="4"/>
      <c r="AB623" s="4"/>
      <c r="AC623" s="4"/>
      <c r="AD623" s="5"/>
      <c r="AE623" s="6"/>
      <c r="AF623" s="6"/>
      <c r="AG623" s="6"/>
      <c r="AH623" s="6"/>
    </row>
    <row r="624" spans="1:34" ht="12.75" customHeight="1" x14ac:dyDescent="0.3">
      <c r="A624" s="2"/>
      <c r="B624" s="2"/>
      <c r="C624" s="3"/>
      <c r="D624" s="3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4"/>
      <c r="AA624" s="4"/>
      <c r="AB624" s="4"/>
      <c r="AC624" s="4"/>
      <c r="AD624" s="5"/>
      <c r="AE624" s="6"/>
      <c r="AF624" s="6"/>
      <c r="AG624" s="6"/>
      <c r="AH624" s="6"/>
    </row>
    <row r="625" spans="1:34" ht="12.75" customHeight="1" x14ac:dyDescent="0.3">
      <c r="A625" s="2"/>
      <c r="B625" s="2"/>
      <c r="C625" s="3"/>
      <c r="D625" s="3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4"/>
      <c r="AA625" s="4"/>
      <c r="AB625" s="4"/>
      <c r="AC625" s="4"/>
      <c r="AD625" s="5"/>
      <c r="AE625" s="6"/>
      <c r="AF625" s="6"/>
      <c r="AG625" s="6"/>
      <c r="AH625" s="6"/>
    </row>
    <row r="626" spans="1:34" ht="12.75" customHeight="1" x14ac:dyDescent="0.3">
      <c r="A626" s="2"/>
      <c r="B626" s="2"/>
      <c r="C626" s="3"/>
      <c r="D626" s="3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4"/>
      <c r="AA626" s="4"/>
      <c r="AB626" s="4"/>
      <c r="AC626" s="4"/>
      <c r="AD626" s="5"/>
      <c r="AE626" s="6"/>
      <c r="AF626" s="6"/>
      <c r="AG626" s="6"/>
      <c r="AH626" s="6"/>
    </row>
    <row r="627" spans="1:34" ht="12.75" customHeight="1" x14ac:dyDescent="0.3">
      <c r="A627" s="2"/>
      <c r="B627" s="2"/>
      <c r="C627" s="3"/>
      <c r="D627" s="3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4"/>
      <c r="AA627" s="4"/>
      <c r="AB627" s="4"/>
      <c r="AC627" s="4"/>
      <c r="AD627" s="5"/>
      <c r="AE627" s="6"/>
      <c r="AF627" s="6"/>
      <c r="AG627" s="6"/>
      <c r="AH627" s="6"/>
    </row>
    <row r="628" spans="1:34" ht="12.75" customHeight="1" x14ac:dyDescent="0.3">
      <c r="A628" s="2"/>
      <c r="B628" s="2"/>
      <c r="C628" s="3"/>
      <c r="D628" s="3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4"/>
      <c r="AA628" s="4"/>
      <c r="AB628" s="4"/>
      <c r="AC628" s="4"/>
      <c r="AD628" s="5"/>
      <c r="AE628" s="6"/>
      <c r="AF628" s="6"/>
      <c r="AG628" s="6"/>
      <c r="AH628" s="6"/>
    </row>
    <row r="629" spans="1:34" ht="12.75" customHeight="1" x14ac:dyDescent="0.3">
      <c r="A629" s="2"/>
      <c r="B629" s="2"/>
      <c r="C629" s="3"/>
      <c r="D629" s="3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4"/>
      <c r="AA629" s="4"/>
      <c r="AB629" s="4"/>
      <c r="AC629" s="4"/>
      <c r="AD629" s="5"/>
      <c r="AE629" s="6"/>
      <c r="AF629" s="6"/>
      <c r="AG629" s="6"/>
      <c r="AH629" s="6"/>
    </row>
    <row r="630" spans="1:34" ht="12.75" customHeight="1" x14ac:dyDescent="0.3">
      <c r="A630" s="2"/>
      <c r="B630" s="2"/>
      <c r="C630" s="3"/>
      <c r="D630" s="3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4"/>
      <c r="AA630" s="4"/>
      <c r="AB630" s="4"/>
      <c r="AC630" s="4"/>
      <c r="AD630" s="5"/>
      <c r="AE630" s="6"/>
      <c r="AF630" s="6"/>
      <c r="AG630" s="6"/>
      <c r="AH630" s="6"/>
    </row>
    <row r="631" spans="1:34" ht="12.75" customHeight="1" x14ac:dyDescent="0.3">
      <c r="A631" s="2"/>
      <c r="B631" s="2"/>
      <c r="C631" s="3"/>
      <c r="D631" s="3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4"/>
      <c r="AA631" s="4"/>
      <c r="AB631" s="4"/>
      <c r="AC631" s="4"/>
      <c r="AD631" s="5"/>
      <c r="AE631" s="6"/>
      <c r="AF631" s="6"/>
      <c r="AG631" s="6"/>
      <c r="AH631" s="6"/>
    </row>
    <row r="632" spans="1:34" ht="12.75" customHeight="1" x14ac:dyDescent="0.3">
      <c r="A632" s="2"/>
      <c r="B632" s="2"/>
      <c r="C632" s="3"/>
      <c r="D632" s="3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4"/>
      <c r="AA632" s="4"/>
      <c r="AB632" s="4"/>
      <c r="AC632" s="4"/>
      <c r="AD632" s="5"/>
      <c r="AE632" s="6"/>
      <c r="AF632" s="6"/>
      <c r="AG632" s="6"/>
      <c r="AH632" s="6"/>
    </row>
    <row r="633" spans="1:34" ht="12.75" customHeight="1" x14ac:dyDescent="0.3">
      <c r="A633" s="2"/>
      <c r="B633" s="2"/>
      <c r="C633" s="3"/>
      <c r="D633" s="3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4"/>
      <c r="AA633" s="4"/>
      <c r="AB633" s="4"/>
      <c r="AC633" s="4"/>
      <c r="AD633" s="5"/>
      <c r="AE633" s="6"/>
      <c r="AF633" s="6"/>
      <c r="AG633" s="6"/>
      <c r="AH633" s="6"/>
    </row>
    <row r="634" spans="1:34" ht="12.75" customHeight="1" x14ac:dyDescent="0.3">
      <c r="A634" s="2"/>
      <c r="B634" s="2"/>
      <c r="C634" s="3"/>
      <c r="D634" s="3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4"/>
      <c r="AA634" s="4"/>
      <c r="AB634" s="4"/>
      <c r="AC634" s="4"/>
      <c r="AD634" s="5"/>
      <c r="AE634" s="6"/>
      <c r="AF634" s="6"/>
      <c r="AG634" s="6"/>
      <c r="AH634" s="6"/>
    </row>
    <row r="635" spans="1:34" ht="12.75" customHeight="1" x14ac:dyDescent="0.3">
      <c r="A635" s="2"/>
      <c r="B635" s="2"/>
      <c r="C635" s="3"/>
      <c r="D635" s="3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4"/>
      <c r="AA635" s="4"/>
      <c r="AB635" s="4"/>
      <c r="AC635" s="4"/>
      <c r="AD635" s="5"/>
      <c r="AE635" s="6"/>
      <c r="AF635" s="6"/>
      <c r="AG635" s="6"/>
      <c r="AH635" s="6"/>
    </row>
    <row r="636" spans="1:34" ht="12.75" customHeight="1" x14ac:dyDescent="0.3">
      <c r="A636" s="2"/>
      <c r="B636" s="2"/>
      <c r="C636" s="3"/>
      <c r="D636" s="3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4"/>
      <c r="AA636" s="4"/>
      <c r="AB636" s="4"/>
      <c r="AC636" s="4"/>
      <c r="AD636" s="5"/>
      <c r="AE636" s="6"/>
      <c r="AF636" s="6"/>
      <c r="AG636" s="6"/>
      <c r="AH636" s="6"/>
    </row>
    <row r="637" spans="1:34" ht="12.75" customHeight="1" x14ac:dyDescent="0.3">
      <c r="A637" s="2"/>
      <c r="B637" s="2"/>
      <c r="C637" s="3"/>
      <c r="D637" s="3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4"/>
      <c r="AA637" s="4"/>
      <c r="AB637" s="4"/>
      <c r="AC637" s="4"/>
      <c r="AD637" s="5"/>
      <c r="AE637" s="6"/>
      <c r="AF637" s="6"/>
      <c r="AG637" s="6"/>
      <c r="AH637" s="6"/>
    </row>
    <row r="638" spans="1:34" ht="12.75" customHeight="1" x14ac:dyDescent="0.3">
      <c r="A638" s="2"/>
      <c r="B638" s="2"/>
      <c r="C638" s="3"/>
      <c r="D638" s="3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4"/>
      <c r="AA638" s="4"/>
      <c r="AB638" s="4"/>
      <c r="AC638" s="4"/>
      <c r="AD638" s="5"/>
      <c r="AE638" s="6"/>
      <c r="AF638" s="6"/>
      <c r="AG638" s="6"/>
      <c r="AH638" s="6"/>
    </row>
    <row r="639" spans="1:34" ht="12.75" customHeight="1" x14ac:dyDescent="0.3">
      <c r="A639" s="2"/>
      <c r="B639" s="2"/>
      <c r="C639" s="3"/>
      <c r="D639" s="3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4"/>
      <c r="AA639" s="4"/>
      <c r="AB639" s="4"/>
      <c r="AC639" s="4"/>
      <c r="AD639" s="5"/>
      <c r="AE639" s="6"/>
      <c r="AF639" s="6"/>
      <c r="AG639" s="6"/>
      <c r="AH639" s="6"/>
    </row>
    <row r="640" spans="1:34" ht="12.75" customHeight="1" x14ac:dyDescent="0.3">
      <c r="A640" s="2"/>
      <c r="B640" s="2"/>
      <c r="C640" s="3"/>
      <c r="D640" s="3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4"/>
      <c r="AA640" s="4"/>
      <c r="AB640" s="4"/>
      <c r="AC640" s="4"/>
      <c r="AD640" s="5"/>
      <c r="AE640" s="6"/>
      <c r="AF640" s="6"/>
      <c r="AG640" s="6"/>
      <c r="AH640" s="6"/>
    </row>
    <row r="641" spans="1:34" ht="12.75" customHeight="1" x14ac:dyDescent="0.3">
      <c r="A641" s="2"/>
      <c r="B641" s="2"/>
      <c r="C641" s="3"/>
      <c r="D641" s="3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4"/>
      <c r="AA641" s="4"/>
      <c r="AB641" s="4"/>
      <c r="AC641" s="4"/>
      <c r="AD641" s="5"/>
      <c r="AE641" s="6"/>
      <c r="AF641" s="6"/>
      <c r="AG641" s="6"/>
      <c r="AH641" s="6"/>
    </row>
    <row r="642" spans="1:34" ht="12.75" customHeight="1" x14ac:dyDescent="0.3">
      <c r="A642" s="2"/>
      <c r="B642" s="2"/>
      <c r="C642" s="3"/>
      <c r="D642" s="3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4"/>
      <c r="AA642" s="4"/>
      <c r="AB642" s="4"/>
      <c r="AC642" s="4"/>
      <c r="AD642" s="5"/>
      <c r="AE642" s="6"/>
      <c r="AF642" s="6"/>
      <c r="AG642" s="6"/>
      <c r="AH642" s="6"/>
    </row>
    <row r="643" spans="1:34" ht="12.75" customHeight="1" x14ac:dyDescent="0.3">
      <c r="A643" s="2"/>
      <c r="B643" s="2"/>
      <c r="C643" s="3"/>
      <c r="D643" s="3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4"/>
      <c r="AA643" s="4"/>
      <c r="AB643" s="4"/>
      <c r="AC643" s="4"/>
      <c r="AD643" s="5"/>
      <c r="AE643" s="6"/>
      <c r="AF643" s="6"/>
      <c r="AG643" s="6"/>
      <c r="AH643" s="6"/>
    </row>
    <row r="644" spans="1:34" ht="12.75" customHeight="1" x14ac:dyDescent="0.3">
      <c r="A644" s="2"/>
      <c r="B644" s="2"/>
      <c r="C644" s="3"/>
      <c r="D644" s="3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4"/>
      <c r="AA644" s="4"/>
      <c r="AB644" s="4"/>
      <c r="AC644" s="4"/>
      <c r="AD644" s="5"/>
      <c r="AE644" s="6"/>
      <c r="AF644" s="6"/>
      <c r="AG644" s="6"/>
      <c r="AH644" s="6"/>
    </row>
    <row r="645" spans="1:34" ht="12.75" customHeight="1" x14ac:dyDescent="0.3">
      <c r="A645" s="2"/>
      <c r="B645" s="2"/>
      <c r="C645" s="3"/>
      <c r="D645" s="3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4"/>
      <c r="AA645" s="4"/>
      <c r="AB645" s="4"/>
      <c r="AC645" s="4"/>
      <c r="AD645" s="5"/>
      <c r="AE645" s="6"/>
      <c r="AF645" s="6"/>
      <c r="AG645" s="6"/>
      <c r="AH645" s="6"/>
    </row>
    <row r="646" spans="1:34" ht="12.75" customHeight="1" x14ac:dyDescent="0.3">
      <c r="A646" s="2"/>
      <c r="B646" s="2"/>
      <c r="C646" s="3"/>
      <c r="D646" s="3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4"/>
      <c r="AA646" s="4"/>
      <c r="AB646" s="4"/>
      <c r="AC646" s="4"/>
      <c r="AD646" s="5"/>
      <c r="AE646" s="6"/>
      <c r="AF646" s="6"/>
      <c r="AG646" s="6"/>
      <c r="AH646" s="6"/>
    </row>
    <row r="647" spans="1:34" ht="12.75" customHeight="1" x14ac:dyDescent="0.3">
      <c r="A647" s="2"/>
      <c r="B647" s="2"/>
      <c r="C647" s="3"/>
      <c r="D647" s="3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4"/>
      <c r="AA647" s="4"/>
      <c r="AB647" s="4"/>
      <c r="AC647" s="4"/>
      <c r="AD647" s="5"/>
      <c r="AE647" s="6"/>
      <c r="AF647" s="6"/>
      <c r="AG647" s="6"/>
      <c r="AH647" s="6"/>
    </row>
    <row r="648" spans="1:34" ht="12.75" customHeight="1" x14ac:dyDescent="0.3">
      <c r="A648" s="2"/>
      <c r="B648" s="2"/>
      <c r="C648" s="3"/>
      <c r="D648" s="3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4"/>
      <c r="AA648" s="4"/>
      <c r="AB648" s="4"/>
      <c r="AC648" s="4"/>
      <c r="AD648" s="5"/>
      <c r="AE648" s="6"/>
      <c r="AF648" s="6"/>
      <c r="AG648" s="6"/>
      <c r="AH648" s="6"/>
    </row>
    <row r="649" spans="1:34" ht="12.75" customHeight="1" x14ac:dyDescent="0.3">
      <c r="A649" s="2"/>
      <c r="B649" s="2"/>
      <c r="C649" s="3"/>
      <c r="D649" s="3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4"/>
      <c r="AA649" s="4"/>
      <c r="AB649" s="4"/>
      <c r="AC649" s="4"/>
      <c r="AD649" s="5"/>
      <c r="AE649" s="6"/>
      <c r="AF649" s="6"/>
      <c r="AG649" s="6"/>
      <c r="AH649" s="6"/>
    </row>
    <row r="650" spans="1:34" ht="12.75" customHeight="1" x14ac:dyDescent="0.3">
      <c r="A650" s="2"/>
      <c r="B650" s="2"/>
      <c r="C650" s="3"/>
      <c r="D650" s="3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4"/>
      <c r="AA650" s="4"/>
      <c r="AB650" s="4"/>
      <c r="AC650" s="4"/>
      <c r="AD650" s="5"/>
      <c r="AE650" s="6"/>
      <c r="AF650" s="6"/>
      <c r="AG650" s="6"/>
      <c r="AH650" s="6"/>
    </row>
    <row r="651" spans="1:34" ht="12.75" customHeight="1" x14ac:dyDescent="0.3">
      <c r="A651" s="2"/>
      <c r="B651" s="2"/>
      <c r="C651" s="3"/>
      <c r="D651" s="3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4"/>
      <c r="AA651" s="4"/>
      <c r="AB651" s="4"/>
      <c r="AC651" s="4"/>
      <c r="AD651" s="5"/>
      <c r="AE651" s="6"/>
      <c r="AF651" s="6"/>
      <c r="AG651" s="6"/>
      <c r="AH651" s="6"/>
    </row>
    <row r="652" spans="1:34" ht="12.75" customHeight="1" x14ac:dyDescent="0.3">
      <c r="A652" s="2"/>
      <c r="B652" s="2"/>
      <c r="C652" s="3"/>
      <c r="D652" s="3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4"/>
      <c r="AA652" s="4"/>
      <c r="AB652" s="4"/>
      <c r="AC652" s="4"/>
      <c r="AD652" s="5"/>
      <c r="AE652" s="6"/>
      <c r="AF652" s="6"/>
      <c r="AG652" s="6"/>
      <c r="AH652" s="6"/>
    </row>
    <row r="653" spans="1:34" ht="12.75" customHeight="1" x14ac:dyDescent="0.3">
      <c r="A653" s="2"/>
      <c r="B653" s="2"/>
      <c r="C653" s="3"/>
      <c r="D653" s="3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4"/>
      <c r="AA653" s="4"/>
      <c r="AB653" s="4"/>
      <c r="AC653" s="4"/>
      <c r="AD653" s="5"/>
      <c r="AE653" s="6"/>
      <c r="AF653" s="6"/>
      <c r="AG653" s="6"/>
      <c r="AH653" s="6"/>
    </row>
    <row r="654" spans="1:34" ht="12.75" customHeight="1" x14ac:dyDescent="0.3">
      <c r="A654" s="2"/>
      <c r="B654" s="2"/>
      <c r="C654" s="3"/>
      <c r="D654" s="3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4"/>
      <c r="AA654" s="4"/>
      <c r="AB654" s="4"/>
      <c r="AC654" s="4"/>
      <c r="AD654" s="5"/>
      <c r="AE654" s="6"/>
      <c r="AF654" s="6"/>
      <c r="AG654" s="6"/>
      <c r="AH654" s="6"/>
    </row>
    <row r="655" spans="1:34" ht="12.75" customHeight="1" x14ac:dyDescent="0.3">
      <c r="A655" s="2"/>
      <c r="B655" s="2"/>
      <c r="C655" s="3"/>
      <c r="D655" s="3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4"/>
      <c r="AA655" s="4"/>
      <c r="AB655" s="4"/>
      <c r="AC655" s="4"/>
      <c r="AD655" s="5"/>
      <c r="AE655" s="6"/>
      <c r="AF655" s="6"/>
      <c r="AG655" s="6"/>
      <c r="AH655" s="6"/>
    </row>
    <row r="656" spans="1:34" ht="12.75" customHeight="1" x14ac:dyDescent="0.3">
      <c r="A656" s="2"/>
      <c r="B656" s="2"/>
      <c r="C656" s="3"/>
      <c r="D656" s="3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4"/>
      <c r="AA656" s="4"/>
      <c r="AB656" s="4"/>
      <c r="AC656" s="4"/>
      <c r="AD656" s="5"/>
      <c r="AE656" s="6"/>
      <c r="AF656" s="6"/>
      <c r="AG656" s="6"/>
      <c r="AH656" s="6"/>
    </row>
    <row r="657" spans="1:34" ht="12.75" customHeight="1" x14ac:dyDescent="0.3">
      <c r="A657" s="2"/>
      <c r="B657" s="2"/>
      <c r="C657" s="3"/>
      <c r="D657" s="3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4"/>
      <c r="AA657" s="4"/>
      <c r="AB657" s="4"/>
      <c r="AC657" s="4"/>
      <c r="AD657" s="5"/>
      <c r="AE657" s="6"/>
      <c r="AF657" s="6"/>
      <c r="AG657" s="6"/>
      <c r="AH657" s="6"/>
    </row>
    <row r="658" spans="1:34" ht="12.75" customHeight="1" x14ac:dyDescent="0.3">
      <c r="A658" s="2"/>
      <c r="B658" s="2"/>
      <c r="C658" s="3"/>
      <c r="D658" s="3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4"/>
      <c r="AA658" s="4"/>
      <c r="AB658" s="4"/>
      <c r="AC658" s="4"/>
      <c r="AD658" s="5"/>
      <c r="AE658" s="6"/>
      <c r="AF658" s="6"/>
      <c r="AG658" s="6"/>
      <c r="AH658" s="6"/>
    </row>
    <row r="659" spans="1:34" ht="12.75" customHeight="1" x14ac:dyDescent="0.3">
      <c r="A659" s="2"/>
      <c r="B659" s="2"/>
      <c r="C659" s="3"/>
      <c r="D659" s="3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4"/>
      <c r="AA659" s="4"/>
      <c r="AB659" s="4"/>
      <c r="AC659" s="4"/>
      <c r="AD659" s="5"/>
      <c r="AE659" s="6"/>
      <c r="AF659" s="6"/>
      <c r="AG659" s="6"/>
      <c r="AH659" s="6"/>
    </row>
    <row r="660" spans="1:34" ht="12.75" customHeight="1" x14ac:dyDescent="0.3">
      <c r="A660" s="2"/>
      <c r="B660" s="2"/>
      <c r="C660" s="3"/>
      <c r="D660" s="3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4"/>
      <c r="AA660" s="4"/>
      <c r="AB660" s="4"/>
      <c r="AC660" s="4"/>
      <c r="AD660" s="5"/>
      <c r="AE660" s="6"/>
      <c r="AF660" s="6"/>
      <c r="AG660" s="6"/>
      <c r="AH660" s="6"/>
    </row>
    <row r="661" spans="1:34" ht="12.75" customHeight="1" x14ac:dyDescent="0.3">
      <c r="A661" s="2"/>
      <c r="B661" s="2"/>
      <c r="C661" s="3"/>
      <c r="D661" s="3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4"/>
      <c r="AA661" s="4"/>
      <c r="AB661" s="4"/>
      <c r="AC661" s="4"/>
      <c r="AD661" s="5"/>
      <c r="AE661" s="6"/>
      <c r="AF661" s="6"/>
      <c r="AG661" s="6"/>
      <c r="AH661" s="6"/>
    </row>
    <row r="662" spans="1:34" ht="12.75" customHeight="1" x14ac:dyDescent="0.3">
      <c r="A662" s="2"/>
      <c r="B662" s="2"/>
      <c r="C662" s="3"/>
      <c r="D662" s="3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4"/>
      <c r="AA662" s="4"/>
      <c r="AB662" s="4"/>
      <c r="AC662" s="4"/>
      <c r="AD662" s="5"/>
      <c r="AE662" s="6"/>
      <c r="AF662" s="6"/>
      <c r="AG662" s="6"/>
      <c r="AH662" s="6"/>
    </row>
    <row r="663" spans="1:34" ht="12.75" customHeight="1" x14ac:dyDescent="0.3">
      <c r="A663" s="2"/>
      <c r="B663" s="2"/>
      <c r="C663" s="3"/>
      <c r="D663" s="3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4"/>
      <c r="AA663" s="4"/>
      <c r="AB663" s="4"/>
      <c r="AC663" s="4"/>
      <c r="AD663" s="5"/>
      <c r="AE663" s="6"/>
      <c r="AF663" s="6"/>
      <c r="AG663" s="6"/>
      <c r="AH663" s="6"/>
    </row>
    <row r="664" spans="1:34" ht="12.75" customHeight="1" x14ac:dyDescent="0.3">
      <c r="A664" s="2"/>
      <c r="B664" s="2"/>
      <c r="C664" s="3"/>
      <c r="D664" s="3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4"/>
      <c r="AA664" s="4"/>
      <c r="AB664" s="4"/>
      <c r="AC664" s="4"/>
      <c r="AD664" s="5"/>
      <c r="AE664" s="6"/>
      <c r="AF664" s="6"/>
      <c r="AG664" s="6"/>
      <c r="AH664" s="6"/>
    </row>
    <row r="665" spans="1:34" ht="12.75" customHeight="1" x14ac:dyDescent="0.3">
      <c r="A665" s="2"/>
      <c r="B665" s="2"/>
      <c r="C665" s="3"/>
      <c r="D665" s="3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4"/>
      <c r="AA665" s="4"/>
      <c r="AB665" s="4"/>
      <c r="AC665" s="4"/>
      <c r="AD665" s="5"/>
      <c r="AE665" s="6"/>
      <c r="AF665" s="6"/>
      <c r="AG665" s="6"/>
      <c r="AH665" s="6"/>
    </row>
    <row r="666" spans="1:34" ht="12.75" customHeight="1" x14ac:dyDescent="0.3">
      <c r="A666" s="2"/>
      <c r="B666" s="2"/>
      <c r="C666" s="3"/>
      <c r="D666" s="3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4"/>
      <c r="AA666" s="4"/>
      <c r="AB666" s="4"/>
      <c r="AC666" s="4"/>
      <c r="AD666" s="5"/>
      <c r="AE666" s="6"/>
      <c r="AF666" s="6"/>
      <c r="AG666" s="6"/>
      <c r="AH666" s="6"/>
    </row>
    <row r="667" spans="1:34" ht="12.75" customHeight="1" x14ac:dyDescent="0.3">
      <c r="A667" s="2"/>
      <c r="B667" s="2"/>
      <c r="C667" s="3"/>
      <c r="D667" s="3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4"/>
      <c r="AA667" s="4"/>
      <c r="AB667" s="4"/>
      <c r="AC667" s="4"/>
      <c r="AD667" s="5"/>
      <c r="AE667" s="6"/>
      <c r="AF667" s="6"/>
      <c r="AG667" s="6"/>
      <c r="AH667" s="6"/>
    </row>
    <row r="668" spans="1:34" ht="12.75" customHeight="1" x14ac:dyDescent="0.3">
      <c r="A668" s="2"/>
      <c r="B668" s="2"/>
      <c r="C668" s="3"/>
      <c r="D668" s="3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4"/>
      <c r="AA668" s="4"/>
      <c r="AB668" s="4"/>
      <c r="AC668" s="4"/>
      <c r="AD668" s="5"/>
      <c r="AE668" s="6"/>
      <c r="AF668" s="6"/>
      <c r="AG668" s="6"/>
      <c r="AH668" s="6"/>
    </row>
    <row r="669" spans="1:34" ht="12.75" customHeight="1" x14ac:dyDescent="0.3">
      <c r="A669" s="2"/>
      <c r="B669" s="2"/>
      <c r="C669" s="3"/>
      <c r="D669" s="3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4"/>
      <c r="AA669" s="4"/>
      <c r="AB669" s="4"/>
      <c r="AC669" s="4"/>
      <c r="AD669" s="5"/>
      <c r="AE669" s="6"/>
      <c r="AF669" s="6"/>
      <c r="AG669" s="6"/>
      <c r="AH669" s="6"/>
    </row>
    <row r="670" spans="1:34" ht="12.75" customHeight="1" x14ac:dyDescent="0.3">
      <c r="A670" s="2"/>
      <c r="B670" s="2"/>
      <c r="C670" s="3"/>
      <c r="D670" s="3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4"/>
      <c r="AA670" s="4"/>
      <c r="AB670" s="4"/>
      <c r="AC670" s="4"/>
      <c r="AD670" s="5"/>
      <c r="AE670" s="6"/>
      <c r="AF670" s="6"/>
      <c r="AG670" s="6"/>
      <c r="AH670" s="6"/>
    </row>
    <row r="671" spans="1:34" ht="12.75" customHeight="1" x14ac:dyDescent="0.3">
      <c r="A671" s="2"/>
      <c r="B671" s="2"/>
      <c r="C671" s="3"/>
      <c r="D671" s="3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4"/>
      <c r="AA671" s="4"/>
      <c r="AB671" s="4"/>
      <c r="AC671" s="4"/>
      <c r="AD671" s="5"/>
      <c r="AE671" s="6"/>
      <c r="AF671" s="6"/>
      <c r="AG671" s="6"/>
      <c r="AH671" s="6"/>
    </row>
    <row r="672" spans="1:34" ht="12.75" customHeight="1" x14ac:dyDescent="0.3">
      <c r="A672" s="2"/>
      <c r="B672" s="2"/>
      <c r="C672" s="3"/>
      <c r="D672" s="3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4"/>
      <c r="AA672" s="4"/>
      <c r="AB672" s="4"/>
      <c r="AC672" s="4"/>
      <c r="AD672" s="5"/>
      <c r="AE672" s="6"/>
      <c r="AF672" s="6"/>
      <c r="AG672" s="6"/>
      <c r="AH672" s="6"/>
    </row>
    <row r="673" spans="1:34" ht="12.75" customHeight="1" x14ac:dyDescent="0.3">
      <c r="A673" s="2"/>
      <c r="B673" s="2"/>
      <c r="C673" s="3"/>
      <c r="D673" s="3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4"/>
      <c r="AA673" s="4"/>
      <c r="AB673" s="4"/>
      <c r="AC673" s="4"/>
      <c r="AD673" s="5"/>
      <c r="AE673" s="6"/>
      <c r="AF673" s="6"/>
      <c r="AG673" s="6"/>
      <c r="AH673" s="6"/>
    </row>
    <row r="674" spans="1:34" ht="12.75" customHeight="1" x14ac:dyDescent="0.3">
      <c r="A674" s="2"/>
      <c r="B674" s="2"/>
      <c r="C674" s="3"/>
      <c r="D674" s="3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4"/>
      <c r="AA674" s="4"/>
      <c r="AB674" s="4"/>
      <c r="AC674" s="4"/>
      <c r="AD674" s="5"/>
      <c r="AE674" s="6"/>
      <c r="AF674" s="6"/>
      <c r="AG674" s="6"/>
      <c r="AH674" s="6"/>
    </row>
    <row r="675" spans="1:34" ht="12.75" customHeight="1" x14ac:dyDescent="0.3">
      <c r="A675" s="2"/>
      <c r="B675" s="2"/>
      <c r="C675" s="3"/>
      <c r="D675" s="3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4"/>
      <c r="AA675" s="4"/>
      <c r="AB675" s="4"/>
      <c r="AC675" s="4"/>
      <c r="AD675" s="5"/>
      <c r="AE675" s="6"/>
      <c r="AF675" s="6"/>
      <c r="AG675" s="6"/>
      <c r="AH675" s="6"/>
    </row>
    <row r="676" spans="1:34" ht="12.75" customHeight="1" x14ac:dyDescent="0.3">
      <c r="A676" s="2"/>
      <c r="B676" s="2"/>
      <c r="C676" s="3"/>
      <c r="D676" s="3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4"/>
      <c r="AA676" s="4"/>
      <c r="AB676" s="4"/>
      <c r="AC676" s="4"/>
      <c r="AD676" s="5"/>
      <c r="AE676" s="6"/>
      <c r="AF676" s="6"/>
      <c r="AG676" s="6"/>
      <c r="AH676" s="6"/>
    </row>
    <row r="677" spans="1:34" ht="12.75" customHeight="1" x14ac:dyDescent="0.3">
      <c r="A677" s="2"/>
      <c r="B677" s="2"/>
      <c r="C677" s="3"/>
      <c r="D677" s="3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4"/>
      <c r="AA677" s="4"/>
      <c r="AB677" s="4"/>
      <c r="AC677" s="4"/>
      <c r="AD677" s="5"/>
      <c r="AE677" s="6"/>
      <c r="AF677" s="6"/>
      <c r="AG677" s="6"/>
      <c r="AH677" s="6"/>
    </row>
    <row r="678" spans="1:34" ht="12.75" customHeight="1" x14ac:dyDescent="0.3">
      <c r="A678" s="2"/>
      <c r="B678" s="2"/>
      <c r="C678" s="3"/>
      <c r="D678" s="3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4"/>
      <c r="AA678" s="4"/>
      <c r="AB678" s="4"/>
      <c r="AC678" s="4"/>
      <c r="AD678" s="5"/>
      <c r="AE678" s="6"/>
      <c r="AF678" s="6"/>
      <c r="AG678" s="6"/>
      <c r="AH678" s="6"/>
    </row>
    <row r="679" spans="1:34" ht="12.75" customHeight="1" x14ac:dyDescent="0.3">
      <c r="A679" s="2"/>
      <c r="B679" s="2"/>
      <c r="C679" s="3"/>
      <c r="D679" s="3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4"/>
      <c r="AA679" s="4"/>
      <c r="AB679" s="4"/>
      <c r="AC679" s="4"/>
      <c r="AD679" s="5"/>
      <c r="AE679" s="6"/>
      <c r="AF679" s="6"/>
      <c r="AG679" s="6"/>
      <c r="AH679" s="6"/>
    </row>
    <row r="680" spans="1:34" ht="12.75" customHeight="1" x14ac:dyDescent="0.3">
      <c r="A680" s="2"/>
      <c r="B680" s="2"/>
      <c r="C680" s="3"/>
      <c r="D680" s="3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4"/>
      <c r="AA680" s="4"/>
      <c r="AB680" s="4"/>
      <c r="AC680" s="4"/>
      <c r="AD680" s="5"/>
      <c r="AE680" s="6"/>
      <c r="AF680" s="6"/>
      <c r="AG680" s="6"/>
      <c r="AH680" s="6"/>
    </row>
    <row r="681" spans="1:34" ht="12.75" customHeight="1" x14ac:dyDescent="0.3">
      <c r="A681" s="2"/>
      <c r="B681" s="2"/>
      <c r="C681" s="3"/>
      <c r="D681" s="3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4"/>
      <c r="AA681" s="4"/>
      <c r="AB681" s="4"/>
      <c r="AC681" s="4"/>
      <c r="AD681" s="5"/>
      <c r="AE681" s="6"/>
      <c r="AF681" s="6"/>
      <c r="AG681" s="6"/>
      <c r="AH681" s="6"/>
    </row>
    <row r="682" spans="1:34" ht="12.75" customHeight="1" x14ac:dyDescent="0.3">
      <c r="A682" s="2"/>
      <c r="B682" s="2"/>
      <c r="C682" s="3"/>
      <c r="D682" s="3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4"/>
      <c r="AA682" s="4"/>
      <c r="AB682" s="4"/>
      <c r="AC682" s="4"/>
      <c r="AD682" s="5"/>
      <c r="AE682" s="6"/>
      <c r="AF682" s="6"/>
      <c r="AG682" s="6"/>
      <c r="AH682" s="6"/>
    </row>
    <row r="683" spans="1:34" ht="12.75" customHeight="1" x14ac:dyDescent="0.3">
      <c r="A683" s="2"/>
      <c r="B683" s="2"/>
      <c r="C683" s="3"/>
      <c r="D683" s="3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4"/>
      <c r="AA683" s="4"/>
      <c r="AB683" s="4"/>
      <c r="AC683" s="4"/>
      <c r="AD683" s="5"/>
      <c r="AE683" s="6"/>
      <c r="AF683" s="6"/>
      <c r="AG683" s="6"/>
      <c r="AH683" s="6"/>
    </row>
    <row r="684" spans="1:34" ht="12.75" customHeight="1" x14ac:dyDescent="0.3">
      <c r="A684" s="2"/>
      <c r="B684" s="2"/>
      <c r="C684" s="3"/>
      <c r="D684" s="3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4"/>
      <c r="AA684" s="4"/>
      <c r="AB684" s="4"/>
      <c r="AC684" s="4"/>
      <c r="AD684" s="5"/>
      <c r="AE684" s="6"/>
      <c r="AF684" s="6"/>
      <c r="AG684" s="6"/>
      <c r="AH684" s="6"/>
    </row>
    <row r="685" spans="1:34" ht="12.75" customHeight="1" x14ac:dyDescent="0.3">
      <c r="A685" s="2"/>
      <c r="B685" s="2"/>
      <c r="C685" s="3"/>
      <c r="D685" s="3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4"/>
      <c r="AA685" s="4"/>
      <c r="AB685" s="4"/>
      <c r="AC685" s="4"/>
      <c r="AD685" s="5"/>
      <c r="AE685" s="6"/>
      <c r="AF685" s="6"/>
      <c r="AG685" s="6"/>
      <c r="AH685" s="6"/>
    </row>
    <row r="686" spans="1:34" ht="12.75" customHeight="1" x14ac:dyDescent="0.3">
      <c r="A686" s="2"/>
      <c r="B686" s="2"/>
      <c r="C686" s="3"/>
      <c r="D686" s="3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4"/>
      <c r="AA686" s="4"/>
      <c r="AB686" s="4"/>
      <c r="AC686" s="4"/>
      <c r="AD686" s="5"/>
      <c r="AE686" s="6"/>
      <c r="AF686" s="6"/>
      <c r="AG686" s="6"/>
      <c r="AH686" s="6"/>
    </row>
    <row r="687" spans="1:34" ht="12.75" customHeight="1" x14ac:dyDescent="0.3">
      <c r="A687" s="2"/>
      <c r="B687" s="2"/>
      <c r="C687" s="3"/>
      <c r="D687" s="3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4"/>
      <c r="AA687" s="4"/>
      <c r="AB687" s="4"/>
      <c r="AC687" s="4"/>
      <c r="AD687" s="5"/>
      <c r="AE687" s="6"/>
      <c r="AF687" s="6"/>
      <c r="AG687" s="6"/>
      <c r="AH687" s="6"/>
    </row>
    <row r="688" spans="1:34" ht="12.75" customHeight="1" x14ac:dyDescent="0.3">
      <c r="A688" s="2"/>
      <c r="B688" s="2"/>
      <c r="C688" s="3"/>
      <c r="D688" s="3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4"/>
      <c r="AA688" s="4"/>
      <c r="AB688" s="4"/>
      <c r="AC688" s="4"/>
      <c r="AD688" s="5"/>
      <c r="AE688" s="6"/>
      <c r="AF688" s="6"/>
      <c r="AG688" s="6"/>
      <c r="AH688" s="6"/>
    </row>
    <row r="689" spans="1:34" ht="12.75" customHeight="1" x14ac:dyDescent="0.3">
      <c r="A689" s="2"/>
      <c r="B689" s="2"/>
      <c r="C689" s="3"/>
      <c r="D689" s="3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4"/>
      <c r="AA689" s="4"/>
      <c r="AB689" s="4"/>
      <c r="AC689" s="4"/>
      <c r="AD689" s="5"/>
      <c r="AE689" s="6"/>
      <c r="AF689" s="6"/>
      <c r="AG689" s="6"/>
      <c r="AH689" s="6"/>
    </row>
    <row r="690" spans="1:34" ht="12.75" customHeight="1" x14ac:dyDescent="0.3">
      <c r="A690" s="2"/>
      <c r="B690" s="2"/>
      <c r="C690" s="3"/>
      <c r="D690" s="3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4"/>
      <c r="AA690" s="4"/>
      <c r="AB690" s="4"/>
      <c r="AC690" s="4"/>
      <c r="AD690" s="5"/>
      <c r="AE690" s="6"/>
      <c r="AF690" s="6"/>
      <c r="AG690" s="6"/>
      <c r="AH690" s="6"/>
    </row>
    <row r="691" spans="1:34" ht="12.75" customHeight="1" x14ac:dyDescent="0.3">
      <c r="A691" s="2"/>
      <c r="B691" s="2"/>
      <c r="C691" s="3"/>
      <c r="D691" s="3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4"/>
      <c r="AA691" s="4"/>
      <c r="AB691" s="4"/>
      <c r="AC691" s="4"/>
      <c r="AD691" s="5"/>
      <c r="AE691" s="6"/>
      <c r="AF691" s="6"/>
      <c r="AG691" s="6"/>
      <c r="AH691" s="6"/>
    </row>
    <row r="692" spans="1:34" ht="12.75" customHeight="1" x14ac:dyDescent="0.3">
      <c r="A692" s="2"/>
      <c r="B692" s="2"/>
      <c r="C692" s="3"/>
      <c r="D692" s="3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4"/>
      <c r="AA692" s="4"/>
      <c r="AB692" s="4"/>
      <c r="AC692" s="4"/>
      <c r="AD692" s="5"/>
      <c r="AE692" s="6"/>
      <c r="AF692" s="6"/>
      <c r="AG692" s="6"/>
      <c r="AH692" s="6"/>
    </row>
    <row r="693" spans="1:34" ht="12.75" customHeight="1" x14ac:dyDescent="0.3">
      <c r="A693" s="2"/>
      <c r="B693" s="2"/>
      <c r="C693" s="3"/>
      <c r="D693" s="3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4"/>
      <c r="AA693" s="4"/>
      <c r="AB693" s="4"/>
      <c r="AC693" s="4"/>
      <c r="AD693" s="5"/>
      <c r="AE693" s="6"/>
      <c r="AF693" s="6"/>
      <c r="AG693" s="6"/>
      <c r="AH693" s="6"/>
    </row>
    <row r="694" spans="1:34" ht="12.75" customHeight="1" x14ac:dyDescent="0.3">
      <c r="A694" s="2"/>
      <c r="B694" s="2"/>
      <c r="C694" s="3"/>
      <c r="D694" s="3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4"/>
      <c r="AA694" s="4"/>
      <c r="AB694" s="4"/>
      <c r="AC694" s="4"/>
      <c r="AD694" s="5"/>
      <c r="AE694" s="6"/>
      <c r="AF694" s="6"/>
      <c r="AG694" s="6"/>
      <c r="AH694" s="6"/>
    </row>
    <row r="695" spans="1:34" ht="12.75" customHeight="1" x14ac:dyDescent="0.3">
      <c r="A695" s="2"/>
      <c r="B695" s="2"/>
      <c r="C695" s="3"/>
      <c r="D695" s="3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4"/>
      <c r="AA695" s="4"/>
      <c r="AB695" s="4"/>
      <c r="AC695" s="4"/>
      <c r="AD695" s="5"/>
      <c r="AE695" s="6"/>
      <c r="AF695" s="6"/>
      <c r="AG695" s="6"/>
      <c r="AH695" s="6"/>
    </row>
    <row r="696" spans="1:34" ht="12.75" customHeight="1" x14ac:dyDescent="0.3">
      <c r="A696" s="2"/>
      <c r="B696" s="2"/>
      <c r="C696" s="3"/>
      <c r="D696" s="3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4"/>
      <c r="AA696" s="4"/>
      <c r="AB696" s="4"/>
      <c r="AC696" s="4"/>
      <c r="AD696" s="5"/>
      <c r="AE696" s="6"/>
      <c r="AF696" s="6"/>
      <c r="AG696" s="6"/>
      <c r="AH696" s="6"/>
    </row>
    <row r="697" spans="1:34" ht="12.75" customHeight="1" x14ac:dyDescent="0.3">
      <c r="A697" s="2"/>
      <c r="B697" s="2"/>
      <c r="C697" s="3"/>
      <c r="D697" s="3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4"/>
      <c r="AA697" s="4"/>
      <c r="AB697" s="4"/>
      <c r="AC697" s="4"/>
      <c r="AD697" s="5"/>
      <c r="AE697" s="6"/>
      <c r="AF697" s="6"/>
      <c r="AG697" s="6"/>
      <c r="AH697" s="6"/>
    </row>
    <row r="698" spans="1:34" ht="12.75" customHeight="1" x14ac:dyDescent="0.3">
      <c r="A698" s="2"/>
      <c r="B698" s="2"/>
      <c r="C698" s="3"/>
      <c r="D698" s="3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4"/>
      <c r="AA698" s="4"/>
      <c r="AB698" s="4"/>
      <c r="AC698" s="4"/>
      <c r="AD698" s="5"/>
      <c r="AE698" s="6"/>
      <c r="AF698" s="6"/>
      <c r="AG698" s="6"/>
      <c r="AH698" s="6"/>
    </row>
    <row r="699" spans="1:34" ht="12.75" customHeight="1" x14ac:dyDescent="0.3">
      <c r="A699" s="2"/>
      <c r="B699" s="2"/>
      <c r="C699" s="3"/>
      <c r="D699" s="3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4"/>
      <c r="AA699" s="4"/>
      <c r="AB699" s="4"/>
      <c r="AC699" s="4"/>
      <c r="AD699" s="5"/>
      <c r="AE699" s="6"/>
      <c r="AF699" s="6"/>
      <c r="AG699" s="6"/>
      <c r="AH699" s="6"/>
    </row>
    <row r="700" spans="1:34" ht="12.75" customHeight="1" x14ac:dyDescent="0.3">
      <c r="A700" s="2"/>
      <c r="B700" s="2"/>
      <c r="C700" s="3"/>
      <c r="D700" s="3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4"/>
      <c r="AA700" s="4"/>
      <c r="AB700" s="4"/>
      <c r="AC700" s="4"/>
      <c r="AD700" s="5"/>
      <c r="AE700" s="6"/>
      <c r="AF700" s="6"/>
      <c r="AG700" s="6"/>
      <c r="AH700" s="6"/>
    </row>
    <row r="701" spans="1:34" ht="12.75" customHeight="1" x14ac:dyDescent="0.3">
      <c r="A701" s="2"/>
      <c r="B701" s="2"/>
      <c r="C701" s="3"/>
      <c r="D701" s="3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4"/>
      <c r="AA701" s="4"/>
      <c r="AB701" s="4"/>
      <c r="AC701" s="4"/>
      <c r="AD701" s="5"/>
      <c r="AE701" s="6"/>
      <c r="AF701" s="6"/>
      <c r="AG701" s="6"/>
      <c r="AH701" s="6"/>
    </row>
    <row r="702" spans="1:34" ht="12.75" customHeight="1" x14ac:dyDescent="0.3">
      <c r="A702" s="2"/>
      <c r="B702" s="2"/>
      <c r="C702" s="3"/>
      <c r="D702" s="3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4"/>
      <c r="AA702" s="4"/>
      <c r="AB702" s="4"/>
      <c r="AC702" s="4"/>
      <c r="AD702" s="5"/>
      <c r="AE702" s="6"/>
      <c r="AF702" s="6"/>
      <c r="AG702" s="6"/>
      <c r="AH702" s="6"/>
    </row>
    <row r="703" spans="1:34" ht="12.75" customHeight="1" x14ac:dyDescent="0.3">
      <c r="A703" s="2"/>
      <c r="B703" s="2"/>
      <c r="C703" s="3"/>
      <c r="D703" s="3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4"/>
      <c r="AA703" s="4"/>
      <c r="AB703" s="4"/>
      <c r="AC703" s="4"/>
      <c r="AD703" s="5"/>
      <c r="AE703" s="6"/>
      <c r="AF703" s="6"/>
      <c r="AG703" s="6"/>
      <c r="AH703" s="6"/>
    </row>
    <row r="704" spans="1:34" ht="12.75" customHeight="1" x14ac:dyDescent="0.3">
      <c r="A704" s="2"/>
      <c r="B704" s="2"/>
      <c r="C704" s="3"/>
      <c r="D704" s="3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4"/>
      <c r="AA704" s="4"/>
      <c r="AB704" s="4"/>
      <c r="AC704" s="4"/>
      <c r="AD704" s="5"/>
      <c r="AE704" s="6"/>
      <c r="AF704" s="6"/>
      <c r="AG704" s="6"/>
      <c r="AH704" s="6"/>
    </row>
    <row r="705" spans="1:34" ht="12.75" customHeight="1" x14ac:dyDescent="0.3">
      <c r="A705" s="2"/>
      <c r="B705" s="2"/>
      <c r="C705" s="3"/>
      <c r="D705" s="3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4"/>
      <c r="AA705" s="4"/>
      <c r="AB705" s="4"/>
      <c r="AC705" s="4"/>
      <c r="AD705" s="5"/>
      <c r="AE705" s="6"/>
      <c r="AF705" s="6"/>
      <c r="AG705" s="6"/>
      <c r="AH705" s="6"/>
    </row>
    <row r="706" spans="1:34" ht="12.75" customHeight="1" x14ac:dyDescent="0.3">
      <c r="A706" s="2"/>
      <c r="B706" s="2"/>
      <c r="C706" s="3"/>
      <c r="D706" s="3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4"/>
      <c r="AA706" s="4"/>
      <c r="AB706" s="4"/>
      <c r="AC706" s="4"/>
      <c r="AD706" s="5"/>
      <c r="AE706" s="6"/>
      <c r="AF706" s="6"/>
      <c r="AG706" s="6"/>
      <c r="AH706" s="6"/>
    </row>
    <row r="707" spans="1:34" ht="12.75" customHeight="1" x14ac:dyDescent="0.3">
      <c r="A707" s="2"/>
      <c r="B707" s="2"/>
      <c r="C707" s="3"/>
      <c r="D707" s="3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4"/>
      <c r="AA707" s="4"/>
      <c r="AB707" s="4"/>
      <c r="AC707" s="4"/>
      <c r="AD707" s="5"/>
      <c r="AE707" s="6"/>
      <c r="AF707" s="6"/>
      <c r="AG707" s="6"/>
      <c r="AH707" s="6"/>
    </row>
    <row r="708" spans="1:34" ht="12.75" customHeight="1" x14ac:dyDescent="0.3">
      <c r="A708" s="2"/>
      <c r="B708" s="2"/>
      <c r="C708" s="3"/>
      <c r="D708" s="3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4"/>
      <c r="AA708" s="4"/>
      <c r="AB708" s="4"/>
      <c r="AC708" s="4"/>
      <c r="AD708" s="5"/>
      <c r="AE708" s="6"/>
      <c r="AF708" s="6"/>
      <c r="AG708" s="6"/>
      <c r="AH708" s="6"/>
    </row>
    <row r="709" spans="1:34" ht="12.75" customHeight="1" x14ac:dyDescent="0.3">
      <c r="A709" s="2"/>
      <c r="B709" s="2"/>
      <c r="C709" s="3"/>
      <c r="D709" s="3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4"/>
      <c r="AA709" s="4"/>
      <c r="AB709" s="4"/>
      <c r="AC709" s="4"/>
      <c r="AD709" s="5"/>
      <c r="AE709" s="6"/>
      <c r="AF709" s="6"/>
      <c r="AG709" s="6"/>
      <c r="AH709" s="6"/>
    </row>
    <row r="710" spans="1:34" ht="12.75" customHeight="1" x14ac:dyDescent="0.3">
      <c r="A710" s="2"/>
      <c r="B710" s="2"/>
      <c r="C710" s="3"/>
      <c r="D710" s="3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4"/>
      <c r="AA710" s="4"/>
      <c r="AB710" s="4"/>
      <c r="AC710" s="4"/>
      <c r="AD710" s="5"/>
      <c r="AE710" s="6"/>
      <c r="AF710" s="6"/>
      <c r="AG710" s="6"/>
      <c r="AH710" s="6"/>
    </row>
    <row r="711" spans="1:34" ht="12.75" customHeight="1" x14ac:dyDescent="0.3">
      <c r="A711" s="2"/>
      <c r="B711" s="2"/>
      <c r="C711" s="3"/>
      <c r="D711" s="3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4"/>
      <c r="AA711" s="4"/>
      <c r="AB711" s="4"/>
      <c r="AC711" s="4"/>
      <c r="AD711" s="5"/>
      <c r="AE711" s="6"/>
      <c r="AF711" s="6"/>
      <c r="AG711" s="6"/>
      <c r="AH711" s="6"/>
    </row>
    <row r="712" spans="1:34" ht="12.75" customHeight="1" x14ac:dyDescent="0.3">
      <c r="A712" s="2"/>
      <c r="B712" s="2"/>
      <c r="C712" s="3"/>
      <c r="D712" s="3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4"/>
      <c r="AA712" s="4"/>
      <c r="AB712" s="4"/>
      <c r="AC712" s="4"/>
      <c r="AD712" s="5"/>
      <c r="AE712" s="6"/>
      <c r="AF712" s="6"/>
      <c r="AG712" s="6"/>
      <c r="AH712" s="6"/>
    </row>
    <row r="713" spans="1:34" ht="12.75" customHeight="1" x14ac:dyDescent="0.3">
      <c r="A713" s="2"/>
      <c r="B713" s="2"/>
      <c r="C713" s="3"/>
      <c r="D713" s="3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4"/>
      <c r="AA713" s="4"/>
      <c r="AB713" s="4"/>
      <c r="AC713" s="4"/>
      <c r="AD713" s="5"/>
      <c r="AE713" s="6"/>
      <c r="AF713" s="6"/>
      <c r="AG713" s="6"/>
      <c r="AH713" s="6"/>
    </row>
    <row r="714" spans="1:34" ht="12.75" customHeight="1" x14ac:dyDescent="0.3">
      <c r="A714" s="2"/>
      <c r="B714" s="2"/>
      <c r="C714" s="3"/>
      <c r="D714" s="3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4"/>
      <c r="AA714" s="4"/>
      <c r="AB714" s="4"/>
      <c r="AC714" s="4"/>
      <c r="AD714" s="5"/>
      <c r="AE714" s="6"/>
      <c r="AF714" s="6"/>
      <c r="AG714" s="6"/>
      <c r="AH714" s="6"/>
    </row>
    <row r="715" spans="1:34" ht="12.75" customHeight="1" x14ac:dyDescent="0.3">
      <c r="A715" s="2"/>
      <c r="B715" s="2"/>
      <c r="C715" s="3"/>
      <c r="D715" s="3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4"/>
      <c r="AA715" s="4"/>
      <c r="AB715" s="4"/>
      <c r="AC715" s="4"/>
      <c r="AD715" s="5"/>
      <c r="AE715" s="6"/>
      <c r="AF715" s="6"/>
      <c r="AG715" s="6"/>
      <c r="AH715" s="6"/>
    </row>
    <row r="716" spans="1:34" ht="12.75" customHeight="1" x14ac:dyDescent="0.3">
      <c r="A716" s="2"/>
      <c r="B716" s="2"/>
      <c r="C716" s="3"/>
      <c r="D716" s="3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4"/>
      <c r="AA716" s="4"/>
      <c r="AB716" s="4"/>
      <c r="AC716" s="4"/>
      <c r="AD716" s="5"/>
      <c r="AE716" s="6"/>
      <c r="AF716" s="6"/>
      <c r="AG716" s="6"/>
      <c r="AH716" s="6"/>
    </row>
    <row r="717" spans="1:34" ht="12.75" customHeight="1" x14ac:dyDescent="0.3">
      <c r="A717" s="2"/>
      <c r="B717" s="2"/>
      <c r="C717" s="3"/>
      <c r="D717" s="3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4"/>
      <c r="AA717" s="4"/>
      <c r="AB717" s="4"/>
      <c r="AC717" s="4"/>
      <c r="AD717" s="5"/>
      <c r="AE717" s="6"/>
      <c r="AF717" s="6"/>
      <c r="AG717" s="6"/>
      <c r="AH717" s="6"/>
    </row>
    <row r="718" spans="1:34" ht="12.75" customHeight="1" x14ac:dyDescent="0.3">
      <c r="A718" s="2"/>
      <c r="B718" s="2"/>
      <c r="C718" s="3"/>
      <c r="D718" s="3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4"/>
      <c r="AA718" s="4"/>
      <c r="AB718" s="4"/>
      <c r="AC718" s="4"/>
      <c r="AD718" s="5"/>
      <c r="AE718" s="6"/>
      <c r="AF718" s="6"/>
      <c r="AG718" s="6"/>
      <c r="AH718" s="6"/>
    </row>
    <row r="719" spans="1:34" ht="12.75" customHeight="1" x14ac:dyDescent="0.3">
      <c r="A719" s="2"/>
      <c r="B719" s="2"/>
      <c r="C719" s="3"/>
      <c r="D719" s="3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4"/>
      <c r="AA719" s="4"/>
      <c r="AB719" s="4"/>
      <c r="AC719" s="4"/>
      <c r="AD719" s="5"/>
      <c r="AE719" s="6"/>
      <c r="AF719" s="6"/>
      <c r="AG719" s="6"/>
      <c r="AH719" s="6"/>
    </row>
    <row r="720" spans="1:34" ht="12.75" customHeight="1" x14ac:dyDescent="0.3">
      <c r="A720" s="2"/>
      <c r="B720" s="2"/>
      <c r="C720" s="3"/>
      <c r="D720" s="3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4"/>
      <c r="AA720" s="4"/>
      <c r="AB720" s="4"/>
      <c r="AC720" s="4"/>
      <c r="AD720" s="5"/>
      <c r="AE720" s="6"/>
      <c r="AF720" s="6"/>
      <c r="AG720" s="6"/>
      <c r="AH720" s="6"/>
    </row>
    <row r="721" spans="1:34" ht="12.75" customHeight="1" x14ac:dyDescent="0.3">
      <c r="A721" s="2"/>
      <c r="B721" s="2"/>
      <c r="C721" s="3"/>
      <c r="D721" s="3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4"/>
      <c r="AA721" s="4"/>
      <c r="AB721" s="4"/>
      <c r="AC721" s="4"/>
      <c r="AD721" s="5"/>
      <c r="AE721" s="6"/>
      <c r="AF721" s="6"/>
      <c r="AG721" s="6"/>
      <c r="AH721" s="6"/>
    </row>
    <row r="722" spans="1:34" ht="12.75" customHeight="1" x14ac:dyDescent="0.3">
      <c r="A722" s="2"/>
      <c r="B722" s="2"/>
      <c r="C722" s="3"/>
      <c r="D722" s="3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4"/>
      <c r="AA722" s="4"/>
      <c r="AB722" s="4"/>
      <c r="AC722" s="4"/>
      <c r="AD722" s="5"/>
      <c r="AE722" s="6"/>
      <c r="AF722" s="6"/>
      <c r="AG722" s="6"/>
      <c r="AH722" s="6"/>
    </row>
    <row r="723" spans="1:34" ht="12.75" customHeight="1" x14ac:dyDescent="0.3">
      <c r="A723" s="2"/>
      <c r="B723" s="2"/>
      <c r="C723" s="3"/>
      <c r="D723" s="3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4"/>
      <c r="AA723" s="4"/>
      <c r="AB723" s="4"/>
      <c r="AC723" s="4"/>
      <c r="AD723" s="5"/>
      <c r="AE723" s="6"/>
      <c r="AF723" s="6"/>
      <c r="AG723" s="6"/>
      <c r="AH723" s="6"/>
    </row>
    <row r="724" spans="1:34" ht="12.75" customHeight="1" x14ac:dyDescent="0.3">
      <c r="A724" s="2"/>
      <c r="B724" s="2"/>
      <c r="C724" s="3"/>
      <c r="D724" s="3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4"/>
      <c r="AA724" s="4"/>
      <c r="AB724" s="4"/>
      <c r="AC724" s="4"/>
      <c r="AD724" s="5"/>
      <c r="AE724" s="6"/>
      <c r="AF724" s="6"/>
      <c r="AG724" s="6"/>
      <c r="AH724" s="6"/>
    </row>
    <row r="725" spans="1:34" ht="12.75" customHeight="1" x14ac:dyDescent="0.3">
      <c r="A725" s="2"/>
      <c r="B725" s="2"/>
      <c r="C725" s="3"/>
      <c r="D725" s="3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4"/>
      <c r="AA725" s="4"/>
      <c r="AB725" s="4"/>
      <c r="AC725" s="4"/>
      <c r="AD725" s="5"/>
      <c r="AE725" s="6"/>
      <c r="AF725" s="6"/>
      <c r="AG725" s="6"/>
      <c r="AH725" s="6"/>
    </row>
    <row r="726" spans="1:34" ht="12.75" customHeight="1" x14ac:dyDescent="0.3">
      <c r="A726" s="2"/>
      <c r="B726" s="2"/>
      <c r="C726" s="3"/>
      <c r="D726" s="3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4"/>
      <c r="AA726" s="4"/>
      <c r="AB726" s="4"/>
      <c r="AC726" s="4"/>
      <c r="AD726" s="5"/>
      <c r="AE726" s="6"/>
      <c r="AF726" s="6"/>
      <c r="AG726" s="6"/>
      <c r="AH726" s="6"/>
    </row>
    <row r="727" spans="1:34" ht="12.75" customHeight="1" x14ac:dyDescent="0.3">
      <c r="A727" s="2"/>
      <c r="B727" s="2"/>
      <c r="C727" s="3"/>
      <c r="D727" s="3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4"/>
      <c r="AA727" s="4"/>
      <c r="AB727" s="4"/>
      <c r="AC727" s="4"/>
      <c r="AD727" s="5"/>
      <c r="AE727" s="6"/>
      <c r="AF727" s="6"/>
      <c r="AG727" s="6"/>
      <c r="AH727" s="6"/>
    </row>
    <row r="728" spans="1:34" ht="12.75" customHeight="1" x14ac:dyDescent="0.3">
      <c r="A728" s="2"/>
      <c r="B728" s="2"/>
      <c r="C728" s="3"/>
      <c r="D728" s="3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4"/>
      <c r="AA728" s="4"/>
      <c r="AB728" s="4"/>
      <c r="AC728" s="4"/>
      <c r="AD728" s="5"/>
      <c r="AE728" s="6"/>
      <c r="AF728" s="6"/>
      <c r="AG728" s="6"/>
      <c r="AH728" s="6"/>
    </row>
    <row r="729" spans="1:34" ht="12.75" customHeight="1" x14ac:dyDescent="0.3">
      <c r="A729" s="2"/>
      <c r="B729" s="2"/>
      <c r="C729" s="3"/>
      <c r="D729" s="3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4"/>
      <c r="AA729" s="4"/>
      <c r="AB729" s="4"/>
      <c r="AC729" s="4"/>
      <c r="AD729" s="5"/>
      <c r="AE729" s="6"/>
      <c r="AF729" s="6"/>
      <c r="AG729" s="6"/>
      <c r="AH729" s="6"/>
    </row>
    <row r="730" spans="1:34" ht="12.75" customHeight="1" x14ac:dyDescent="0.3">
      <c r="A730" s="2"/>
      <c r="B730" s="2"/>
      <c r="C730" s="3"/>
      <c r="D730" s="3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4"/>
      <c r="AA730" s="4"/>
      <c r="AB730" s="4"/>
      <c r="AC730" s="4"/>
      <c r="AD730" s="5"/>
      <c r="AE730" s="6"/>
      <c r="AF730" s="6"/>
      <c r="AG730" s="6"/>
      <c r="AH730" s="6"/>
    </row>
    <row r="731" spans="1:34" ht="12.75" customHeight="1" x14ac:dyDescent="0.3">
      <c r="A731" s="2"/>
      <c r="B731" s="2"/>
      <c r="C731" s="3"/>
      <c r="D731" s="3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4"/>
      <c r="AA731" s="4"/>
      <c r="AB731" s="4"/>
      <c r="AC731" s="4"/>
      <c r="AD731" s="5"/>
      <c r="AE731" s="6"/>
      <c r="AF731" s="6"/>
      <c r="AG731" s="6"/>
      <c r="AH731" s="6"/>
    </row>
    <row r="732" spans="1:34" ht="12.75" customHeight="1" x14ac:dyDescent="0.3">
      <c r="A732" s="2"/>
      <c r="B732" s="2"/>
      <c r="C732" s="3"/>
      <c r="D732" s="3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4"/>
      <c r="AA732" s="4"/>
      <c r="AB732" s="4"/>
      <c r="AC732" s="4"/>
      <c r="AD732" s="5"/>
      <c r="AE732" s="6"/>
      <c r="AF732" s="6"/>
      <c r="AG732" s="6"/>
      <c r="AH732" s="6"/>
    </row>
    <row r="733" spans="1:34" ht="12.75" customHeight="1" x14ac:dyDescent="0.3">
      <c r="A733" s="2"/>
      <c r="B733" s="2"/>
      <c r="C733" s="3"/>
      <c r="D733" s="3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4"/>
      <c r="AA733" s="4"/>
      <c r="AB733" s="4"/>
      <c r="AC733" s="4"/>
      <c r="AD733" s="5"/>
      <c r="AE733" s="6"/>
      <c r="AF733" s="6"/>
      <c r="AG733" s="6"/>
      <c r="AH733" s="6"/>
    </row>
    <row r="734" spans="1:34" ht="12.75" customHeight="1" x14ac:dyDescent="0.3">
      <c r="A734" s="2"/>
      <c r="B734" s="2"/>
      <c r="C734" s="3"/>
      <c r="D734" s="3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4"/>
      <c r="AA734" s="4"/>
      <c r="AB734" s="4"/>
      <c r="AC734" s="4"/>
      <c r="AD734" s="5"/>
      <c r="AE734" s="6"/>
      <c r="AF734" s="6"/>
      <c r="AG734" s="6"/>
      <c r="AH734" s="6"/>
    </row>
    <row r="735" spans="1:34" ht="12.75" customHeight="1" x14ac:dyDescent="0.3">
      <c r="A735" s="2"/>
      <c r="B735" s="2"/>
      <c r="C735" s="3"/>
      <c r="D735" s="3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4"/>
      <c r="AA735" s="4"/>
      <c r="AB735" s="4"/>
      <c r="AC735" s="4"/>
      <c r="AD735" s="5"/>
      <c r="AE735" s="6"/>
      <c r="AF735" s="6"/>
      <c r="AG735" s="6"/>
      <c r="AH735" s="6"/>
    </row>
    <row r="736" spans="1:34" ht="12.75" customHeight="1" x14ac:dyDescent="0.3">
      <c r="A736" s="2"/>
      <c r="B736" s="2"/>
      <c r="C736" s="3"/>
      <c r="D736" s="3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4"/>
      <c r="AA736" s="4"/>
      <c r="AB736" s="4"/>
      <c r="AC736" s="4"/>
      <c r="AD736" s="5"/>
      <c r="AE736" s="6"/>
      <c r="AF736" s="6"/>
      <c r="AG736" s="6"/>
      <c r="AH736" s="6"/>
    </row>
    <row r="737" spans="1:34" ht="12.75" customHeight="1" x14ac:dyDescent="0.3">
      <c r="A737" s="2"/>
      <c r="B737" s="2"/>
      <c r="C737" s="3"/>
      <c r="D737" s="3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4"/>
      <c r="AA737" s="4"/>
      <c r="AB737" s="4"/>
      <c r="AC737" s="4"/>
      <c r="AD737" s="5"/>
      <c r="AE737" s="6"/>
      <c r="AF737" s="6"/>
      <c r="AG737" s="6"/>
      <c r="AH737" s="6"/>
    </row>
    <row r="738" spans="1:34" ht="12.75" customHeight="1" x14ac:dyDescent="0.3">
      <c r="A738" s="2"/>
      <c r="B738" s="2"/>
      <c r="C738" s="3"/>
      <c r="D738" s="3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4"/>
      <c r="AA738" s="4"/>
      <c r="AB738" s="4"/>
      <c r="AC738" s="4"/>
      <c r="AD738" s="5"/>
      <c r="AE738" s="6"/>
      <c r="AF738" s="6"/>
      <c r="AG738" s="6"/>
      <c r="AH738" s="6"/>
    </row>
    <row r="739" spans="1:34" ht="12.75" customHeight="1" x14ac:dyDescent="0.3">
      <c r="A739" s="2"/>
      <c r="B739" s="2"/>
      <c r="C739" s="3"/>
      <c r="D739" s="3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4"/>
      <c r="AA739" s="4"/>
      <c r="AB739" s="4"/>
      <c r="AC739" s="4"/>
      <c r="AD739" s="5"/>
      <c r="AE739" s="6"/>
      <c r="AF739" s="6"/>
      <c r="AG739" s="6"/>
      <c r="AH739" s="6"/>
    </row>
    <row r="740" spans="1:34" ht="12.75" customHeight="1" x14ac:dyDescent="0.3">
      <c r="A740" s="2"/>
      <c r="B740" s="2"/>
      <c r="C740" s="3"/>
      <c r="D740" s="3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4"/>
      <c r="AA740" s="4"/>
      <c r="AB740" s="4"/>
      <c r="AC740" s="4"/>
      <c r="AD740" s="5"/>
      <c r="AE740" s="6"/>
      <c r="AF740" s="6"/>
      <c r="AG740" s="6"/>
      <c r="AH740" s="6"/>
    </row>
    <row r="741" spans="1:34" ht="12.75" customHeight="1" x14ac:dyDescent="0.3">
      <c r="A741" s="2"/>
      <c r="B741" s="2"/>
      <c r="C741" s="3"/>
      <c r="D741" s="3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4"/>
      <c r="AA741" s="4"/>
      <c r="AB741" s="4"/>
      <c r="AC741" s="4"/>
      <c r="AD741" s="5"/>
      <c r="AE741" s="6"/>
      <c r="AF741" s="6"/>
      <c r="AG741" s="6"/>
      <c r="AH741" s="6"/>
    </row>
    <row r="742" spans="1:34" ht="12.75" customHeight="1" x14ac:dyDescent="0.3">
      <c r="A742" s="2"/>
      <c r="B742" s="2"/>
      <c r="C742" s="3"/>
      <c r="D742" s="3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4"/>
      <c r="AA742" s="4"/>
      <c r="AB742" s="4"/>
      <c r="AC742" s="4"/>
      <c r="AD742" s="5"/>
      <c r="AE742" s="6"/>
      <c r="AF742" s="6"/>
      <c r="AG742" s="6"/>
      <c r="AH742" s="6"/>
    </row>
    <row r="743" spans="1:34" ht="12.75" customHeight="1" x14ac:dyDescent="0.3">
      <c r="A743" s="2"/>
      <c r="B743" s="2"/>
      <c r="C743" s="3"/>
      <c r="D743" s="3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4"/>
      <c r="AA743" s="4"/>
      <c r="AB743" s="4"/>
      <c r="AC743" s="4"/>
      <c r="AD743" s="5"/>
      <c r="AE743" s="6"/>
      <c r="AF743" s="6"/>
      <c r="AG743" s="6"/>
      <c r="AH743" s="6"/>
    </row>
    <row r="744" spans="1:34" ht="12.75" customHeight="1" x14ac:dyDescent="0.3">
      <c r="A744" s="2"/>
      <c r="B744" s="2"/>
      <c r="C744" s="3"/>
      <c r="D744" s="3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4"/>
      <c r="AA744" s="4"/>
      <c r="AB744" s="4"/>
      <c r="AC744" s="4"/>
      <c r="AD744" s="5"/>
      <c r="AE744" s="6"/>
      <c r="AF744" s="6"/>
      <c r="AG744" s="6"/>
      <c r="AH744" s="6"/>
    </row>
    <row r="745" spans="1:34" ht="12.75" customHeight="1" x14ac:dyDescent="0.3">
      <c r="A745" s="2"/>
      <c r="B745" s="2"/>
      <c r="C745" s="3"/>
      <c r="D745" s="3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4"/>
      <c r="AA745" s="4"/>
      <c r="AB745" s="4"/>
      <c r="AC745" s="4"/>
      <c r="AD745" s="5"/>
      <c r="AE745" s="6"/>
      <c r="AF745" s="6"/>
      <c r="AG745" s="6"/>
      <c r="AH745" s="6"/>
    </row>
    <row r="746" spans="1:34" ht="12.75" customHeight="1" x14ac:dyDescent="0.3">
      <c r="A746" s="2"/>
      <c r="B746" s="2"/>
      <c r="C746" s="3"/>
      <c r="D746" s="3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4"/>
      <c r="AA746" s="4"/>
      <c r="AB746" s="4"/>
      <c r="AC746" s="4"/>
      <c r="AD746" s="5"/>
      <c r="AE746" s="6"/>
      <c r="AF746" s="6"/>
      <c r="AG746" s="6"/>
      <c r="AH746" s="6"/>
    </row>
    <row r="747" spans="1:34" ht="12.75" customHeight="1" x14ac:dyDescent="0.3">
      <c r="A747" s="2"/>
      <c r="B747" s="2"/>
      <c r="C747" s="3"/>
      <c r="D747" s="3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4"/>
      <c r="AA747" s="4"/>
      <c r="AB747" s="4"/>
      <c r="AC747" s="4"/>
      <c r="AD747" s="5"/>
      <c r="AE747" s="6"/>
      <c r="AF747" s="6"/>
      <c r="AG747" s="6"/>
      <c r="AH747" s="6"/>
    </row>
    <row r="748" spans="1:34" ht="12.75" customHeight="1" x14ac:dyDescent="0.3">
      <c r="A748" s="2"/>
      <c r="B748" s="2"/>
      <c r="C748" s="3"/>
      <c r="D748" s="3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4"/>
      <c r="AA748" s="4"/>
      <c r="AB748" s="4"/>
      <c r="AC748" s="4"/>
      <c r="AD748" s="5"/>
      <c r="AE748" s="6"/>
      <c r="AF748" s="6"/>
      <c r="AG748" s="6"/>
      <c r="AH748" s="6"/>
    </row>
    <row r="749" spans="1:34" ht="12.75" customHeight="1" x14ac:dyDescent="0.3">
      <c r="A749" s="2"/>
      <c r="B749" s="2"/>
      <c r="C749" s="3"/>
      <c r="D749" s="3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4"/>
      <c r="AA749" s="4"/>
      <c r="AB749" s="4"/>
      <c r="AC749" s="4"/>
      <c r="AD749" s="5"/>
      <c r="AE749" s="6"/>
      <c r="AF749" s="6"/>
      <c r="AG749" s="6"/>
      <c r="AH749" s="6"/>
    </row>
    <row r="750" spans="1:34" ht="12.75" customHeight="1" x14ac:dyDescent="0.3">
      <c r="A750" s="2"/>
      <c r="B750" s="2"/>
      <c r="C750" s="3"/>
      <c r="D750" s="3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4"/>
      <c r="AA750" s="4"/>
      <c r="AB750" s="4"/>
      <c r="AC750" s="4"/>
      <c r="AD750" s="5"/>
      <c r="AE750" s="6"/>
      <c r="AF750" s="6"/>
      <c r="AG750" s="6"/>
      <c r="AH750" s="6"/>
    </row>
    <row r="751" spans="1:34" ht="12.75" customHeight="1" x14ac:dyDescent="0.3">
      <c r="A751" s="2"/>
      <c r="B751" s="2"/>
      <c r="C751" s="3"/>
      <c r="D751" s="3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4"/>
      <c r="AA751" s="4"/>
      <c r="AB751" s="4"/>
      <c r="AC751" s="4"/>
      <c r="AD751" s="5"/>
      <c r="AE751" s="6"/>
      <c r="AF751" s="6"/>
      <c r="AG751" s="6"/>
      <c r="AH751" s="6"/>
    </row>
    <row r="752" spans="1:34" ht="12.75" customHeight="1" x14ac:dyDescent="0.3">
      <c r="A752" s="2"/>
      <c r="B752" s="2"/>
      <c r="C752" s="3"/>
      <c r="D752" s="3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4"/>
      <c r="AA752" s="4"/>
      <c r="AB752" s="4"/>
      <c r="AC752" s="4"/>
      <c r="AD752" s="5"/>
      <c r="AE752" s="6"/>
      <c r="AF752" s="6"/>
      <c r="AG752" s="6"/>
      <c r="AH752" s="6"/>
    </row>
    <row r="753" spans="1:34" ht="12.75" customHeight="1" x14ac:dyDescent="0.3">
      <c r="A753" s="2"/>
      <c r="B753" s="2"/>
      <c r="C753" s="3"/>
      <c r="D753" s="3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4"/>
      <c r="AA753" s="4"/>
      <c r="AB753" s="4"/>
      <c r="AC753" s="4"/>
      <c r="AD753" s="5"/>
      <c r="AE753" s="6"/>
      <c r="AF753" s="6"/>
      <c r="AG753" s="6"/>
      <c r="AH753" s="6"/>
    </row>
    <row r="754" spans="1:34" ht="12.75" customHeight="1" x14ac:dyDescent="0.3">
      <c r="A754" s="2"/>
      <c r="B754" s="2"/>
      <c r="C754" s="3"/>
      <c r="D754" s="3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4"/>
      <c r="AA754" s="4"/>
      <c r="AB754" s="4"/>
      <c r="AC754" s="4"/>
      <c r="AD754" s="5"/>
      <c r="AE754" s="6"/>
      <c r="AF754" s="6"/>
      <c r="AG754" s="6"/>
      <c r="AH754" s="6"/>
    </row>
    <row r="755" spans="1:34" ht="12.75" customHeight="1" x14ac:dyDescent="0.3">
      <c r="A755" s="2"/>
      <c r="B755" s="2"/>
      <c r="C755" s="3"/>
      <c r="D755" s="3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4"/>
      <c r="AA755" s="4"/>
      <c r="AB755" s="4"/>
      <c r="AC755" s="4"/>
      <c r="AD755" s="5"/>
      <c r="AE755" s="6"/>
      <c r="AF755" s="6"/>
      <c r="AG755" s="6"/>
      <c r="AH755" s="6"/>
    </row>
    <row r="756" spans="1:34" ht="12.75" customHeight="1" x14ac:dyDescent="0.3">
      <c r="A756" s="2"/>
      <c r="B756" s="2"/>
      <c r="C756" s="3"/>
      <c r="D756" s="3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4"/>
      <c r="AA756" s="4"/>
      <c r="AB756" s="4"/>
      <c r="AC756" s="4"/>
      <c r="AD756" s="5"/>
      <c r="AE756" s="6"/>
      <c r="AF756" s="6"/>
      <c r="AG756" s="6"/>
      <c r="AH756" s="6"/>
    </row>
    <row r="757" spans="1:34" ht="12.75" customHeight="1" x14ac:dyDescent="0.3">
      <c r="A757" s="2"/>
      <c r="B757" s="2"/>
      <c r="C757" s="3"/>
      <c r="D757" s="3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4"/>
      <c r="AA757" s="4"/>
      <c r="AB757" s="4"/>
      <c r="AC757" s="4"/>
      <c r="AD757" s="5"/>
      <c r="AE757" s="6"/>
      <c r="AF757" s="6"/>
      <c r="AG757" s="6"/>
      <c r="AH757" s="6"/>
    </row>
    <row r="758" spans="1:34" ht="12.75" customHeight="1" x14ac:dyDescent="0.3">
      <c r="A758" s="2"/>
      <c r="B758" s="2"/>
      <c r="C758" s="3"/>
      <c r="D758" s="3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4"/>
      <c r="AA758" s="4"/>
      <c r="AB758" s="4"/>
      <c r="AC758" s="4"/>
      <c r="AD758" s="5"/>
      <c r="AE758" s="6"/>
      <c r="AF758" s="6"/>
      <c r="AG758" s="6"/>
      <c r="AH758" s="6"/>
    </row>
    <row r="759" spans="1:34" ht="12.75" customHeight="1" x14ac:dyDescent="0.3">
      <c r="A759" s="2"/>
      <c r="B759" s="2"/>
      <c r="C759" s="3"/>
      <c r="D759" s="3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4"/>
      <c r="AA759" s="4"/>
      <c r="AB759" s="4"/>
      <c r="AC759" s="4"/>
      <c r="AD759" s="5"/>
      <c r="AE759" s="6"/>
      <c r="AF759" s="6"/>
      <c r="AG759" s="6"/>
      <c r="AH759" s="6"/>
    </row>
    <row r="760" spans="1:34" ht="12.75" customHeight="1" x14ac:dyDescent="0.3">
      <c r="A760" s="2"/>
      <c r="B760" s="2"/>
      <c r="C760" s="3"/>
      <c r="D760" s="3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4"/>
      <c r="AA760" s="4"/>
      <c r="AB760" s="4"/>
      <c r="AC760" s="4"/>
      <c r="AD760" s="5"/>
      <c r="AE760" s="6"/>
      <c r="AF760" s="6"/>
      <c r="AG760" s="6"/>
      <c r="AH760" s="6"/>
    </row>
    <row r="761" spans="1:34" ht="12.75" customHeight="1" x14ac:dyDescent="0.3">
      <c r="A761" s="2"/>
      <c r="B761" s="2"/>
      <c r="C761" s="3"/>
      <c r="D761" s="3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4"/>
      <c r="AA761" s="4"/>
      <c r="AB761" s="4"/>
      <c r="AC761" s="4"/>
      <c r="AD761" s="5"/>
      <c r="AE761" s="6"/>
      <c r="AF761" s="6"/>
      <c r="AG761" s="6"/>
      <c r="AH761" s="6"/>
    </row>
    <row r="762" spans="1:34" ht="12.75" customHeight="1" x14ac:dyDescent="0.3">
      <c r="A762" s="2"/>
      <c r="B762" s="2"/>
      <c r="C762" s="3"/>
      <c r="D762" s="3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4"/>
      <c r="AA762" s="4"/>
      <c r="AB762" s="4"/>
      <c r="AC762" s="4"/>
      <c r="AD762" s="5"/>
      <c r="AE762" s="6"/>
      <c r="AF762" s="6"/>
      <c r="AG762" s="6"/>
      <c r="AH762" s="6"/>
    </row>
    <row r="763" spans="1:34" ht="12.75" customHeight="1" x14ac:dyDescent="0.3">
      <c r="A763" s="2"/>
      <c r="B763" s="2"/>
      <c r="C763" s="3"/>
      <c r="D763" s="3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4"/>
      <c r="AA763" s="4"/>
      <c r="AB763" s="4"/>
      <c r="AC763" s="4"/>
      <c r="AD763" s="5"/>
      <c r="AE763" s="6"/>
      <c r="AF763" s="6"/>
      <c r="AG763" s="6"/>
      <c r="AH763" s="6"/>
    </row>
    <row r="764" spans="1:34" ht="12.75" customHeight="1" x14ac:dyDescent="0.3">
      <c r="A764" s="2"/>
      <c r="B764" s="2"/>
      <c r="C764" s="3"/>
      <c r="D764" s="3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4"/>
      <c r="AA764" s="4"/>
      <c r="AB764" s="4"/>
      <c r="AC764" s="4"/>
      <c r="AD764" s="5"/>
      <c r="AE764" s="6"/>
      <c r="AF764" s="6"/>
      <c r="AG764" s="6"/>
      <c r="AH764" s="6"/>
    </row>
    <row r="765" spans="1:34" ht="12.75" customHeight="1" x14ac:dyDescent="0.3">
      <c r="A765" s="2"/>
      <c r="B765" s="2"/>
      <c r="C765" s="3"/>
      <c r="D765" s="3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4"/>
      <c r="AA765" s="4"/>
      <c r="AB765" s="4"/>
      <c r="AC765" s="4"/>
      <c r="AD765" s="5"/>
      <c r="AE765" s="6"/>
      <c r="AF765" s="6"/>
      <c r="AG765" s="6"/>
      <c r="AH765" s="6"/>
    </row>
    <row r="766" spans="1:34" ht="12.75" customHeight="1" x14ac:dyDescent="0.3">
      <c r="A766" s="2"/>
      <c r="B766" s="2"/>
      <c r="C766" s="3"/>
      <c r="D766" s="3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4"/>
      <c r="AA766" s="4"/>
      <c r="AB766" s="4"/>
      <c r="AC766" s="4"/>
      <c r="AD766" s="5"/>
      <c r="AE766" s="6"/>
      <c r="AF766" s="6"/>
      <c r="AG766" s="6"/>
      <c r="AH766" s="6"/>
    </row>
    <row r="767" spans="1:34" ht="12.75" customHeight="1" x14ac:dyDescent="0.3">
      <c r="A767" s="2"/>
      <c r="B767" s="2"/>
      <c r="C767" s="3"/>
      <c r="D767" s="3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4"/>
      <c r="AA767" s="4"/>
      <c r="AB767" s="4"/>
      <c r="AC767" s="4"/>
      <c r="AD767" s="5"/>
      <c r="AE767" s="6"/>
      <c r="AF767" s="6"/>
      <c r="AG767" s="6"/>
      <c r="AH767" s="6"/>
    </row>
    <row r="768" spans="1:34" ht="12.75" customHeight="1" x14ac:dyDescent="0.3">
      <c r="A768" s="2"/>
      <c r="B768" s="2"/>
      <c r="C768" s="3"/>
      <c r="D768" s="3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4"/>
      <c r="AA768" s="4"/>
      <c r="AB768" s="4"/>
      <c r="AC768" s="4"/>
      <c r="AD768" s="5"/>
      <c r="AE768" s="6"/>
      <c r="AF768" s="6"/>
      <c r="AG768" s="6"/>
      <c r="AH768" s="6"/>
    </row>
    <row r="769" spans="1:34" ht="12.75" customHeight="1" x14ac:dyDescent="0.3">
      <c r="A769" s="2"/>
      <c r="B769" s="2"/>
      <c r="C769" s="3"/>
      <c r="D769" s="3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4"/>
      <c r="AA769" s="4"/>
      <c r="AB769" s="4"/>
      <c r="AC769" s="4"/>
      <c r="AD769" s="5"/>
      <c r="AE769" s="6"/>
      <c r="AF769" s="6"/>
      <c r="AG769" s="6"/>
      <c r="AH769" s="6"/>
    </row>
    <row r="770" spans="1:34" ht="12.75" customHeight="1" x14ac:dyDescent="0.3">
      <c r="A770" s="2"/>
      <c r="B770" s="2"/>
      <c r="C770" s="3"/>
      <c r="D770" s="3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4"/>
      <c r="AA770" s="4"/>
      <c r="AB770" s="4"/>
      <c r="AC770" s="4"/>
      <c r="AD770" s="5"/>
      <c r="AE770" s="6"/>
      <c r="AF770" s="6"/>
      <c r="AG770" s="6"/>
      <c r="AH770" s="6"/>
    </row>
    <row r="771" spans="1:34" ht="12.75" customHeight="1" x14ac:dyDescent="0.3">
      <c r="A771" s="2"/>
      <c r="B771" s="2"/>
      <c r="C771" s="3"/>
      <c r="D771" s="3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4"/>
      <c r="AA771" s="4"/>
      <c r="AB771" s="4"/>
      <c r="AC771" s="4"/>
      <c r="AD771" s="5"/>
      <c r="AE771" s="6"/>
      <c r="AF771" s="6"/>
      <c r="AG771" s="6"/>
      <c r="AH771" s="6"/>
    </row>
    <row r="772" spans="1:34" ht="12.75" customHeight="1" x14ac:dyDescent="0.3">
      <c r="A772" s="2"/>
      <c r="B772" s="2"/>
      <c r="C772" s="3"/>
      <c r="D772" s="3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4"/>
      <c r="AA772" s="4"/>
      <c r="AB772" s="4"/>
      <c r="AC772" s="4"/>
      <c r="AD772" s="5"/>
      <c r="AE772" s="6"/>
      <c r="AF772" s="6"/>
      <c r="AG772" s="6"/>
      <c r="AH772" s="6"/>
    </row>
    <row r="773" spans="1:34" ht="12.75" customHeight="1" x14ac:dyDescent="0.3">
      <c r="A773" s="2"/>
      <c r="B773" s="2"/>
      <c r="C773" s="3"/>
      <c r="D773" s="3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4"/>
      <c r="AA773" s="4"/>
      <c r="AB773" s="4"/>
      <c r="AC773" s="4"/>
      <c r="AD773" s="5"/>
      <c r="AE773" s="6"/>
      <c r="AF773" s="6"/>
      <c r="AG773" s="6"/>
      <c r="AH773" s="6"/>
    </row>
    <row r="774" spans="1:34" ht="12.75" customHeight="1" x14ac:dyDescent="0.3">
      <c r="A774" s="2"/>
      <c r="B774" s="2"/>
      <c r="C774" s="3"/>
      <c r="D774" s="3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4"/>
      <c r="AA774" s="4"/>
      <c r="AB774" s="4"/>
      <c r="AC774" s="4"/>
      <c r="AD774" s="5"/>
      <c r="AE774" s="6"/>
      <c r="AF774" s="6"/>
      <c r="AG774" s="6"/>
      <c r="AH774" s="6"/>
    </row>
    <row r="775" spans="1:34" ht="12.75" customHeight="1" x14ac:dyDescent="0.3">
      <c r="A775" s="2"/>
      <c r="B775" s="2"/>
      <c r="C775" s="3"/>
      <c r="D775" s="3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4"/>
      <c r="AA775" s="4"/>
      <c r="AB775" s="4"/>
      <c r="AC775" s="4"/>
      <c r="AD775" s="5"/>
      <c r="AE775" s="6"/>
      <c r="AF775" s="6"/>
      <c r="AG775" s="6"/>
      <c r="AH775" s="6"/>
    </row>
    <row r="776" spans="1:34" ht="12.75" customHeight="1" x14ac:dyDescent="0.3">
      <c r="A776" s="2"/>
      <c r="B776" s="2"/>
      <c r="C776" s="3"/>
      <c r="D776" s="3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4"/>
      <c r="AA776" s="4"/>
      <c r="AB776" s="4"/>
      <c r="AC776" s="4"/>
      <c r="AD776" s="5"/>
      <c r="AE776" s="6"/>
      <c r="AF776" s="6"/>
      <c r="AG776" s="6"/>
      <c r="AH776" s="6"/>
    </row>
    <row r="777" spans="1:34" ht="12.75" customHeight="1" x14ac:dyDescent="0.3">
      <c r="A777" s="2"/>
      <c r="B777" s="2"/>
      <c r="C777" s="3"/>
      <c r="D777" s="3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4"/>
      <c r="AA777" s="4"/>
      <c r="AB777" s="4"/>
      <c r="AC777" s="4"/>
      <c r="AD777" s="5"/>
      <c r="AE777" s="6"/>
      <c r="AF777" s="6"/>
      <c r="AG777" s="6"/>
      <c r="AH777" s="6"/>
    </row>
    <row r="778" spans="1:34" ht="12.75" customHeight="1" x14ac:dyDescent="0.3">
      <c r="A778" s="2"/>
      <c r="B778" s="2"/>
      <c r="C778" s="3"/>
      <c r="D778" s="3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4"/>
      <c r="AA778" s="4"/>
      <c r="AB778" s="4"/>
      <c r="AC778" s="4"/>
      <c r="AD778" s="5"/>
      <c r="AE778" s="6"/>
      <c r="AF778" s="6"/>
      <c r="AG778" s="6"/>
      <c r="AH778" s="6"/>
    </row>
    <row r="779" spans="1:34" ht="12.75" customHeight="1" x14ac:dyDescent="0.3">
      <c r="A779" s="2"/>
      <c r="B779" s="2"/>
      <c r="C779" s="3"/>
      <c r="D779" s="3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4"/>
      <c r="AA779" s="4"/>
      <c r="AB779" s="4"/>
      <c r="AC779" s="4"/>
      <c r="AD779" s="5"/>
      <c r="AE779" s="6"/>
      <c r="AF779" s="6"/>
      <c r="AG779" s="6"/>
      <c r="AH779" s="6"/>
    </row>
    <row r="780" spans="1:34" ht="12.75" customHeight="1" x14ac:dyDescent="0.3">
      <c r="A780" s="2"/>
      <c r="B780" s="2"/>
      <c r="C780" s="3"/>
      <c r="D780" s="3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4"/>
      <c r="AA780" s="4"/>
      <c r="AB780" s="4"/>
      <c r="AC780" s="4"/>
      <c r="AD780" s="5"/>
      <c r="AE780" s="6"/>
      <c r="AF780" s="6"/>
      <c r="AG780" s="6"/>
      <c r="AH780" s="6"/>
    </row>
    <row r="781" spans="1:34" ht="12.75" customHeight="1" x14ac:dyDescent="0.3">
      <c r="A781" s="2"/>
      <c r="B781" s="2"/>
      <c r="C781" s="3"/>
      <c r="D781" s="3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4"/>
      <c r="AA781" s="4"/>
      <c r="AB781" s="4"/>
      <c r="AC781" s="4"/>
      <c r="AD781" s="5"/>
      <c r="AE781" s="6"/>
      <c r="AF781" s="6"/>
      <c r="AG781" s="6"/>
      <c r="AH781" s="6"/>
    </row>
    <row r="782" spans="1:34" ht="12.75" customHeight="1" x14ac:dyDescent="0.3">
      <c r="A782" s="2"/>
      <c r="B782" s="2"/>
      <c r="C782" s="3"/>
      <c r="D782" s="3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4"/>
      <c r="AA782" s="4"/>
      <c r="AB782" s="4"/>
      <c r="AC782" s="4"/>
      <c r="AD782" s="5"/>
      <c r="AE782" s="6"/>
      <c r="AF782" s="6"/>
      <c r="AG782" s="6"/>
      <c r="AH782" s="6"/>
    </row>
    <row r="783" spans="1:34" ht="12.75" customHeight="1" x14ac:dyDescent="0.3">
      <c r="A783" s="2"/>
      <c r="B783" s="2"/>
      <c r="C783" s="3"/>
      <c r="D783" s="3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4"/>
      <c r="AA783" s="4"/>
      <c r="AB783" s="4"/>
      <c r="AC783" s="4"/>
      <c r="AD783" s="5"/>
      <c r="AE783" s="6"/>
      <c r="AF783" s="6"/>
      <c r="AG783" s="6"/>
      <c r="AH783" s="6"/>
    </row>
    <row r="784" spans="1:34" ht="12.75" customHeight="1" x14ac:dyDescent="0.3">
      <c r="A784" s="2"/>
      <c r="B784" s="2"/>
      <c r="C784" s="3"/>
      <c r="D784" s="3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4"/>
      <c r="AA784" s="4"/>
      <c r="AB784" s="4"/>
      <c r="AC784" s="4"/>
      <c r="AD784" s="5"/>
      <c r="AE784" s="6"/>
      <c r="AF784" s="6"/>
      <c r="AG784" s="6"/>
      <c r="AH784" s="6"/>
    </row>
    <row r="785" spans="1:34" ht="12.75" customHeight="1" x14ac:dyDescent="0.3">
      <c r="A785" s="2"/>
      <c r="B785" s="2"/>
      <c r="C785" s="3"/>
      <c r="D785" s="3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4"/>
      <c r="AA785" s="4"/>
      <c r="AB785" s="4"/>
      <c r="AC785" s="4"/>
      <c r="AD785" s="5"/>
      <c r="AE785" s="6"/>
      <c r="AF785" s="6"/>
      <c r="AG785" s="6"/>
      <c r="AH785" s="6"/>
    </row>
    <row r="786" spans="1:34" ht="12.75" customHeight="1" x14ac:dyDescent="0.3">
      <c r="A786" s="2"/>
      <c r="B786" s="2"/>
      <c r="C786" s="3"/>
      <c r="D786" s="3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4"/>
      <c r="AA786" s="4"/>
      <c r="AB786" s="4"/>
      <c r="AC786" s="4"/>
      <c r="AD786" s="5"/>
      <c r="AE786" s="6"/>
      <c r="AF786" s="6"/>
      <c r="AG786" s="6"/>
      <c r="AH786" s="6"/>
    </row>
    <row r="787" spans="1:34" ht="12.75" customHeight="1" x14ac:dyDescent="0.3">
      <c r="A787" s="2"/>
      <c r="B787" s="2"/>
      <c r="C787" s="3"/>
      <c r="D787" s="3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4"/>
      <c r="AA787" s="4"/>
      <c r="AB787" s="4"/>
      <c r="AC787" s="4"/>
      <c r="AD787" s="5"/>
      <c r="AE787" s="6"/>
      <c r="AF787" s="6"/>
      <c r="AG787" s="6"/>
      <c r="AH787" s="6"/>
    </row>
    <row r="788" spans="1:34" ht="12.75" customHeight="1" x14ac:dyDescent="0.3">
      <c r="A788" s="2"/>
      <c r="B788" s="2"/>
      <c r="C788" s="3"/>
      <c r="D788" s="3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4"/>
      <c r="AA788" s="4"/>
      <c r="AB788" s="4"/>
      <c r="AC788" s="4"/>
      <c r="AD788" s="5"/>
      <c r="AE788" s="6"/>
      <c r="AF788" s="6"/>
      <c r="AG788" s="6"/>
      <c r="AH788" s="6"/>
    </row>
    <row r="789" spans="1:34" ht="12.75" customHeight="1" x14ac:dyDescent="0.3">
      <c r="A789" s="2"/>
      <c r="B789" s="2"/>
      <c r="C789" s="3"/>
      <c r="D789" s="3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4"/>
      <c r="AA789" s="4"/>
      <c r="AB789" s="4"/>
      <c r="AC789" s="4"/>
      <c r="AD789" s="5"/>
      <c r="AE789" s="6"/>
      <c r="AF789" s="6"/>
      <c r="AG789" s="6"/>
      <c r="AH789" s="6"/>
    </row>
    <row r="790" spans="1:34" ht="12.75" customHeight="1" x14ac:dyDescent="0.3">
      <c r="A790" s="2"/>
      <c r="B790" s="2"/>
      <c r="C790" s="3"/>
      <c r="D790" s="3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4"/>
      <c r="AA790" s="4"/>
      <c r="AB790" s="4"/>
      <c r="AC790" s="4"/>
      <c r="AD790" s="5"/>
      <c r="AE790" s="6"/>
      <c r="AF790" s="6"/>
      <c r="AG790" s="6"/>
      <c r="AH790" s="6"/>
    </row>
    <row r="791" spans="1:34" ht="12.75" customHeight="1" x14ac:dyDescent="0.3">
      <c r="A791" s="2"/>
      <c r="B791" s="2"/>
      <c r="C791" s="3"/>
      <c r="D791" s="3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4"/>
      <c r="AA791" s="4"/>
      <c r="AB791" s="4"/>
      <c r="AC791" s="4"/>
      <c r="AD791" s="5"/>
      <c r="AE791" s="6"/>
      <c r="AF791" s="6"/>
      <c r="AG791" s="6"/>
      <c r="AH791" s="6"/>
    </row>
    <row r="792" spans="1:34" ht="12.75" customHeight="1" x14ac:dyDescent="0.3">
      <c r="A792" s="2"/>
      <c r="B792" s="2"/>
      <c r="C792" s="3"/>
      <c r="D792" s="3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4"/>
      <c r="AA792" s="4"/>
      <c r="AB792" s="4"/>
      <c r="AC792" s="4"/>
      <c r="AD792" s="5"/>
      <c r="AE792" s="6"/>
      <c r="AF792" s="6"/>
      <c r="AG792" s="6"/>
      <c r="AH792" s="6"/>
    </row>
    <row r="793" spans="1:34" ht="12.75" customHeight="1" x14ac:dyDescent="0.3">
      <c r="A793" s="2"/>
      <c r="B793" s="2"/>
      <c r="C793" s="3"/>
      <c r="D793" s="3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4"/>
      <c r="AA793" s="4"/>
      <c r="AB793" s="4"/>
      <c r="AC793" s="4"/>
      <c r="AD793" s="5"/>
      <c r="AE793" s="6"/>
      <c r="AF793" s="6"/>
      <c r="AG793" s="6"/>
      <c r="AH793" s="6"/>
    </row>
    <row r="794" spans="1:34" ht="12.75" customHeight="1" x14ac:dyDescent="0.3">
      <c r="A794" s="2"/>
      <c r="B794" s="2"/>
      <c r="C794" s="3"/>
      <c r="D794" s="3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4"/>
      <c r="AA794" s="4"/>
      <c r="AB794" s="4"/>
      <c r="AC794" s="4"/>
      <c r="AD794" s="5"/>
      <c r="AE794" s="6"/>
      <c r="AF794" s="6"/>
      <c r="AG794" s="6"/>
      <c r="AH794" s="6"/>
    </row>
    <row r="795" spans="1:34" ht="12.75" customHeight="1" x14ac:dyDescent="0.3">
      <c r="A795" s="2"/>
      <c r="B795" s="2"/>
      <c r="C795" s="3"/>
      <c r="D795" s="3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4"/>
      <c r="AA795" s="4"/>
      <c r="AB795" s="4"/>
      <c r="AC795" s="4"/>
      <c r="AD795" s="5"/>
      <c r="AE795" s="6"/>
      <c r="AF795" s="6"/>
      <c r="AG795" s="6"/>
      <c r="AH795" s="6"/>
    </row>
    <row r="796" spans="1:34" ht="12.75" customHeight="1" x14ac:dyDescent="0.3">
      <c r="A796" s="2"/>
      <c r="B796" s="2"/>
      <c r="C796" s="3"/>
      <c r="D796" s="3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4"/>
      <c r="AA796" s="4"/>
      <c r="AB796" s="4"/>
      <c r="AC796" s="4"/>
      <c r="AD796" s="5"/>
      <c r="AE796" s="6"/>
      <c r="AF796" s="6"/>
      <c r="AG796" s="6"/>
      <c r="AH796" s="6"/>
    </row>
    <row r="797" spans="1:34" ht="12.75" customHeight="1" x14ac:dyDescent="0.3">
      <c r="A797" s="2"/>
      <c r="B797" s="2"/>
      <c r="C797" s="3"/>
      <c r="D797" s="3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4"/>
      <c r="AA797" s="4"/>
      <c r="AB797" s="4"/>
      <c r="AC797" s="4"/>
      <c r="AD797" s="5"/>
      <c r="AE797" s="6"/>
      <c r="AF797" s="6"/>
      <c r="AG797" s="6"/>
      <c r="AH797" s="6"/>
    </row>
    <row r="798" spans="1:34" ht="12.75" customHeight="1" x14ac:dyDescent="0.3">
      <c r="A798" s="2"/>
      <c r="B798" s="2"/>
      <c r="C798" s="3"/>
      <c r="D798" s="3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4"/>
      <c r="AA798" s="4"/>
      <c r="AB798" s="4"/>
      <c r="AC798" s="4"/>
      <c r="AD798" s="5"/>
      <c r="AE798" s="6"/>
      <c r="AF798" s="6"/>
      <c r="AG798" s="6"/>
      <c r="AH798" s="6"/>
    </row>
    <row r="799" spans="1:34" ht="12.75" customHeight="1" x14ac:dyDescent="0.3">
      <c r="A799" s="2"/>
      <c r="B799" s="2"/>
      <c r="C799" s="3"/>
      <c r="D799" s="3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4"/>
      <c r="AA799" s="4"/>
      <c r="AB799" s="4"/>
      <c r="AC799" s="4"/>
      <c r="AD799" s="5"/>
      <c r="AE799" s="6"/>
      <c r="AF799" s="6"/>
      <c r="AG799" s="6"/>
      <c r="AH799" s="6"/>
    </row>
    <row r="800" spans="1:34" ht="12.75" customHeight="1" x14ac:dyDescent="0.3">
      <c r="A800" s="2"/>
      <c r="B800" s="2"/>
      <c r="C800" s="3"/>
      <c r="D800" s="3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4"/>
      <c r="AA800" s="4"/>
      <c r="AB800" s="4"/>
      <c r="AC800" s="4"/>
      <c r="AD800" s="5"/>
      <c r="AE800" s="6"/>
      <c r="AF800" s="6"/>
      <c r="AG800" s="6"/>
      <c r="AH800" s="6"/>
    </row>
    <row r="801" spans="1:34" ht="12.75" customHeight="1" x14ac:dyDescent="0.3">
      <c r="A801" s="2"/>
      <c r="B801" s="2"/>
      <c r="C801" s="3"/>
      <c r="D801" s="3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4"/>
      <c r="AA801" s="4"/>
      <c r="AB801" s="4"/>
      <c r="AC801" s="4"/>
      <c r="AD801" s="5"/>
      <c r="AE801" s="6"/>
      <c r="AF801" s="6"/>
      <c r="AG801" s="6"/>
      <c r="AH801" s="6"/>
    </row>
    <row r="802" spans="1:34" ht="12.75" customHeight="1" x14ac:dyDescent="0.3">
      <c r="A802" s="2"/>
      <c r="B802" s="2"/>
      <c r="C802" s="3"/>
      <c r="D802" s="3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4"/>
      <c r="AA802" s="4"/>
      <c r="AB802" s="4"/>
      <c r="AC802" s="4"/>
      <c r="AD802" s="5"/>
      <c r="AE802" s="6"/>
      <c r="AF802" s="6"/>
      <c r="AG802" s="6"/>
      <c r="AH802" s="6"/>
    </row>
    <row r="803" spans="1:34" ht="12.75" customHeight="1" x14ac:dyDescent="0.3">
      <c r="A803" s="2"/>
      <c r="B803" s="2"/>
      <c r="C803" s="3"/>
      <c r="D803" s="3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4"/>
      <c r="AA803" s="4"/>
      <c r="AB803" s="4"/>
      <c r="AC803" s="4"/>
      <c r="AD803" s="5"/>
      <c r="AE803" s="6"/>
      <c r="AF803" s="6"/>
      <c r="AG803" s="6"/>
      <c r="AH803" s="6"/>
    </row>
    <row r="804" spans="1:34" ht="12.75" customHeight="1" x14ac:dyDescent="0.3">
      <c r="A804" s="2"/>
      <c r="B804" s="2"/>
      <c r="C804" s="3"/>
      <c r="D804" s="3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4"/>
      <c r="AA804" s="4"/>
      <c r="AB804" s="4"/>
      <c r="AC804" s="4"/>
      <c r="AD804" s="5"/>
      <c r="AE804" s="6"/>
      <c r="AF804" s="6"/>
      <c r="AG804" s="6"/>
      <c r="AH804" s="6"/>
    </row>
    <row r="805" spans="1:34" ht="12.75" customHeight="1" x14ac:dyDescent="0.3">
      <c r="A805" s="2"/>
      <c r="B805" s="2"/>
      <c r="C805" s="3"/>
      <c r="D805" s="3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4"/>
      <c r="AA805" s="4"/>
      <c r="AB805" s="4"/>
      <c r="AC805" s="4"/>
      <c r="AD805" s="5"/>
      <c r="AE805" s="6"/>
      <c r="AF805" s="6"/>
      <c r="AG805" s="6"/>
      <c r="AH805" s="6"/>
    </row>
    <row r="806" spans="1:34" ht="12.75" customHeight="1" x14ac:dyDescent="0.3">
      <c r="A806" s="2"/>
      <c r="B806" s="2"/>
      <c r="C806" s="3"/>
      <c r="D806" s="3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4"/>
      <c r="AA806" s="4"/>
      <c r="AB806" s="4"/>
      <c r="AC806" s="4"/>
      <c r="AD806" s="5"/>
      <c r="AE806" s="6"/>
      <c r="AF806" s="6"/>
      <c r="AG806" s="6"/>
      <c r="AH806" s="6"/>
    </row>
    <row r="807" spans="1:34" ht="12.75" customHeight="1" x14ac:dyDescent="0.3">
      <c r="A807" s="2"/>
      <c r="B807" s="2"/>
      <c r="C807" s="3"/>
      <c r="D807" s="3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4"/>
      <c r="AA807" s="4"/>
      <c r="AB807" s="4"/>
      <c r="AC807" s="4"/>
      <c r="AD807" s="5"/>
      <c r="AE807" s="6"/>
      <c r="AF807" s="6"/>
      <c r="AG807" s="6"/>
      <c r="AH807" s="6"/>
    </row>
    <row r="808" spans="1:34" ht="12.75" customHeight="1" x14ac:dyDescent="0.3">
      <c r="A808" s="2"/>
      <c r="B808" s="2"/>
      <c r="C808" s="3"/>
      <c r="D808" s="3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4"/>
      <c r="AA808" s="4"/>
      <c r="AB808" s="4"/>
      <c r="AC808" s="4"/>
      <c r="AD808" s="5"/>
      <c r="AE808" s="6"/>
      <c r="AF808" s="6"/>
      <c r="AG808" s="6"/>
      <c r="AH808" s="6"/>
    </row>
    <row r="809" spans="1:34" ht="12.75" customHeight="1" x14ac:dyDescent="0.3">
      <c r="A809" s="2"/>
      <c r="B809" s="2"/>
      <c r="C809" s="3"/>
      <c r="D809" s="3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4"/>
      <c r="AA809" s="4"/>
      <c r="AB809" s="4"/>
      <c r="AC809" s="4"/>
      <c r="AD809" s="5"/>
      <c r="AE809" s="6"/>
      <c r="AF809" s="6"/>
      <c r="AG809" s="6"/>
      <c r="AH809" s="6"/>
    </row>
    <row r="810" spans="1:34" ht="12.75" customHeight="1" x14ac:dyDescent="0.3">
      <c r="A810" s="2"/>
      <c r="B810" s="2"/>
      <c r="C810" s="3"/>
      <c r="D810" s="3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4"/>
      <c r="AA810" s="4"/>
      <c r="AB810" s="4"/>
      <c r="AC810" s="4"/>
      <c r="AD810" s="5"/>
      <c r="AE810" s="6"/>
      <c r="AF810" s="6"/>
      <c r="AG810" s="6"/>
      <c r="AH810" s="6"/>
    </row>
    <row r="811" spans="1:34" ht="12.75" customHeight="1" x14ac:dyDescent="0.3">
      <c r="A811" s="2"/>
      <c r="B811" s="2"/>
      <c r="C811" s="3"/>
      <c r="D811" s="3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4"/>
      <c r="AA811" s="4"/>
      <c r="AB811" s="4"/>
      <c r="AC811" s="4"/>
      <c r="AD811" s="5"/>
      <c r="AE811" s="6"/>
      <c r="AF811" s="6"/>
      <c r="AG811" s="6"/>
      <c r="AH811" s="6"/>
    </row>
    <row r="812" spans="1:34" ht="12.75" customHeight="1" x14ac:dyDescent="0.3">
      <c r="A812" s="2"/>
      <c r="B812" s="2"/>
      <c r="C812" s="3"/>
      <c r="D812" s="3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4"/>
      <c r="AA812" s="4"/>
      <c r="AB812" s="4"/>
      <c r="AC812" s="4"/>
      <c r="AD812" s="5"/>
      <c r="AE812" s="6"/>
      <c r="AF812" s="6"/>
      <c r="AG812" s="6"/>
      <c r="AH812" s="6"/>
    </row>
    <row r="813" spans="1:34" ht="12.75" customHeight="1" x14ac:dyDescent="0.3">
      <c r="A813" s="2"/>
      <c r="B813" s="2"/>
      <c r="C813" s="3"/>
      <c r="D813" s="3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4"/>
      <c r="AA813" s="4"/>
      <c r="AB813" s="4"/>
      <c r="AC813" s="4"/>
      <c r="AD813" s="5"/>
      <c r="AE813" s="6"/>
      <c r="AF813" s="6"/>
      <c r="AG813" s="6"/>
      <c r="AH813" s="6"/>
    </row>
    <row r="814" spans="1:34" ht="12.75" customHeight="1" x14ac:dyDescent="0.3">
      <c r="A814" s="2"/>
      <c r="B814" s="2"/>
      <c r="C814" s="3"/>
      <c r="D814" s="3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4"/>
      <c r="AA814" s="4"/>
      <c r="AB814" s="4"/>
      <c r="AC814" s="4"/>
      <c r="AD814" s="5"/>
      <c r="AE814" s="6"/>
      <c r="AF814" s="6"/>
      <c r="AG814" s="6"/>
      <c r="AH814" s="6"/>
    </row>
    <row r="815" spans="1:34" ht="12.75" customHeight="1" x14ac:dyDescent="0.3">
      <c r="A815" s="2"/>
      <c r="B815" s="2"/>
      <c r="C815" s="3"/>
      <c r="D815" s="3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4"/>
      <c r="AA815" s="4"/>
      <c r="AB815" s="4"/>
      <c r="AC815" s="4"/>
      <c r="AD815" s="5"/>
      <c r="AE815" s="6"/>
      <c r="AF815" s="6"/>
      <c r="AG815" s="6"/>
      <c r="AH815" s="6"/>
    </row>
    <row r="816" spans="1:34" ht="12.75" customHeight="1" x14ac:dyDescent="0.3">
      <c r="A816" s="2"/>
      <c r="B816" s="2"/>
      <c r="C816" s="3"/>
      <c r="D816" s="3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4"/>
      <c r="AA816" s="4"/>
      <c r="AB816" s="4"/>
      <c r="AC816" s="4"/>
      <c r="AD816" s="5"/>
      <c r="AE816" s="6"/>
      <c r="AF816" s="6"/>
      <c r="AG816" s="6"/>
      <c r="AH816" s="6"/>
    </row>
    <row r="817" spans="1:34" ht="12.75" customHeight="1" x14ac:dyDescent="0.3">
      <c r="A817" s="2"/>
      <c r="B817" s="2"/>
      <c r="C817" s="3"/>
      <c r="D817" s="3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4"/>
      <c r="AA817" s="4"/>
      <c r="AB817" s="4"/>
      <c r="AC817" s="4"/>
      <c r="AD817" s="5"/>
      <c r="AE817" s="6"/>
      <c r="AF817" s="6"/>
      <c r="AG817" s="6"/>
      <c r="AH817" s="6"/>
    </row>
    <row r="818" spans="1:34" ht="12.75" customHeight="1" x14ac:dyDescent="0.3">
      <c r="A818" s="2"/>
      <c r="B818" s="2"/>
      <c r="C818" s="3"/>
      <c r="D818" s="3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4"/>
      <c r="AA818" s="4"/>
      <c r="AB818" s="4"/>
      <c r="AC818" s="4"/>
      <c r="AD818" s="5"/>
      <c r="AE818" s="6"/>
      <c r="AF818" s="6"/>
      <c r="AG818" s="6"/>
      <c r="AH818" s="6"/>
    </row>
    <row r="819" spans="1:34" ht="12.75" customHeight="1" x14ac:dyDescent="0.3">
      <c r="A819" s="2"/>
      <c r="B819" s="2"/>
      <c r="C819" s="3"/>
      <c r="D819" s="3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4"/>
      <c r="AA819" s="4"/>
      <c r="AB819" s="4"/>
      <c r="AC819" s="4"/>
      <c r="AD819" s="5"/>
      <c r="AE819" s="6"/>
      <c r="AF819" s="6"/>
      <c r="AG819" s="6"/>
      <c r="AH819" s="6"/>
    </row>
    <row r="820" spans="1:34" ht="12.75" customHeight="1" x14ac:dyDescent="0.3">
      <c r="A820" s="2"/>
      <c r="B820" s="2"/>
      <c r="C820" s="3"/>
      <c r="D820" s="3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4"/>
      <c r="AA820" s="4"/>
      <c r="AB820" s="4"/>
      <c r="AC820" s="4"/>
      <c r="AD820" s="5"/>
      <c r="AE820" s="6"/>
      <c r="AF820" s="6"/>
      <c r="AG820" s="6"/>
      <c r="AH820" s="6"/>
    </row>
    <row r="821" spans="1:34" ht="12.75" customHeight="1" x14ac:dyDescent="0.3">
      <c r="A821" s="2"/>
      <c r="B821" s="2"/>
      <c r="C821" s="3"/>
      <c r="D821" s="3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4"/>
      <c r="AA821" s="4"/>
      <c r="AB821" s="4"/>
      <c r="AC821" s="4"/>
      <c r="AD821" s="5"/>
      <c r="AE821" s="6"/>
      <c r="AF821" s="6"/>
      <c r="AG821" s="6"/>
      <c r="AH821" s="6"/>
    </row>
    <row r="822" spans="1:34" ht="12.75" customHeight="1" x14ac:dyDescent="0.3">
      <c r="A822" s="2"/>
      <c r="B822" s="2"/>
      <c r="C822" s="3"/>
      <c r="D822" s="3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4"/>
      <c r="AA822" s="4"/>
      <c r="AB822" s="4"/>
      <c r="AC822" s="4"/>
      <c r="AD822" s="5"/>
      <c r="AE822" s="6"/>
      <c r="AF822" s="6"/>
      <c r="AG822" s="6"/>
      <c r="AH822" s="6"/>
    </row>
    <row r="823" spans="1:34" ht="12.75" customHeight="1" x14ac:dyDescent="0.3">
      <c r="A823" s="2"/>
      <c r="B823" s="2"/>
      <c r="C823" s="3"/>
      <c r="D823" s="3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4"/>
      <c r="AA823" s="4"/>
      <c r="AB823" s="4"/>
      <c r="AC823" s="4"/>
      <c r="AD823" s="5"/>
      <c r="AE823" s="6"/>
      <c r="AF823" s="6"/>
      <c r="AG823" s="6"/>
      <c r="AH823" s="6"/>
    </row>
    <row r="824" spans="1:34" ht="12.75" customHeight="1" x14ac:dyDescent="0.3">
      <c r="A824" s="2"/>
      <c r="B824" s="2"/>
      <c r="C824" s="3"/>
      <c r="D824" s="3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4"/>
      <c r="AA824" s="4"/>
      <c r="AB824" s="4"/>
      <c r="AC824" s="4"/>
      <c r="AD824" s="5"/>
      <c r="AE824" s="6"/>
      <c r="AF824" s="6"/>
      <c r="AG824" s="6"/>
      <c r="AH824" s="6"/>
    </row>
    <row r="825" spans="1:34" ht="12.75" customHeight="1" x14ac:dyDescent="0.3">
      <c r="A825" s="2"/>
      <c r="B825" s="2"/>
      <c r="C825" s="3"/>
      <c r="D825" s="3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4"/>
      <c r="AA825" s="4"/>
      <c r="AB825" s="4"/>
      <c r="AC825" s="4"/>
      <c r="AD825" s="5"/>
      <c r="AE825" s="6"/>
      <c r="AF825" s="6"/>
      <c r="AG825" s="6"/>
      <c r="AH825" s="6"/>
    </row>
    <row r="826" spans="1:34" ht="12.75" customHeight="1" x14ac:dyDescent="0.3">
      <c r="A826" s="2"/>
      <c r="B826" s="2"/>
      <c r="C826" s="3"/>
      <c r="D826" s="3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4"/>
      <c r="AA826" s="4"/>
      <c r="AB826" s="4"/>
      <c r="AC826" s="4"/>
      <c r="AD826" s="5"/>
      <c r="AE826" s="6"/>
      <c r="AF826" s="6"/>
      <c r="AG826" s="6"/>
      <c r="AH826" s="6"/>
    </row>
    <row r="827" spans="1:34" ht="12.75" customHeight="1" x14ac:dyDescent="0.3">
      <c r="A827" s="2"/>
      <c r="B827" s="2"/>
      <c r="C827" s="3"/>
      <c r="D827" s="3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4"/>
      <c r="AA827" s="4"/>
      <c r="AB827" s="4"/>
      <c r="AC827" s="4"/>
      <c r="AD827" s="5"/>
      <c r="AE827" s="6"/>
      <c r="AF827" s="6"/>
      <c r="AG827" s="6"/>
      <c r="AH827" s="6"/>
    </row>
    <row r="828" spans="1:34" ht="12.75" customHeight="1" x14ac:dyDescent="0.3">
      <c r="A828" s="2"/>
      <c r="B828" s="2"/>
      <c r="C828" s="3"/>
      <c r="D828" s="3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4"/>
      <c r="AA828" s="4"/>
      <c r="AB828" s="4"/>
      <c r="AC828" s="4"/>
      <c r="AD828" s="5"/>
      <c r="AE828" s="6"/>
      <c r="AF828" s="6"/>
      <c r="AG828" s="6"/>
      <c r="AH828" s="6"/>
    </row>
    <row r="829" spans="1:34" ht="12.75" customHeight="1" x14ac:dyDescent="0.3">
      <c r="A829" s="2"/>
      <c r="B829" s="2"/>
      <c r="C829" s="3"/>
      <c r="D829" s="3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4"/>
      <c r="AA829" s="4"/>
      <c r="AB829" s="4"/>
      <c r="AC829" s="4"/>
      <c r="AD829" s="5"/>
      <c r="AE829" s="6"/>
      <c r="AF829" s="6"/>
      <c r="AG829" s="6"/>
      <c r="AH829" s="6"/>
    </row>
    <row r="830" spans="1:34" ht="12.75" customHeight="1" x14ac:dyDescent="0.3">
      <c r="A830" s="2"/>
      <c r="B830" s="2"/>
      <c r="C830" s="3"/>
      <c r="D830" s="3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4"/>
      <c r="AA830" s="4"/>
      <c r="AB830" s="4"/>
      <c r="AC830" s="4"/>
      <c r="AD830" s="5"/>
      <c r="AE830" s="6"/>
      <c r="AF830" s="6"/>
      <c r="AG830" s="6"/>
      <c r="AH830" s="6"/>
    </row>
    <row r="831" spans="1:34" ht="12.75" customHeight="1" x14ac:dyDescent="0.3">
      <c r="A831" s="2"/>
      <c r="B831" s="2"/>
      <c r="C831" s="3"/>
      <c r="D831" s="3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4"/>
      <c r="AA831" s="4"/>
      <c r="AB831" s="4"/>
      <c r="AC831" s="4"/>
      <c r="AD831" s="5"/>
      <c r="AE831" s="6"/>
      <c r="AF831" s="6"/>
      <c r="AG831" s="6"/>
      <c r="AH831" s="6"/>
    </row>
    <row r="832" spans="1:34" ht="12.75" customHeight="1" x14ac:dyDescent="0.3">
      <c r="A832" s="2"/>
      <c r="B832" s="2"/>
      <c r="C832" s="3"/>
      <c r="D832" s="3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4"/>
      <c r="AA832" s="4"/>
      <c r="AB832" s="4"/>
      <c r="AC832" s="4"/>
      <c r="AD832" s="5"/>
      <c r="AE832" s="6"/>
      <c r="AF832" s="6"/>
      <c r="AG832" s="6"/>
      <c r="AH832" s="6"/>
    </row>
    <row r="833" spans="1:34" ht="12.75" customHeight="1" x14ac:dyDescent="0.3">
      <c r="A833" s="2"/>
      <c r="B833" s="2"/>
      <c r="C833" s="3"/>
      <c r="D833" s="3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4"/>
      <c r="AA833" s="4"/>
      <c r="AB833" s="4"/>
      <c r="AC833" s="4"/>
      <c r="AD833" s="5"/>
      <c r="AE833" s="6"/>
      <c r="AF833" s="6"/>
      <c r="AG833" s="6"/>
      <c r="AH833" s="6"/>
    </row>
    <row r="834" spans="1:34" ht="12.75" customHeight="1" x14ac:dyDescent="0.3">
      <c r="A834" s="2"/>
      <c r="B834" s="2"/>
      <c r="C834" s="3"/>
      <c r="D834" s="3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4"/>
      <c r="AA834" s="4"/>
      <c r="AB834" s="4"/>
      <c r="AC834" s="4"/>
      <c r="AD834" s="5"/>
      <c r="AE834" s="6"/>
      <c r="AF834" s="6"/>
      <c r="AG834" s="6"/>
      <c r="AH834" s="6"/>
    </row>
    <row r="835" spans="1:34" ht="12.75" customHeight="1" x14ac:dyDescent="0.3">
      <c r="A835" s="2"/>
      <c r="B835" s="2"/>
      <c r="C835" s="3"/>
      <c r="D835" s="3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4"/>
      <c r="AA835" s="4"/>
      <c r="AB835" s="4"/>
      <c r="AC835" s="4"/>
      <c r="AD835" s="5"/>
      <c r="AE835" s="6"/>
      <c r="AF835" s="6"/>
      <c r="AG835" s="6"/>
      <c r="AH835" s="6"/>
    </row>
    <row r="836" spans="1:34" ht="12.75" customHeight="1" x14ac:dyDescent="0.3">
      <c r="A836" s="2"/>
      <c r="B836" s="2"/>
      <c r="C836" s="3"/>
      <c r="D836" s="3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4"/>
      <c r="AA836" s="4"/>
      <c r="AB836" s="4"/>
      <c r="AC836" s="4"/>
      <c r="AD836" s="5"/>
      <c r="AE836" s="6"/>
      <c r="AF836" s="6"/>
      <c r="AG836" s="6"/>
      <c r="AH836" s="6"/>
    </row>
    <row r="837" spans="1:34" ht="12.75" customHeight="1" x14ac:dyDescent="0.3">
      <c r="A837" s="2"/>
      <c r="B837" s="2"/>
      <c r="C837" s="3"/>
      <c r="D837" s="3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4"/>
      <c r="AA837" s="4"/>
      <c r="AB837" s="4"/>
      <c r="AC837" s="4"/>
      <c r="AD837" s="5"/>
      <c r="AE837" s="6"/>
      <c r="AF837" s="6"/>
      <c r="AG837" s="6"/>
      <c r="AH837" s="6"/>
    </row>
    <row r="838" spans="1:34" ht="12.75" customHeight="1" x14ac:dyDescent="0.3">
      <c r="A838" s="2"/>
      <c r="B838" s="2"/>
      <c r="C838" s="3"/>
      <c r="D838" s="3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4"/>
      <c r="AA838" s="4"/>
      <c r="AB838" s="4"/>
      <c r="AC838" s="4"/>
      <c r="AD838" s="5"/>
      <c r="AE838" s="6"/>
      <c r="AF838" s="6"/>
      <c r="AG838" s="6"/>
      <c r="AH838" s="6"/>
    </row>
    <row r="839" spans="1:34" ht="12.75" customHeight="1" x14ac:dyDescent="0.3">
      <c r="A839" s="2"/>
      <c r="B839" s="2"/>
      <c r="C839" s="3"/>
      <c r="D839" s="3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4"/>
      <c r="AA839" s="4"/>
      <c r="AB839" s="4"/>
      <c r="AC839" s="4"/>
      <c r="AD839" s="5"/>
      <c r="AE839" s="6"/>
      <c r="AF839" s="6"/>
      <c r="AG839" s="6"/>
      <c r="AH839" s="6"/>
    </row>
    <row r="840" spans="1:34" ht="12.75" customHeight="1" x14ac:dyDescent="0.3">
      <c r="A840" s="2"/>
      <c r="B840" s="2"/>
      <c r="C840" s="3"/>
      <c r="D840" s="3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4"/>
      <c r="AA840" s="4"/>
      <c r="AB840" s="4"/>
      <c r="AC840" s="4"/>
      <c r="AD840" s="5"/>
      <c r="AE840" s="6"/>
      <c r="AF840" s="6"/>
      <c r="AG840" s="6"/>
      <c r="AH840" s="6"/>
    </row>
    <row r="841" spans="1:34" ht="12.75" customHeight="1" x14ac:dyDescent="0.3">
      <c r="A841" s="2"/>
      <c r="B841" s="2"/>
      <c r="C841" s="3"/>
      <c r="D841" s="3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4"/>
      <c r="AA841" s="4"/>
      <c r="AB841" s="4"/>
      <c r="AC841" s="4"/>
      <c r="AD841" s="5"/>
      <c r="AE841" s="6"/>
      <c r="AF841" s="6"/>
      <c r="AG841" s="6"/>
      <c r="AH841" s="6"/>
    </row>
    <row r="842" spans="1:34" ht="12.75" customHeight="1" x14ac:dyDescent="0.3">
      <c r="A842" s="2"/>
      <c r="B842" s="2"/>
      <c r="C842" s="3"/>
      <c r="D842" s="3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4"/>
      <c r="AA842" s="4"/>
      <c r="AB842" s="4"/>
      <c r="AC842" s="4"/>
      <c r="AD842" s="5"/>
      <c r="AE842" s="6"/>
      <c r="AF842" s="6"/>
      <c r="AG842" s="6"/>
      <c r="AH842" s="6"/>
    </row>
    <row r="843" spans="1:34" ht="12.75" customHeight="1" x14ac:dyDescent="0.3">
      <c r="A843" s="2"/>
      <c r="B843" s="2"/>
      <c r="C843" s="3"/>
      <c r="D843" s="3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4"/>
      <c r="AA843" s="4"/>
      <c r="AB843" s="4"/>
      <c r="AC843" s="4"/>
      <c r="AD843" s="5"/>
      <c r="AE843" s="6"/>
      <c r="AF843" s="6"/>
      <c r="AG843" s="6"/>
      <c r="AH843" s="6"/>
    </row>
    <row r="844" spans="1:34" ht="12.75" customHeight="1" x14ac:dyDescent="0.3">
      <c r="A844" s="2"/>
      <c r="B844" s="2"/>
      <c r="C844" s="3"/>
      <c r="D844" s="3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4"/>
      <c r="AA844" s="4"/>
      <c r="AB844" s="4"/>
      <c r="AC844" s="4"/>
      <c r="AD844" s="5"/>
      <c r="AE844" s="6"/>
      <c r="AF844" s="6"/>
      <c r="AG844" s="6"/>
      <c r="AH844" s="6"/>
    </row>
    <row r="845" spans="1:34" ht="12.75" customHeight="1" x14ac:dyDescent="0.3">
      <c r="A845" s="2"/>
      <c r="B845" s="2"/>
      <c r="C845" s="3"/>
      <c r="D845" s="3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4"/>
      <c r="AA845" s="4"/>
      <c r="AB845" s="4"/>
      <c r="AC845" s="4"/>
      <c r="AD845" s="5"/>
      <c r="AE845" s="6"/>
      <c r="AF845" s="6"/>
      <c r="AG845" s="6"/>
      <c r="AH845" s="6"/>
    </row>
    <row r="846" spans="1:34" ht="12.75" customHeight="1" x14ac:dyDescent="0.3">
      <c r="A846" s="2"/>
      <c r="B846" s="2"/>
      <c r="C846" s="3"/>
      <c r="D846" s="3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4"/>
      <c r="AA846" s="4"/>
      <c r="AB846" s="4"/>
      <c r="AC846" s="4"/>
      <c r="AD846" s="5"/>
      <c r="AE846" s="6"/>
      <c r="AF846" s="6"/>
      <c r="AG846" s="6"/>
      <c r="AH846" s="6"/>
    </row>
    <row r="847" spans="1:34" ht="12.75" customHeight="1" x14ac:dyDescent="0.3">
      <c r="A847" s="2"/>
      <c r="B847" s="2"/>
      <c r="C847" s="3"/>
      <c r="D847" s="3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4"/>
      <c r="AA847" s="4"/>
      <c r="AB847" s="4"/>
      <c r="AC847" s="4"/>
      <c r="AD847" s="5"/>
      <c r="AE847" s="6"/>
      <c r="AF847" s="6"/>
      <c r="AG847" s="6"/>
      <c r="AH847" s="6"/>
    </row>
    <row r="848" spans="1:34" ht="12.75" customHeight="1" x14ac:dyDescent="0.3">
      <c r="A848" s="2"/>
      <c r="B848" s="2"/>
      <c r="C848" s="3"/>
      <c r="D848" s="3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4"/>
      <c r="AA848" s="4"/>
      <c r="AB848" s="4"/>
      <c r="AC848" s="4"/>
      <c r="AD848" s="5"/>
      <c r="AE848" s="6"/>
      <c r="AF848" s="6"/>
      <c r="AG848" s="6"/>
      <c r="AH848" s="6"/>
    </row>
    <row r="849" spans="1:34" ht="12.75" customHeight="1" x14ac:dyDescent="0.3">
      <c r="A849" s="2"/>
      <c r="B849" s="2"/>
      <c r="C849" s="3"/>
      <c r="D849" s="3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4"/>
      <c r="AA849" s="4"/>
      <c r="AB849" s="4"/>
      <c r="AC849" s="4"/>
      <c r="AD849" s="5"/>
      <c r="AE849" s="6"/>
      <c r="AF849" s="6"/>
      <c r="AG849" s="6"/>
      <c r="AH849" s="6"/>
    </row>
    <row r="850" spans="1:34" ht="12.75" customHeight="1" x14ac:dyDescent="0.3">
      <c r="A850" s="2"/>
      <c r="B850" s="2"/>
      <c r="C850" s="3"/>
      <c r="D850" s="3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4"/>
      <c r="AA850" s="4"/>
      <c r="AB850" s="4"/>
      <c r="AC850" s="4"/>
      <c r="AD850" s="5"/>
      <c r="AE850" s="6"/>
      <c r="AF850" s="6"/>
      <c r="AG850" s="6"/>
      <c r="AH850" s="6"/>
    </row>
    <row r="851" spans="1:34" ht="12.75" customHeight="1" x14ac:dyDescent="0.3">
      <c r="A851" s="2"/>
      <c r="B851" s="2"/>
      <c r="C851" s="3"/>
      <c r="D851" s="3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4"/>
      <c r="AA851" s="4"/>
      <c r="AB851" s="4"/>
      <c r="AC851" s="4"/>
      <c r="AD851" s="5"/>
      <c r="AE851" s="6"/>
      <c r="AF851" s="6"/>
      <c r="AG851" s="6"/>
      <c r="AH851" s="6"/>
    </row>
    <row r="852" spans="1:34" ht="12.75" customHeight="1" x14ac:dyDescent="0.3">
      <c r="A852" s="2"/>
      <c r="B852" s="2"/>
      <c r="C852" s="3"/>
      <c r="D852" s="3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4"/>
      <c r="AA852" s="4"/>
      <c r="AB852" s="4"/>
      <c r="AC852" s="4"/>
      <c r="AD852" s="5"/>
      <c r="AE852" s="6"/>
      <c r="AF852" s="6"/>
      <c r="AG852" s="6"/>
      <c r="AH852" s="6"/>
    </row>
    <row r="853" spans="1:34" ht="12.75" customHeight="1" x14ac:dyDescent="0.3">
      <c r="A853" s="2"/>
      <c r="B853" s="2"/>
      <c r="C853" s="3"/>
      <c r="D853" s="3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4"/>
      <c r="AA853" s="4"/>
      <c r="AB853" s="4"/>
      <c r="AC853" s="4"/>
      <c r="AD853" s="5"/>
      <c r="AE853" s="6"/>
      <c r="AF853" s="6"/>
      <c r="AG853" s="6"/>
      <c r="AH853" s="6"/>
    </row>
    <row r="854" spans="1:34" ht="12.75" customHeight="1" x14ac:dyDescent="0.3">
      <c r="A854" s="2"/>
      <c r="B854" s="2"/>
      <c r="C854" s="3"/>
      <c r="D854" s="3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4"/>
      <c r="AA854" s="4"/>
      <c r="AB854" s="4"/>
      <c r="AC854" s="4"/>
      <c r="AD854" s="5"/>
      <c r="AE854" s="6"/>
      <c r="AF854" s="6"/>
      <c r="AG854" s="6"/>
      <c r="AH854" s="6"/>
    </row>
    <row r="855" spans="1:34" ht="12.75" customHeight="1" x14ac:dyDescent="0.3">
      <c r="A855" s="2"/>
      <c r="B855" s="2"/>
      <c r="C855" s="3"/>
      <c r="D855" s="3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4"/>
      <c r="AA855" s="4"/>
      <c r="AB855" s="4"/>
      <c r="AC855" s="4"/>
      <c r="AD855" s="5"/>
      <c r="AE855" s="6"/>
      <c r="AF855" s="6"/>
      <c r="AG855" s="6"/>
      <c r="AH855" s="6"/>
    </row>
    <row r="856" spans="1:34" ht="12.75" customHeight="1" x14ac:dyDescent="0.3">
      <c r="A856" s="2"/>
      <c r="B856" s="2"/>
      <c r="C856" s="3"/>
      <c r="D856" s="3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4"/>
      <c r="AA856" s="4"/>
      <c r="AB856" s="4"/>
      <c r="AC856" s="4"/>
      <c r="AD856" s="5"/>
      <c r="AE856" s="6"/>
      <c r="AF856" s="6"/>
      <c r="AG856" s="6"/>
      <c r="AH856" s="6"/>
    </row>
    <row r="857" spans="1:34" ht="12.75" customHeight="1" x14ac:dyDescent="0.3">
      <c r="A857" s="2"/>
      <c r="B857" s="2"/>
      <c r="C857" s="3"/>
      <c r="D857" s="3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4"/>
      <c r="AA857" s="4"/>
      <c r="AB857" s="4"/>
      <c r="AC857" s="4"/>
      <c r="AD857" s="5"/>
      <c r="AE857" s="6"/>
      <c r="AF857" s="6"/>
      <c r="AG857" s="6"/>
      <c r="AH857" s="6"/>
    </row>
    <row r="858" spans="1:34" ht="12.75" customHeight="1" x14ac:dyDescent="0.3">
      <c r="A858" s="2"/>
      <c r="B858" s="2"/>
      <c r="C858" s="3"/>
      <c r="D858" s="3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4"/>
      <c r="AA858" s="4"/>
      <c r="AB858" s="4"/>
      <c r="AC858" s="4"/>
      <c r="AD858" s="5"/>
      <c r="AE858" s="6"/>
      <c r="AF858" s="6"/>
      <c r="AG858" s="6"/>
      <c r="AH858" s="6"/>
    </row>
    <row r="859" spans="1:34" ht="12.75" customHeight="1" x14ac:dyDescent="0.3">
      <c r="A859" s="2"/>
      <c r="B859" s="2"/>
      <c r="C859" s="3"/>
      <c r="D859" s="3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4"/>
      <c r="AA859" s="4"/>
      <c r="AB859" s="4"/>
      <c r="AC859" s="4"/>
      <c r="AD859" s="5"/>
      <c r="AE859" s="6"/>
      <c r="AF859" s="6"/>
      <c r="AG859" s="6"/>
      <c r="AH859" s="6"/>
    </row>
    <row r="860" spans="1:34" ht="12.75" customHeight="1" x14ac:dyDescent="0.3">
      <c r="A860" s="2"/>
      <c r="B860" s="2"/>
      <c r="C860" s="3"/>
      <c r="D860" s="3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4"/>
      <c r="AA860" s="4"/>
      <c r="AB860" s="4"/>
      <c r="AC860" s="4"/>
      <c r="AD860" s="5"/>
      <c r="AE860" s="6"/>
      <c r="AF860" s="6"/>
      <c r="AG860" s="6"/>
      <c r="AH860" s="6"/>
    </row>
    <row r="861" spans="1:34" ht="12.75" customHeight="1" x14ac:dyDescent="0.3">
      <c r="A861" s="2"/>
      <c r="B861" s="2"/>
      <c r="C861" s="3"/>
      <c r="D861" s="3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4"/>
      <c r="AA861" s="4"/>
      <c r="AB861" s="4"/>
      <c r="AC861" s="4"/>
      <c r="AD861" s="5"/>
      <c r="AE861" s="6"/>
      <c r="AF861" s="6"/>
      <c r="AG861" s="6"/>
      <c r="AH861" s="6"/>
    </row>
    <row r="862" spans="1:34" ht="12.75" customHeight="1" x14ac:dyDescent="0.3">
      <c r="A862" s="2"/>
      <c r="B862" s="2"/>
      <c r="C862" s="3"/>
      <c r="D862" s="3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4"/>
      <c r="AA862" s="4"/>
      <c r="AB862" s="4"/>
      <c r="AC862" s="4"/>
      <c r="AD862" s="5"/>
      <c r="AE862" s="6"/>
      <c r="AF862" s="6"/>
      <c r="AG862" s="6"/>
      <c r="AH862" s="6"/>
    </row>
    <row r="863" spans="1:34" ht="12.75" customHeight="1" x14ac:dyDescent="0.3">
      <c r="A863" s="2"/>
      <c r="B863" s="2"/>
      <c r="C863" s="3"/>
      <c r="D863" s="3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4"/>
      <c r="AA863" s="4"/>
      <c r="AB863" s="4"/>
      <c r="AC863" s="4"/>
      <c r="AD863" s="5"/>
      <c r="AE863" s="6"/>
      <c r="AF863" s="6"/>
      <c r="AG863" s="6"/>
      <c r="AH863" s="6"/>
    </row>
    <row r="864" spans="1:34" ht="12.75" customHeight="1" x14ac:dyDescent="0.3">
      <c r="A864" s="2"/>
      <c r="B864" s="2"/>
      <c r="C864" s="3"/>
      <c r="D864" s="3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4"/>
      <c r="AA864" s="4"/>
      <c r="AB864" s="4"/>
      <c r="AC864" s="4"/>
      <c r="AD864" s="5"/>
      <c r="AE864" s="6"/>
      <c r="AF864" s="6"/>
      <c r="AG864" s="6"/>
      <c r="AH864" s="6"/>
    </row>
    <row r="865" spans="1:34" ht="12.75" customHeight="1" x14ac:dyDescent="0.3">
      <c r="A865" s="2"/>
      <c r="B865" s="2"/>
      <c r="C865" s="3"/>
      <c r="D865" s="3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4"/>
      <c r="AA865" s="4"/>
      <c r="AB865" s="4"/>
      <c r="AC865" s="4"/>
      <c r="AD865" s="5"/>
      <c r="AE865" s="6"/>
      <c r="AF865" s="6"/>
      <c r="AG865" s="6"/>
      <c r="AH865" s="6"/>
    </row>
    <row r="866" spans="1:34" ht="12.75" customHeight="1" x14ac:dyDescent="0.3">
      <c r="A866" s="2"/>
      <c r="B866" s="2"/>
      <c r="C866" s="3"/>
      <c r="D866" s="3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4"/>
      <c r="AA866" s="4"/>
      <c r="AB866" s="4"/>
      <c r="AC866" s="4"/>
      <c r="AD866" s="5"/>
      <c r="AE866" s="6"/>
      <c r="AF866" s="6"/>
      <c r="AG866" s="6"/>
      <c r="AH866" s="6"/>
    </row>
    <row r="867" spans="1:34" ht="12.75" customHeight="1" x14ac:dyDescent="0.3">
      <c r="A867" s="2"/>
      <c r="B867" s="2"/>
      <c r="C867" s="3"/>
      <c r="D867" s="3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4"/>
      <c r="AA867" s="4"/>
      <c r="AB867" s="4"/>
      <c r="AC867" s="4"/>
      <c r="AD867" s="5"/>
      <c r="AE867" s="6"/>
      <c r="AF867" s="6"/>
      <c r="AG867" s="6"/>
      <c r="AH867" s="6"/>
    </row>
    <row r="868" spans="1:34" ht="12.75" customHeight="1" x14ac:dyDescent="0.3">
      <c r="A868" s="2"/>
      <c r="B868" s="2"/>
      <c r="C868" s="3"/>
      <c r="D868" s="3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4"/>
      <c r="AA868" s="4"/>
      <c r="AB868" s="4"/>
      <c r="AC868" s="4"/>
      <c r="AD868" s="5"/>
      <c r="AE868" s="6"/>
      <c r="AF868" s="6"/>
      <c r="AG868" s="6"/>
      <c r="AH868" s="6"/>
    </row>
    <row r="869" spans="1:34" ht="12.75" customHeight="1" x14ac:dyDescent="0.3">
      <c r="A869" s="2"/>
      <c r="B869" s="2"/>
      <c r="C869" s="3"/>
      <c r="D869" s="3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4"/>
      <c r="AA869" s="4"/>
      <c r="AB869" s="4"/>
      <c r="AC869" s="4"/>
      <c r="AD869" s="5"/>
      <c r="AE869" s="6"/>
      <c r="AF869" s="6"/>
      <c r="AG869" s="6"/>
      <c r="AH869" s="6"/>
    </row>
    <row r="870" spans="1:34" ht="12.75" customHeight="1" x14ac:dyDescent="0.3">
      <c r="A870" s="2"/>
      <c r="B870" s="2"/>
      <c r="C870" s="3"/>
      <c r="D870" s="3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4"/>
      <c r="AA870" s="4"/>
      <c r="AB870" s="4"/>
      <c r="AC870" s="4"/>
      <c r="AD870" s="5"/>
      <c r="AE870" s="6"/>
      <c r="AF870" s="6"/>
      <c r="AG870" s="6"/>
      <c r="AH870" s="6"/>
    </row>
    <row r="871" spans="1:34" ht="12.75" customHeight="1" x14ac:dyDescent="0.3">
      <c r="A871" s="2"/>
      <c r="B871" s="2"/>
      <c r="C871" s="3"/>
      <c r="D871" s="3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4"/>
      <c r="AA871" s="4"/>
      <c r="AB871" s="4"/>
      <c r="AC871" s="4"/>
      <c r="AD871" s="5"/>
      <c r="AE871" s="6"/>
      <c r="AF871" s="6"/>
      <c r="AG871" s="6"/>
      <c r="AH871" s="6"/>
    </row>
    <row r="872" spans="1:34" ht="12.75" customHeight="1" x14ac:dyDescent="0.3">
      <c r="A872" s="2"/>
      <c r="B872" s="2"/>
      <c r="C872" s="3"/>
      <c r="D872" s="3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4"/>
      <c r="AA872" s="4"/>
      <c r="AB872" s="4"/>
      <c r="AC872" s="4"/>
      <c r="AD872" s="5"/>
      <c r="AE872" s="6"/>
      <c r="AF872" s="6"/>
      <c r="AG872" s="6"/>
      <c r="AH872" s="6"/>
    </row>
    <row r="873" spans="1:34" ht="12.75" customHeight="1" x14ac:dyDescent="0.3">
      <c r="A873" s="2"/>
      <c r="B873" s="2"/>
      <c r="C873" s="3"/>
      <c r="D873" s="3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4"/>
      <c r="AA873" s="4"/>
      <c r="AB873" s="4"/>
      <c r="AC873" s="4"/>
      <c r="AD873" s="5"/>
      <c r="AE873" s="6"/>
      <c r="AF873" s="6"/>
      <c r="AG873" s="6"/>
      <c r="AH873" s="6"/>
    </row>
    <row r="874" spans="1:34" ht="12.75" customHeight="1" x14ac:dyDescent="0.3">
      <c r="A874" s="2"/>
      <c r="B874" s="2"/>
      <c r="C874" s="3"/>
      <c r="D874" s="3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4"/>
      <c r="AA874" s="4"/>
      <c r="AB874" s="4"/>
      <c r="AC874" s="4"/>
      <c r="AD874" s="5"/>
      <c r="AE874" s="6"/>
      <c r="AF874" s="6"/>
      <c r="AG874" s="6"/>
      <c r="AH874" s="6"/>
    </row>
    <row r="875" spans="1:34" ht="12.75" customHeight="1" x14ac:dyDescent="0.3">
      <c r="A875" s="2"/>
      <c r="B875" s="2"/>
      <c r="C875" s="3"/>
      <c r="D875" s="3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4"/>
      <c r="AA875" s="4"/>
      <c r="AB875" s="4"/>
      <c r="AC875" s="4"/>
      <c r="AD875" s="5"/>
      <c r="AE875" s="6"/>
      <c r="AF875" s="6"/>
      <c r="AG875" s="6"/>
      <c r="AH875" s="6"/>
    </row>
    <row r="876" spans="1:34" ht="12.75" customHeight="1" x14ac:dyDescent="0.3">
      <c r="A876" s="2"/>
      <c r="B876" s="2"/>
      <c r="C876" s="3"/>
      <c r="D876" s="3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4"/>
      <c r="AA876" s="4"/>
      <c r="AB876" s="4"/>
      <c r="AC876" s="4"/>
      <c r="AD876" s="5"/>
      <c r="AE876" s="6"/>
      <c r="AF876" s="6"/>
      <c r="AG876" s="6"/>
      <c r="AH876" s="6"/>
    </row>
    <row r="877" spans="1:34" ht="12.75" customHeight="1" x14ac:dyDescent="0.3">
      <c r="A877" s="2"/>
      <c r="B877" s="2"/>
      <c r="C877" s="3"/>
      <c r="D877" s="3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4"/>
      <c r="AA877" s="4"/>
      <c r="AB877" s="4"/>
      <c r="AC877" s="4"/>
      <c r="AD877" s="5"/>
      <c r="AE877" s="6"/>
      <c r="AF877" s="6"/>
      <c r="AG877" s="6"/>
      <c r="AH877" s="6"/>
    </row>
    <row r="878" spans="1:34" ht="12.75" customHeight="1" x14ac:dyDescent="0.3">
      <c r="A878" s="2"/>
      <c r="B878" s="2"/>
      <c r="C878" s="3"/>
      <c r="D878" s="3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4"/>
      <c r="AA878" s="4"/>
      <c r="AB878" s="4"/>
      <c r="AC878" s="4"/>
      <c r="AD878" s="5"/>
      <c r="AE878" s="6"/>
      <c r="AF878" s="6"/>
      <c r="AG878" s="6"/>
      <c r="AH878" s="6"/>
    </row>
    <row r="879" spans="1:34" ht="12.75" customHeight="1" x14ac:dyDescent="0.3">
      <c r="A879" s="2"/>
      <c r="B879" s="2"/>
      <c r="C879" s="3"/>
      <c r="D879" s="3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4"/>
      <c r="AA879" s="4"/>
      <c r="AB879" s="4"/>
      <c r="AC879" s="4"/>
      <c r="AD879" s="5"/>
      <c r="AE879" s="6"/>
      <c r="AF879" s="6"/>
      <c r="AG879" s="6"/>
      <c r="AH879" s="6"/>
    </row>
    <row r="880" spans="1:34" ht="12.75" customHeight="1" x14ac:dyDescent="0.3">
      <c r="A880" s="2"/>
      <c r="B880" s="2"/>
      <c r="C880" s="3"/>
      <c r="D880" s="3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4"/>
      <c r="AA880" s="4"/>
      <c r="AB880" s="4"/>
      <c r="AC880" s="4"/>
      <c r="AD880" s="5"/>
      <c r="AE880" s="6"/>
      <c r="AF880" s="6"/>
      <c r="AG880" s="6"/>
      <c r="AH880" s="6"/>
    </row>
    <row r="881" spans="1:34" ht="12.75" customHeight="1" x14ac:dyDescent="0.3">
      <c r="A881" s="2"/>
      <c r="B881" s="2"/>
      <c r="C881" s="3"/>
      <c r="D881" s="3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4"/>
      <c r="AA881" s="4"/>
      <c r="AB881" s="4"/>
      <c r="AC881" s="4"/>
      <c r="AD881" s="5"/>
      <c r="AE881" s="6"/>
      <c r="AF881" s="6"/>
      <c r="AG881" s="6"/>
      <c r="AH881" s="6"/>
    </row>
    <row r="882" spans="1:34" ht="12.75" customHeight="1" x14ac:dyDescent="0.3">
      <c r="A882" s="2"/>
      <c r="B882" s="2"/>
      <c r="C882" s="3"/>
      <c r="D882" s="3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4"/>
      <c r="AA882" s="4"/>
      <c r="AB882" s="4"/>
      <c r="AC882" s="4"/>
      <c r="AD882" s="5"/>
      <c r="AE882" s="6"/>
      <c r="AF882" s="6"/>
      <c r="AG882" s="6"/>
      <c r="AH882" s="6"/>
    </row>
    <row r="883" spans="1:34" ht="12.75" customHeight="1" x14ac:dyDescent="0.3">
      <c r="A883" s="2"/>
      <c r="B883" s="2"/>
      <c r="C883" s="3"/>
      <c r="D883" s="3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4"/>
      <c r="AA883" s="4"/>
      <c r="AB883" s="4"/>
      <c r="AC883" s="4"/>
      <c r="AD883" s="5"/>
      <c r="AE883" s="6"/>
      <c r="AF883" s="6"/>
      <c r="AG883" s="6"/>
      <c r="AH883" s="6"/>
    </row>
    <row r="884" spans="1:34" ht="12.75" customHeight="1" x14ac:dyDescent="0.3">
      <c r="A884" s="2"/>
      <c r="B884" s="2"/>
      <c r="C884" s="3"/>
      <c r="D884" s="3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4"/>
      <c r="AA884" s="4"/>
      <c r="AB884" s="4"/>
      <c r="AC884" s="4"/>
      <c r="AD884" s="5"/>
      <c r="AE884" s="6"/>
      <c r="AF884" s="6"/>
      <c r="AG884" s="6"/>
      <c r="AH884" s="6"/>
    </row>
    <row r="885" spans="1:34" ht="12.75" customHeight="1" x14ac:dyDescent="0.3">
      <c r="A885" s="2"/>
      <c r="B885" s="2"/>
      <c r="C885" s="3"/>
      <c r="D885" s="3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4"/>
      <c r="AA885" s="4"/>
      <c r="AB885" s="4"/>
      <c r="AC885" s="4"/>
      <c r="AD885" s="5"/>
      <c r="AE885" s="6"/>
      <c r="AF885" s="6"/>
      <c r="AG885" s="6"/>
      <c r="AH885" s="6"/>
    </row>
    <row r="886" spans="1:34" ht="12.75" customHeight="1" x14ac:dyDescent="0.3">
      <c r="A886" s="2"/>
      <c r="B886" s="2"/>
      <c r="C886" s="3"/>
      <c r="D886" s="3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4"/>
      <c r="AA886" s="4"/>
      <c r="AB886" s="4"/>
      <c r="AC886" s="4"/>
      <c r="AD886" s="5"/>
      <c r="AE886" s="6"/>
      <c r="AF886" s="6"/>
      <c r="AG886" s="6"/>
      <c r="AH886" s="6"/>
    </row>
    <row r="887" spans="1:34" ht="12.75" customHeight="1" x14ac:dyDescent="0.3">
      <c r="A887" s="2"/>
      <c r="B887" s="2"/>
      <c r="C887" s="3"/>
      <c r="D887" s="3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4"/>
      <c r="AA887" s="4"/>
      <c r="AB887" s="4"/>
      <c r="AC887" s="4"/>
      <c r="AD887" s="5"/>
      <c r="AE887" s="6"/>
      <c r="AF887" s="6"/>
      <c r="AG887" s="6"/>
      <c r="AH887" s="6"/>
    </row>
    <row r="888" spans="1:34" ht="12.75" customHeight="1" x14ac:dyDescent="0.3">
      <c r="A888" s="2"/>
      <c r="B888" s="2"/>
      <c r="C888" s="3"/>
      <c r="D888" s="3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4"/>
      <c r="AA888" s="4"/>
      <c r="AB888" s="4"/>
      <c r="AC888" s="4"/>
      <c r="AD888" s="5"/>
      <c r="AE888" s="6"/>
      <c r="AF888" s="6"/>
      <c r="AG888" s="6"/>
      <c r="AH888" s="6"/>
    </row>
    <row r="889" spans="1:34" ht="12.75" customHeight="1" x14ac:dyDescent="0.3">
      <c r="A889" s="2"/>
      <c r="B889" s="2"/>
      <c r="C889" s="3"/>
      <c r="D889" s="3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4"/>
      <c r="AA889" s="4"/>
      <c r="AB889" s="4"/>
      <c r="AC889" s="4"/>
      <c r="AD889" s="5"/>
      <c r="AE889" s="6"/>
      <c r="AF889" s="6"/>
      <c r="AG889" s="6"/>
      <c r="AH889" s="6"/>
    </row>
    <row r="890" spans="1:34" ht="12.75" customHeight="1" x14ac:dyDescent="0.3">
      <c r="A890" s="2"/>
      <c r="B890" s="2"/>
      <c r="C890" s="3"/>
      <c r="D890" s="3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4"/>
      <c r="AA890" s="4"/>
      <c r="AB890" s="4"/>
      <c r="AC890" s="4"/>
      <c r="AD890" s="5"/>
      <c r="AE890" s="6"/>
      <c r="AF890" s="6"/>
      <c r="AG890" s="6"/>
      <c r="AH890" s="6"/>
    </row>
    <row r="891" spans="1:34" ht="12.75" customHeight="1" x14ac:dyDescent="0.3">
      <c r="A891" s="2"/>
      <c r="B891" s="2"/>
      <c r="C891" s="3"/>
      <c r="D891" s="3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4"/>
      <c r="AA891" s="4"/>
      <c r="AB891" s="4"/>
      <c r="AC891" s="4"/>
      <c r="AD891" s="5"/>
      <c r="AE891" s="6"/>
      <c r="AF891" s="6"/>
      <c r="AG891" s="6"/>
      <c r="AH891" s="6"/>
    </row>
    <row r="892" spans="1:34" ht="12.75" customHeight="1" x14ac:dyDescent="0.3">
      <c r="A892" s="2"/>
      <c r="B892" s="2"/>
      <c r="C892" s="3"/>
      <c r="D892" s="3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4"/>
      <c r="AA892" s="4"/>
      <c r="AB892" s="4"/>
      <c r="AC892" s="4"/>
      <c r="AD892" s="5"/>
      <c r="AE892" s="6"/>
      <c r="AF892" s="6"/>
      <c r="AG892" s="6"/>
      <c r="AH892" s="6"/>
    </row>
    <row r="893" spans="1:34" ht="12.75" customHeight="1" x14ac:dyDescent="0.3">
      <c r="A893" s="2"/>
      <c r="B893" s="2"/>
      <c r="C893" s="3"/>
      <c r="D893" s="3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4"/>
      <c r="AA893" s="4"/>
      <c r="AB893" s="4"/>
      <c r="AC893" s="4"/>
      <c r="AD893" s="5"/>
      <c r="AE893" s="6"/>
      <c r="AF893" s="6"/>
      <c r="AG893" s="6"/>
      <c r="AH893" s="6"/>
    </row>
    <row r="894" spans="1:34" ht="12.75" customHeight="1" x14ac:dyDescent="0.3">
      <c r="A894" s="2"/>
      <c r="B894" s="2"/>
      <c r="C894" s="3"/>
      <c r="D894" s="3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4"/>
      <c r="AA894" s="4"/>
      <c r="AB894" s="4"/>
      <c r="AC894" s="4"/>
      <c r="AD894" s="5"/>
      <c r="AE894" s="6"/>
      <c r="AF894" s="6"/>
      <c r="AG894" s="6"/>
      <c r="AH894" s="6"/>
    </row>
    <row r="895" spans="1:34" ht="12.75" customHeight="1" x14ac:dyDescent="0.3">
      <c r="A895" s="2"/>
      <c r="B895" s="2"/>
      <c r="C895" s="3"/>
      <c r="D895" s="3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4"/>
      <c r="AA895" s="4"/>
      <c r="AB895" s="4"/>
      <c r="AC895" s="4"/>
      <c r="AD895" s="5"/>
      <c r="AE895" s="6"/>
      <c r="AF895" s="6"/>
      <c r="AG895" s="6"/>
      <c r="AH895" s="6"/>
    </row>
    <row r="896" spans="1:34" ht="12.75" customHeight="1" x14ac:dyDescent="0.3">
      <c r="A896" s="2"/>
      <c r="B896" s="2"/>
      <c r="C896" s="3"/>
      <c r="D896" s="3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4"/>
      <c r="AA896" s="4"/>
      <c r="AB896" s="4"/>
      <c r="AC896" s="4"/>
      <c r="AD896" s="5"/>
      <c r="AE896" s="6"/>
      <c r="AF896" s="6"/>
      <c r="AG896" s="6"/>
      <c r="AH896" s="6"/>
    </row>
    <row r="897" spans="1:34" ht="12.75" customHeight="1" x14ac:dyDescent="0.3">
      <c r="A897" s="2"/>
      <c r="B897" s="2"/>
      <c r="C897" s="3"/>
      <c r="D897" s="3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4"/>
      <c r="AA897" s="4"/>
      <c r="AB897" s="4"/>
      <c r="AC897" s="4"/>
      <c r="AD897" s="5"/>
      <c r="AE897" s="6"/>
      <c r="AF897" s="6"/>
      <c r="AG897" s="6"/>
      <c r="AH897" s="6"/>
    </row>
    <row r="898" spans="1:34" ht="12.75" customHeight="1" x14ac:dyDescent="0.3">
      <c r="A898" s="2"/>
      <c r="B898" s="2"/>
      <c r="C898" s="3"/>
      <c r="D898" s="3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4"/>
      <c r="AA898" s="4"/>
      <c r="AB898" s="4"/>
      <c r="AC898" s="4"/>
      <c r="AD898" s="5"/>
      <c r="AE898" s="6"/>
      <c r="AF898" s="6"/>
      <c r="AG898" s="6"/>
      <c r="AH898" s="6"/>
    </row>
    <row r="899" spans="1:34" ht="12.75" customHeight="1" x14ac:dyDescent="0.3">
      <c r="A899" s="2"/>
      <c r="B899" s="2"/>
      <c r="C899" s="3"/>
      <c r="D899" s="3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4"/>
      <c r="AA899" s="4"/>
      <c r="AB899" s="4"/>
      <c r="AC899" s="4"/>
      <c r="AD899" s="5"/>
      <c r="AE899" s="6"/>
      <c r="AF899" s="6"/>
      <c r="AG899" s="6"/>
      <c r="AH899" s="6"/>
    </row>
    <row r="900" spans="1:34" ht="12.75" customHeight="1" x14ac:dyDescent="0.3">
      <c r="A900" s="2"/>
      <c r="B900" s="2"/>
      <c r="C900" s="3"/>
      <c r="D900" s="3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4"/>
      <c r="AA900" s="4"/>
      <c r="AB900" s="4"/>
      <c r="AC900" s="4"/>
      <c r="AD900" s="5"/>
      <c r="AE900" s="6"/>
      <c r="AF900" s="6"/>
      <c r="AG900" s="6"/>
      <c r="AH900" s="6"/>
    </row>
    <row r="901" spans="1:34" ht="12.75" customHeight="1" x14ac:dyDescent="0.3">
      <c r="A901" s="2"/>
      <c r="B901" s="2"/>
      <c r="C901" s="3"/>
      <c r="D901" s="3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4"/>
      <c r="AA901" s="4"/>
      <c r="AB901" s="4"/>
      <c r="AC901" s="4"/>
      <c r="AD901" s="5"/>
      <c r="AE901" s="6"/>
      <c r="AF901" s="6"/>
      <c r="AG901" s="6"/>
      <c r="AH901" s="6"/>
    </row>
    <row r="902" spans="1:34" ht="12.75" customHeight="1" x14ac:dyDescent="0.3">
      <c r="A902" s="2"/>
      <c r="B902" s="2"/>
      <c r="C902" s="3"/>
      <c r="D902" s="3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4"/>
      <c r="AA902" s="4"/>
      <c r="AB902" s="4"/>
      <c r="AC902" s="4"/>
      <c r="AD902" s="5"/>
      <c r="AE902" s="6"/>
      <c r="AF902" s="6"/>
      <c r="AG902" s="6"/>
      <c r="AH902" s="6"/>
    </row>
    <row r="903" spans="1:34" ht="12.75" customHeight="1" x14ac:dyDescent="0.3">
      <c r="A903" s="2"/>
      <c r="B903" s="2"/>
      <c r="C903" s="3"/>
      <c r="D903" s="3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4"/>
      <c r="AA903" s="4"/>
      <c r="AB903" s="4"/>
      <c r="AC903" s="4"/>
      <c r="AD903" s="5"/>
      <c r="AE903" s="6"/>
      <c r="AF903" s="6"/>
      <c r="AG903" s="6"/>
      <c r="AH903" s="6"/>
    </row>
    <row r="904" spans="1:34" ht="12.75" customHeight="1" x14ac:dyDescent="0.3">
      <c r="A904" s="2"/>
      <c r="B904" s="2"/>
      <c r="C904" s="3"/>
      <c r="D904" s="3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4"/>
      <c r="AA904" s="4"/>
      <c r="AB904" s="4"/>
      <c r="AC904" s="4"/>
      <c r="AD904" s="5"/>
      <c r="AE904" s="6"/>
      <c r="AF904" s="6"/>
      <c r="AG904" s="6"/>
      <c r="AH904" s="6"/>
    </row>
    <row r="905" spans="1:34" ht="12.75" customHeight="1" x14ac:dyDescent="0.3">
      <c r="A905" s="2"/>
      <c r="B905" s="2"/>
      <c r="C905" s="3"/>
      <c r="D905" s="3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4"/>
      <c r="AA905" s="4"/>
      <c r="AB905" s="4"/>
      <c r="AC905" s="4"/>
      <c r="AD905" s="5"/>
      <c r="AE905" s="6"/>
      <c r="AF905" s="6"/>
      <c r="AG905" s="6"/>
      <c r="AH905" s="6"/>
    </row>
    <row r="906" spans="1:34" ht="12.75" customHeight="1" x14ac:dyDescent="0.3">
      <c r="A906" s="2"/>
      <c r="B906" s="2"/>
      <c r="C906" s="3"/>
      <c r="D906" s="3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4"/>
      <c r="AA906" s="4"/>
      <c r="AB906" s="4"/>
      <c r="AC906" s="4"/>
      <c r="AD906" s="5"/>
      <c r="AE906" s="6"/>
      <c r="AF906" s="6"/>
      <c r="AG906" s="6"/>
      <c r="AH906" s="6"/>
    </row>
    <row r="907" spans="1:34" ht="12.75" customHeight="1" x14ac:dyDescent="0.3">
      <c r="A907" s="2"/>
      <c r="B907" s="2"/>
      <c r="C907" s="3"/>
      <c r="D907" s="3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4"/>
      <c r="AA907" s="4"/>
      <c r="AB907" s="4"/>
      <c r="AC907" s="4"/>
      <c r="AD907" s="5"/>
      <c r="AE907" s="6"/>
      <c r="AF907" s="6"/>
      <c r="AG907" s="6"/>
      <c r="AH907" s="6"/>
    </row>
    <row r="908" spans="1:34" ht="12.75" customHeight="1" x14ac:dyDescent="0.3">
      <c r="A908" s="2"/>
      <c r="B908" s="2"/>
      <c r="C908" s="3"/>
      <c r="D908" s="3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4"/>
      <c r="AA908" s="4"/>
      <c r="AB908" s="4"/>
      <c r="AC908" s="4"/>
      <c r="AD908" s="5"/>
      <c r="AE908" s="6"/>
      <c r="AF908" s="6"/>
      <c r="AG908" s="6"/>
      <c r="AH908" s="6"/>
    </row>
    <row r="909" spans="1:34" ht="12.75" customHeight="1" x14ac:dyDescent="0.3">
      <c r="A909" s="2"/>
      <c r="B909" s="2"/>
      <c r="C909" s="3"/>
      <c r="D909" s="3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4"/>
      <c r="AA909" s="4"/>
      <c r="AB909" s="4"/>
      <c r="AC909" s="4"/>
      <c r="AD909" s="5"/>
      <c r="AE909" s="6"/>
      <c r="AF909" s="6"/>
      <c r="AG909" s="6"/>
      <c r="AH909" s="6"/>
    </row>
    <row r="910" spans="1:34" ht="12.75" customHeight="1" x14ac:dyDescent="0.3">
      <c r="A910" s="2"/>
      <c r="B910" s="2"/>
      <c r="C910" s="3"/>
      <c r="D910" s="3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4"/>
      <c r="AA910" s="4"/>
      <c r="AB910" s="4"/>
      <c r="AC910" s="4"/>
      <c r="AD910" s="5"/>
      <c r="AE910" s="6"/>
      <c r="AF910" s="6"/>
      <c r="AG910" s="6"/>
      <c r="AH910" s="6"/>
    </row>
    <row r="911" spans="1:34" ht="12.75" customHeight="1" x14ac:dyDescent="0.3">
      <c r="A911" s="2"/>
      <c r="B911" s="2"/>
      <c r="C911" s="3"/>
      <c r="D911" s="3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4"/>
      <c r="AA911" s="4"/>
      <c r="AB911" s="4"/>
      <c r="AC911" s="4"/>
      <c r="AD911" s="5"/>
      <c r="AE911" s="6"/>
      <c r="AF911" s="6"/>
      <c r="AG911" s="6"/>
      <c r="AH911" s="6"/>
    </row>
    <row r="912" spans="1:34" ht="12.75" customHeight="1" x14ac:dyDescent="0.3">
      <c r="A912" s="2"/>
      <c r="B912" s="2"/>
      <c r="C912" s="3"/>
      <c r="D912" s="3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4"/>
      <c r="AA912" s="4"/>
      <c r="AB912" s="4"/>
      <c r="AC912" s="4"/>
      <c r="AD912" s="5"/>
      <c r="AE912" s="6"/>
      <c r="AF912" s="6"/>
      <c r="AG912" s="6"/>
      <c r="AH912" s="6"/>
    </row>
    <row r="913" spans="1:34" ht="12.75" customHeight="1" x14ac:dyDescent="0.3">
      <c r="A913" s="2"/>
      <c r="B913" s="2"/>
      <c r="C913" s="3"/>
      <c r="D913" s="3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4"/>
      <c r="AA913" s="4"/>
      <c r="AB913" s="4"/>
      <c r="AC913" s="4"/>
      <c r="AD913" s="5"/>
      <c r="AE913" s="6"/>
      <c r="AF913" s="6"/>
      <c r="AG913" s="6"/>
      <c r="AH913" s="6"/>
    </row>
    <row r="914" spans="1:34" ht="12.75" customHeight="1" x14ac:dyDescent="0.3">
      <c r="A914" s="2"/>
      <c r="B914" s="2"/>
      <c r="C914" s="3"/>
      <c r="D914" s="3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4"/>
      <c r="AA914" s="4"/>
      <c r="AB914" s="4"/>
      <c r="AC914" s="4"/>
      <c r="AD914" s="5"/>
      <c r="AE914" s="6"/>
      <c r="AF914" s="6"/>
      <c r="AG914" s="6"/>
      <c r="AH914" s="6"/>
    </row>
    <row r="915" spans="1:34" ht="12.75" customHeight="1" x14ac:dyDescent="0.3">
      <c r="A915" s="2"/>
      <c r="B915" s="2"/>
      <c r="C915" s="3"/>
      <c r="D915" s="3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4"/>
      <c r="AA915" s="4"/>
      <c r="AB915" s="4"/>
      <c r="AC915" s="4"/>
      <c r="AD915" s="5"/>
      <c r="AE915" s="6"/>
      <c r="AF915" s="6"/>
      <c r="AG915" s="6"/>
      <c r="AH915" s="6"/>
    </row>
    <row r="916" spans="1:34" ht="12.75" customHeight="1" x14ac:dyDescent="0.3">
      <c r="A916" s="2"/>
      <c r="B916" s="2"/>
      <c r="C916" s="3"/>
      <c r="D916" s="3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4"/>
      <c r="AA916" s="4"/>
      <c r="AB916" s="4"/>
      <c r="AC916" s="4"/>
      <c r="AD916" s="5"/>
      <c r="AE916" s="6"/>
      <c r="AF916" s="6"/>
      <c r="AG916" s="6"/>
      <c r="AH916" s="6"/>
    </row>
    <row r="917" spans="1:34" ht="12.75" customHeight="1" x14ac:dyDescent="0.3">
      <c r="A917" s="2"/>
      <c r="B917" s="2"/>
      <c r="C917" s="3"/>
      <c r="D917" s="3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4"/>
      <c r="AA917" s="4"/>
      <c r="AB917" s="4"/>
      <c r="AC917" s="4"/>
      <c r="AD917" s="5"/>
      <c r="AE917" s="6"/>
      <c r="AF917" s="6"/>
      <c r="AG917" s="6"/>
      <c r="AH917" s="6"/>
    </row>
    <row r="918" spans="1:34" ht="12.75" customHeight="1" x14ac:dyDescent="0.3">
      <c r="A918" s="2"/>
      <c r="B918" s="2"/>
      <c r="C918" s="3"/>
      <c r="D918" s="3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4"/>
      <c r="AA918" s="4"/>
      <c r="AB918" s="4"/>
      <c r="AC918" s="4"/>
      <c r="AD918" s="5"/>
      <c r="AE918" s="6"/>
      <c r="AF918" s="6"/>
      <c r="AG918" s="6"/>
      <c r="AH918" s="6"/>
    </row>
    <row r="919" spans="1:34" ht="12.75" customHeight="1" x14ac:dyDescent="0.3">
      <c r="A919" s="2"/>
      <c r="B919" s="2"/>
      <c r="C919" s="3"/>
      <c r="D919" s="3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4"/>
      <c r="AA919" s="4"/>
      <c r="AB919" s="4"/>
      <c r="AC919" s="4"/>
      <c r="AD919" s="5"/>
      <c r="AE919" s="6"/>
      <c r="AF919" s="6"/>
      <c r="AG919" s="6"/>
      <c r="AH919" s="6"/>
    </row>
    <row r="920" spans="1:34" ht="12.75" customHeight="1" x14ac:dyDescent="0.3">
      <c r="A920" s="2"/>
      <c r="B920" s="2"/>
      <c r="C920" s="3"/>
      <c r="D920" s="3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4"/>
      <c r="AA920" s="4"/>
      <c r="AB920" s="4"/>
      <c r="AC920" s="4"/>
      <c r="AD920" s="5"/>
      <c r="AE920" s="6"/>
      <c r="AF920" s="6"/>
      <c r="AG920" s="6"/>
      <c r="AH920" s="6"/>
    </row>
    <row r="921" spans="1:34" ht="12.75" customHeight="1" x14ac:dyDescent="0.3">
      <c r="A921" s="2"/>
      <c r="B921" s="2"/>
      <c r="C921" s="3"/>
      <c r="D921" s="3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4"/>
      <c r="AA921" s="4"/>
      <c r="AB921" s="4"/>
      <c r="AC921" s="4"/>
      <c r="AD921" s="5"/>
      <c r="AE921" s="6"/>
      <c r="AF921" s="6"/>
      <c r="AG921" s="6"/>
      <c r="AH921" s="6"/>
    </row>
    <row r="922" spans="1:34" ht="12.75" customHeight="1" x14ac:dyDescent="0.3">
      <c r="A922" s="2"/>
      <c r="B922" s="2"/>
      <c r="C922" s="3"/>
      <c r="D922" s="3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4"/>
      <c r="AA922" s="4"/>
      <c r="AB922" s="4"/>
      <c r="AC922" s="4"/>
      <c r="AD922" s="5"/>
      <c r="AE922" s="6"/>
      <c r="AF922" s="6"/>
      <c r="AG922" s="6"/>
      <c r="AH922" s="6"/>
    </row>
    <row r="923" spans="1:34" ht="12.75" customHeight="1" x14ac:dyDescent="0.3">
      <c r="A923" s="2"/>
      <c r="B923" s="2"/>
      <c r="C923" s="3"/>
      <c r="D923" s="3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4"/>
      <c r="AA923" s="4"/>
      <c r="AB923" s="4"/>
      <c r="AC923" s="4"/>
      <c r="AD923" s="5"/>
      <c r="AE923" s="6"/>
      <c r="AF923" s="6"/>
      <c r="AG923" s="6"/>
      <c r="AH923" s="6"/>
    </row>
    <row r="924" spans="1:34" ht="12.75" customHeight="1" x14ac:dyDescent="0.3">
      <c r="A924" s="2"/>
      <c r="B924" s="2"/>
      <c r="C924" s="3"/>
      <c r="D924" s="3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4"/>
      <c r="AA924" s="4"/>
      <c r="AB924" s="4"/>
      <c r="AC924" s="4"/>
      <c r="AD924" s="5"/>
      <c r="AE924" s="6"/>
      <c r="AF924" s="6"/>
      <c r="AG924" s="6"/>
      <c r="AH924" s="6"/>
    </row>
    <row r="925" spans="1:34" ht="12.75" customHeight="1" x14ac:dyDescent="0.3">
      <c r="A925" s="2"/>
      <c r="B925" s="2"/>
      <c r="C925" s="3"/>
      <c r="D925" s="3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4"/>
      <c r="AA925" s="4"/>
      <c r="AB925" s="4"/>
      <c r="AC925" s="4"/>
      <c r="AD925" s="5"/>
      <c r="AE925" s="6"/>
      <c r="AF925" s="6"/>
      <c r="AG925" s="6"/>
      <c r="AH925" s="6"/>
    </row>
    <row r="926" spans="1:34" ht="12.75" customHeight="1" x14ac:dyDescent="0.3">
      <c r="A926" s="2"/>
      <c r="B926" s="2"/>
      <c r="C926" s="3"/>
      <c r="D926" s="3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4"/>
      <c r="AA926" s="4"/>
      <c r="AB926" s="4"/>
      <c r="AC926" s="4"/>
      <c r="AD926" s="5"/>
      <c r="AE926" s="6"/>
      <c r="AF926" s="6"/>
      <c r="AG926" s="6"/>
      <c r="AH926" s="6"/>
    </row>
    <row r="927" spans="1:34" ht="12.75" customHeight="1" x14ac:dyDescent="0.3">
      <c r="A927" s="2"/>
      <c r="B927" s="2"/>
      <c r="C927" s="3"/>
      <c r="D927" s="3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4"/>
      <c r="AA927" s="4"/>
      <c r="AB927" s="4"/>
      <c r="AC927" s="4"/>
      <c r="AD927" s="5"/>
      <c r="AE927" s="6"/>
      <c r="AF927" s="6"/>
      <c r="AG927" s="6"/>
      <c r="AH927" s="6"/>
    </row>
    <row r="928" spans="1:34" ht="12.75" customHeight="1" x14ac:dyDescent="0.3">
      <c r="A928" s="2"/>
      <c r="B928" s="2"/>
      <c r="C928" s="3"/>
      <c r="D928" s="3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4"/>
      <c r="AA928" s="4"/>
      <c r="AB928" s="4"/>
      <c r="AC928" s="4"/>
      <c r="AD928" s="5"/>
      <c r="AE928" s="6"/>
      <c r="AF928" s="6"/>
      <c r="AG928" s="6"/>
      <c r="AH928" s="6"/>
    </row>
    <row r="929" spans="1:34" ht="12.75" customHeight="1" x14ac:dyDescent="0.3">
      <c r="A929" s="2"/>
      <c r="B929" s="2"/>
      <c r="C929" s="3"/>
      <c r="D929" s="3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4"/>
      <c r="AA929" s="4"/>
      <c r="AB929" s="4"/>
      <c r="AC929" s="4"/>
      <c r="AD929" s="5"/>
      <c r="AE929" s="6"/>
      <c r="AF929" s="6"/>
      <c r="AG929" s="6"/>
      <c r="AH929" s="6"/>
    </row>
    <row r="930" spans="1:34" ht="12.75" customHeight="1" x14ac:dyDescent="0.3">
      <c r="A930" s="2"/>
      <c r="B930" s="2"/>
      <c r="C930" s="3"/>
      <c r="D930" s="3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4"/>
      <c r="AA930" s="4"/>
      <c r="AB930" s="4"/>
      <c r="AC930" s="4"/>
      <c r="AD930" s="5"/>
      <c r="AE930" s="6"/>
      <c r="AF930" s="6"/>
      <c r="AG930" s="6"/>
      <c r="AH930" s="6"/>
    </row>
    <row r="931" spans="1:34" ht="12.75" customHeight="1" x14ac:dyDescent="0.3">
      <c r="A931" s="2"/>
      <c r="B931" s="2"/>
      <c r="C931" s="3"/>
      <c r="D931" s="3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4"/>
      <c r="AA931" s="4"/>
      <c r="AB931" s="4"/>
      <c r="AC931" s="4"/>
      <c r="AD931" s="5"/>
      <c r="AE931" s="6"/>
      <c r="AF931" s="6"/>
      <c r="AG931" s="6"/>
      <c r="AH931" s="6"/>
    </row>
    <row r="932" spans="1:34" ht="12.75" customHeight="1" x14ac:dyDescent="0.3">
      <c r="A932" s="2"/>
      <c r="B932" s="2"/>
      <c r="C932" s="3"/>
      <c r="D932" s="3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4"/>
      <c r="AA932" s="4"/>
      <c r="AB932" s="4"/>
      <c r="AC932" s="4"/>
      <c r="AD932" s="5"/>
      <c r="AE932" s="6"/>
      <c r="AF932" s="6"/>
      <c r="AG932" s="6"/>
      <c r="AH932" s="6"/>
    </row>
    <row r="933" spans="1:34" ht="12.75" customHeight="1" x14ac:dyDescent="0.3">
      <c r="A933" s="2"/>
      <c r="B933" s="2"/>
      <c r="C933" s="3"/>
      <c r="D933" s="3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4"/>
      <c r="AA933" s="4"/>
      <c r="AB933" s="4"/>
      <c r="AC933" s="4"/>
      <c r="AD933" s="5"/>
      <c r="AE933" s="6"/>
      <c r="AF933" s="6"/>
      <c r="AG933" s="6"/>
      <c r="AH933" s="6"/>
    </row>
    <row r="934" spans="1:34" ht="12.75" customHeight="1" x14ac:dyDescent="0.3">
      <c r="A934" s="2"/>
      <c r="B934" s="2"/>
      <c r="C934" s="3"/>
      <c r="D934" s="3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4"/>
      <c r="AA934" s="4"/>
      <c r="AB934" s="4"/>
      <c r="AC934" s="4"/>
      <c r="AD934" s="5"/>
      <c r="AE934" s="6"/>
      <c r="AF934" s="6"/>
      <c r="AG934" s="6"/>
      <c r="AH934" s="6"/>
    </row>
    <row r="935" spans="1:34" ht="12.75" customHeight="1" x14ac:dyDescent="0.3">
      <c r="A935" s="2"/>
      <c r="B935" s="2"/>
      <c r="C935" s="3"/>
      <c r="D935" s="3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4"/>
      <c r="AA935" s="4"/>
      <c r="AB935" s="4"/>
      <c r="AC935" s="4"/>
      <c r="AD935" s="5"/>
      <c r="AE935" s="6"/>
      <c r="AF935" s="6"/>
      <c r="AG935" s="6"/>
      <c r="AH935" s="6"/>
    </row>
    <row r="936" spans="1:34" ht="12.75" customHeight="1" x14ac:dyDescent="0.3">
      <c r="A936" s="2"/>
      <c r="B936" s="2"/>
      <c r="C936" s="3"/>
      <c r="D936" s="3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4"/>
      <c r="AA936" s="4"/>
      <c r="AB936" s="4"/>
      <c r="AC936" s="4"/>
      <c r="AD936" s="5"/>
      <c r="AE936" s="6"/>
      <c r="AF936" s="6"/>
      <c r="AG936" s="6"/>
      <c r="AH936" s="6"/>
    </row>
    <row r="937" spans="1:34" ht="12.75" customHeight="1" x14ac:dyDescent="0.3">
      <c r="A937" s="2"/>
      <c r="B937" s="2"/>
      <c r="C937" s="3"/>
      <c r="D937" s="3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4"/>
      <c r="AA937" s="4"/>
      <c r="AB937" s="4"/>
      <c r="AC937" s="4"/>
      <c r="AD937" s="5"/>
      <c r="AE937" s="6"/>
      <c r="AF937" s="6"/>
      <c r="AG937" s="6"/>
      <c r="AH937" s="6"/>
    </row>
    <row r="938" spans="1:34" ht="12.75" customHeight="1" x14ac:dyDescent="0.3">
      <c r="A938" s="2"/>
      <c r="B938" s="2"/>
      <c r="C938" s="3"/>
      <c r="D938" s="3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4"/>
      <c r="AA938" s="4"/>
      <c r="AB938" s="4"/>
      <c r="AC938" s="4"/>
      <c r="AD938" s="5"/>
      <c r="AE938" s="6"/>
      <c r="AF938" s="6"/>
      <c r="AG938" s="6"/>
      <c r="AH938" s="6"/>
    </row>
    <row r="939" spans="1:34" ht="12.75" customHeight="1" x14ac:dyDescent="0.3">
      <c r="A939" s="2"/>
      <c r="B939" s="2"/>
      <c r="C939" s="3"/>
      <c r="D939" s="3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4"/>
      <c r="AA939" s="4"/>
      <c r="AB939" s="4"/>
      <c r="AC939" s="4"/>
      <c r="AD939" s="5"/>
      <c r="AE939" s="6"/>
      <c r="AF939" s="6"/>
      <c r="AG939" s="6"/>
      <c r="AH939" s="6"/>
    </row>
    <row r="940" spans="1:34" ht="12.75" customHeight="1" x14ac:dyDescent="0.3">
      <c r="A940" s="2"/>
      <c r="B940" s="2"/>
      <c r="C940" s="3"/>
      <c r="D940" s="3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4"/>
      <c r="AA940" s="4"/>
      <c r="AB940" s="4"/>
      <c r="AC940" s="4"/>
      <c r="AD940" s="5"/>
      <c r="AE940" s="6"/>
      <c r="AF940" s="6"/>
      <c r="AG940" s="6"/>
      <c r="AH940" s="6"/>
    </row>
    <row r="941" spans="1:34" ht="12.75" customHeight="1" x14ac:dyDescent="0.3">
      <c r="A941" s="2"/>
      <c r="B941" s="2"/>
      <c r="C941" s="3"/>
      <c r="D941" s="3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4"/>
      <c r="AA941" s="4"/>
      <c r="AB941" s="4"/>
      <c r="AC941" s="4"/>
      <c r="AD941" s="5"/>
      <c r="AE941" s="6"/>
      <c r="AF941" s="6"/>
      <c r="AG941" s="6"/>
      <c r="AH941" s="6"/>
    </row>
    <row r="942" spans="1:34" ht="14.4" x14ac:dyDescent="0.3">
      <c r="A942" s="6"/>
      <c r="B942" s="6"/>
      <c r="C942" s="40"/>
      <c r="D942" s="40"/>
      <c r="E942" s="4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4"/>
      <c r="AA942" s="4"/>
      <c r="AB942" s="4"/>
      <c r="AC942" s="4"/>
      <c r="AD942" s="5"/>
      <c r="AE942" s="6"/>
      <c r="AF942" s="6"/>
      <c r="AG942" s="6"/>
      <c r="AH942" s="6"/>
    </row>
    <row r="943" spans="1:34" ht="14.4" x14ac:dyDescent="0.3">
      <c r="A943" s="6"/>
      <c r="B943" s="6"/>
      <c r="C943" s="40"/>
      <c r="D943" s="40"/>
      <c r="E943" s="4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4"/>
      <c r="AA943" s="4"/>
      <c r="AB943" s="4"/>
      <c r="AC943" s="4"/>
      <c r="AD943" s="5"/>
      <c r="AE943" s="6"/>
      <c r="AF943" s="6"/>
      <c r="AG943" s="6"/>
      <c r="AH943" s="6"/>
    </row>
  </sheetData>
  <autoFilter ref="B11:AD149" xr:uid="{00000000-0009-0000-0000-000000000000}">
    <sortState xmlns:xlrd2="http://schemas.microsoft.com/office/spreadsheetml/2017/richdata2" ref="B13:AD149">
      <sortCondition ref="C11:C149"/>
      <sortCondition ref="AD11:AD149"/>
    </sortState>
  </autoFilter>
  <mergeCells count="24">
    <mergeCell ref="B153:AD153"/>
    <mergeCell ref="C10:W10"/>
    <mergeCell ref="AB6:AB8"/>
    <mergeCell ref="AC6:AC8"/>
    <mergeCell ref="AD6:AD8"/>
    <mergeCell ref="B2:J3"/>
    <mergeCell ref="K2:W2"/>
    <mergeCell ref="K3:W3"/>
    <mergeCell ref="B4:J5"/>
    <mergeCell ref="K4:W4"/>
    <mergeCell ref="B6:B9"/>
    <mergeCell ref="K6:K9"/>
    <mergeCell ref="H6:H9"/>
    <mergeCell ref="I6:I9"/>
    <mergeCell ref="J6:J9"/>
    <mergeCell ref="K5:W5"/>
    <mergeCell ref="L6:O6"/>
    <mergeCell ref="P6:S6"/>
    <mergeCell ref="T6:W6"/>
    <mergeCell ref="C6:C9"/>
    <mergeCell ref="D6:D9"/>
    <mergeCell ref="E6:E9"/>
    <mergeCell ref="F6:F9"/>
    <mergeCell ref="G6:G9"/>
  </mergeCells>
  <conditionalFormatting sqref="H61">
    <cfRule type="containsText" dxfId="25" priority="1" operator="containsText" text="VIGENTE">
      <formula>NOT(ISERROR(SEARCH(("VIGENTE"),(H61))))</formula>
    </cfRule>
    <cfRule type="containsText" dxfId="24" priority="2" operator="containsText" text="NO CUMPLE">
      <formula>NOT(ISERROR(SEARCH(("NO CUMPLE"),(H61))))</formula>
    </cfRule>
  </conditionalFormatting>
  <conditionalFormatting sqref="H11:X152 H154:X203">
    <cfRule type="containsText" dxfId="23" priority="3" operator="containsText" text="VIGENTE">
      <formula>NOT(ISERROR(SEARCH(("VIGENTE"),(H11))))</formula>
    </cfRule>
    <cfRule type="containsText" dxfId="22" priority="4" operator="containsText" text="NO CUMPLE">
      <formula>NOT(ISERROR(SEARCH(("NO CUMPLE"),(H11))))</formula>
    </cfRule>
  </conditionalFormatting>
  <conditionalFormatting sqref="I11:I152 I154:I203">
    <cfRule type="containsText" dxfId="21" priority="5" operator="containsText" text="VIGENTE">
      <formula>NOT(ISERROR(SEARCH(("VIGENTE"),(I11))))</formula>
    </cfRule>
    <cfRule type="containsText" dxfId="20" priority="6" operator="containsText" text="NO CUMPLE">
      <formula>NOT(ISERROR(SEARCH(("NO CUMPLE"),(I11))))</formula>
    </cfRule>
  </conditionalFormatting>
  <conditionalFormatting sqref="O11:O152 O154:O203">
    <cfRule type="containsText" dxfId="19" priority="7" operator="containsText" text="VIGENTE">
      <formula>NOT(ISERROR(SEARCH(("VIGENTE"),(O11))))</formula>
    </cfRule>
    <cfRule type="containsText" dxfId="18" priority="8" operator="containsText" text="NO CUMPLE">
      <formula>NOT(ISERROR(SEARCH(("NO CUMPLE"),(O11))))</formula>
    </cfRule>
  </conditionalFormatting>
  <conditionalFormatting sqref="S11:S152 S154:S203">
    <cfRule type="containsText" dxfId="17" priority="9" operator="containsText" text="VIGENTE">
      <formula>NOT(ISERROR(SEARCH(("VIGENTE"),(S11))))</formula>
    </cfRule>
    <cfRule type="containsText" dxfId="16" priority="10" operator="containsText" text="NO CUMPLE">
      <formula>NOT(ISERROR(SEARCH(("NO CUMPLE"),(S11))))</formula>
    </cfRule>
  </conditionalFormatting>
  <conditionalFormatting sqref="W11:X152 W154:X203">
    <cfRule type="containsText" dxfId="15" priority="11" operator="containsText" text="VIGENTE">
      <formula>NOT(ISERROR(SEARCH(("VIGENTE"),(W11))))</formula>
    </cfRule>
    <cfRule type="containsText" dxfId="14" priority="12" operator="containsText" text="NO CUMPLE">
      <formula>NOT(ISERROR(SEARCH(("NO CUMPLE"),(W11))))</formula>
    </cfRule>
  </conditionalFormatting>
  <conditionalFormatting sqref="AD11:AD152 AD154:AD203">
    <cfRule type="cellIs" dxfId="13" priority="13" operator="greaterThan">
      <formula>"99%"</formula>
    </cfRule>
  </conditionalFormatting>
  <pageMargins left="0.70866141732283472" right="0.70866141732283472" top="0.74803149606299213" bottom="0.74803149606299213" header="0" footer="0"/>
  <pageSetup scale="80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BD!$I$8:$I$9</xm:f>
          </x14:formula1>
          <xm:sqref>H11:K149 H154:K203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937"/>
  <sheetViews>
    <sheetView workbookViewId="0">
      <pane ySplit="9" topLeftCell="A10" activePane="bottomLeft" state="frozen"/>
      <selection pane="bottomLeft" activeCell="B11" sqref="B11"/>
    </sheetView>
  </sheetViews>
  <sheetFormatPr baseColWidth="10" defaultColWidth="14.44140625" defaultRowHeight="15" customHeight="1" x14ac:dyDescent="0.3"/>
  <cols>
    <col min="1" max="1" width="2.6640625" customWidth="1"/>
    <col min="2" max="2" width="3.88671875" customWidth="1"/>
    <col min="3" max="3" width="20" customWidth="1"/>
    <col min="4" max="4" width="22.88671875" customWidth="1"/>
    <col min="5" max="5" width="11.6640625" customWidth="1"/>
    <col min="6" max="6" width="16.5546875" customWidth="1"/>
    <col min="7" max="7" width="14.88671875" customWidth="1"/>
    <col min="8" max="8" width="8.6640625" customWidth="1"/>
    <col min="9" max="9" width="9.44140625" customWidth="1"/>
    <col min="10" max="10" width="10.44140625" customWidth="1"/>
    <col min="11" max="11" width="14" customWidth="1"/>
    <col min="12" max="12" width="8.6640625" customWidth="1"/>
    <col min="13" max="13" width="9.6640625" customWidth="1"/>
    <col min="14" max="14" width="5.109375" hidden="1" customWidth="1"/>
    <col min="15" max="15" width="11.44140625" customWidth="1"/>
    <col min="16" max="17" width="9.6640625" customWidth="1"/>
    <col min="18" max="18" width="5.109375" hidden="1" customWidth="1"/>
    <col min="19" max="19" width="11.44140625" customWidth="1"/>
    <col min="20" max="21" width="9.6640625" customWidth="1"/>
    <col min="22" max="22" width="5.109375" hidden="1" customWidth="1"/>
    <col min="23" max="23" width="11.44140625" customWidth="1"/>
    <col min="24" max="25" width="3.109375" hidden="1" customWidth="1"/>
    <col min="26" max="27" width="2.109375" hidden="1" customWidth="1"/>
    <col min="28" max="28" width="26.5546875" hidden="1" customWidth="1"/>
    <col min="29" max="29" width="24" hidden="1" customWidth="1"/>
    <col min="30" max="30" width="15.109375" customWidth="1"/>
  </cols>
  <sheetData>
    <row r="1" spans="1:34" ht="12.75" customHeight="1" x14ac:dyDescent="0.3">
      <c r="A1" s="1"/>
      <c r="B1" s="2"/>
      <c r="C1" s="3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"/>
      <c r="AA1" s="4"/>
      <c r="AB1" s="4"/>
      <c r="AC1" s="4"/>
      <c r="AD1" s="5"/>
      <c r="AE1" s="6"/>
      <c r="AF1" s="6"/>
      <c r="AG1" s="6"/>
      <c r="AH1" s="6"/>
    </row>
    <row r="2" spans="1:34" ht="12.75" customHeight="1" x14ac:dyDescent="0.3">
      <c r="A2" s="2"/>
      <c r="B2" s="81" t="s">
        <v>0</v>
      </c>
      <c r="C2" s="82"/>
      <c r="D2" s="82"/>
      <c r="E2" s="82"/>
      <c r="F2" s="82"/>
      <c r="G2" s="82"/>
      <c r="H2" s="82"/>
      <c r="I2" s="82"/>
      <c r="J2" s="82"/>
      <c r="K2" s="85" t="s">
        <v>1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5"/>
      <c r="X2" s="4"/>
      <c r="Y2" s="2"/>
      <c r="Z2" s="4"/>
      <c r="AA2" s="4"/>
      <c r="AB2" s="4"/>
      <c r="AC2" s="4"/>
      <c r="AD2" s="5"/>
      <c r="AE2" s="6"/>
      <c r="AF2" s="6"/>
      <c r="AG2" s="6"/>
      <c r="AH2" s="6"/>
    </row>
    <row r="3" spans="1:34" ht="12.75" customHeight="1" x14ac:dyDescent="0.3">
      <c r="A3" s="2"/>
      <c r="B3" s="83"/>
      <c r="C3" s="84"/>
      <c r="D3" s="84"/>
      <c r="E3" s="84"/>
      <c r="F3" s="84"/>
      <c r="G3" s="84"/>
      <c r="H3" s="84"/>
      <c r="I3" s="84"/>
      <c r="J3" s="84"/>
      <c r="K3" s="73" t="s">
        <v>2</v>
      </c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5"/>
      <c r="X3" s="4"/>
      <c r="Y3" s="2"/>
      <c r="Z3" s="4"/>
      <c r="AA3" s="4"/>
      <c r="AB3" s="4"/>
      <c r="AC3" s="4"/>
      <c r="AD3" s="5"/>
      <c r="AE3" s="6"/>
      <c r="AF3" s="6"/>
      <c r="AG3" s="6"/>
      <c r="AH3" s="6"/>
    </row>
    <row r="4" spans="1:34" ht="12.75" customHeight="1" x14ac:dyDescent="0.3">
      <c r="A4" s="2"/>
      <c r="B4" s="81" t="s">
        <v>3</v>
      </c>
      <c r="C4" s="82"/>
      <c r="D4" s="82"/>
      <c r="E4" s="82"/>
      <c r="F4" s="82"/>
      <c r="G4" s="82"/>
      <c r="H4" s="82"/>
      <c r="I4" s="82"/>
      <c r="J4" s="82"/>
      <c r="K4" s="73" t="s">
        <v>4</v>
      </c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5"/>
      <c r="X4" s="4"/>
      <c r="Y4" s="2"/>
      <c r="Z4" s="4"/>
      <c r="AA4" s="4"/>
      <c r="AB4" s="4"/>
      <c r="AC4" s="4"/>
      <c r="AD4" s="5"/>
      <c r="AE4" s="6"/>
      <c r="AF4" s="6"/>
      <c r="AG4" s="6"/>
      <c r="AH4" s="6"/>
    </row>
    <row r="5" spans="1:34" ht="12.7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73" t="s">
        <v>5</v>
      </c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5"/>
      <c r="X5" s="4"/>
      <c r="Y5" s="2"/>
      <c r="Z5" s="4"/>
      <c r="AA5" s="4"/>
      <c r="AB5" s="4"/>
      <c r="AC5" s="4"/>
      <c r="AD5" s="5"/>
      <c r="AE5" s="6"/>
      <c r="AF5" s="6"/>
      <c r="AG5" s="6"/>
      <c r="AH5" s="6"/>
    </row>
    <row r="6" spans="1:34" ht="14.4" x14ac:dyDescent="0.3">
      <c r="A6" s="2"/>
      <c r="B6" s="70" t="s">
        <v>6</v>
      </c>
      <c r="C6" s="70" t="s">
        <v>7</v>
      </c>
      <c r="D6" s="70" t="s">
        <v>8</v>
      </c>
      <c r="E6" s="70" t="s">
        <v>9</v>
      </c>
      <c r="F6" s="70" t="s">
        <v>10</v>
      </c>
      <c r="G6" s="70" t="s">
        <v>11</v>
      </c>
      <c r="H6" s="70" t="s">
        <v>12</v>
      </c>
      <c r="I6" s="70" t="s">
        <v>13</v>
      </c>
      <c r="J6" s="70" t="s">
        <v>14</v>
      </c>
      <c r="K6" s="86" t="s">
        <v>15</v>
      </c>
      <c r="L6" s="76" t="s">
        <v>16</v>
      </c>
      <c r="M6" s="77"/>
      <c r="N6" s="77"/>
      <c r="O6" s="78"/>
      <c r="P6" s="76" t="s">
        <v>17</v>
      </c>
      <c r="Q6" s="77"/>
      <c r="R6" s="77"/>
      <c r="S6" s="78"/>
      <c r="T6" s="76" t="s">
        <v>18</v>
      </c>
      <c r="U6" s="77"/>
      <c r="V6" s="77"/>
      <c r="W6" s="78"/>
      <c r="X6" s="7"/>
      <c r="Y6" s="2"/>
      <c r="Z6" s="7"/>
      <c r="AA6" s="7"/>
      <c r="AB6" s="79" t="s">
        <v>19</v>
      </c>
      <c r="AC6" s="79" t="s">
        <v>20</v>
      </c>
      <c r="AD6" s="80" t="s">
        <v>21</v>
      </c>
      <c r="AE6" s="8"/>
      <c r="AF6" s="8"/>
      <c r="AG6" s="8"/>
      <c r="AH6" s="8"/>
    </row>
    <row r="7" spans="1:34" ht="12.75" hidden="1" customHeight="1" x14ac:dyDescent="0.3">
      <c r="A7" s="2"/>
      <c r="B7" s="71"/>
      <c r="C7" s="71"/>
      <c r="D7" s="71"/>
      <c r="E7" s="71"/>
      <c r="F7" s="71"/>
      <c r="G7" s="71"/>
      <c r="H7" s="71"/>
      <c r="I7" s="71"/>
      <c r="J7" s="71"/>
      <c r="K7" s="71"/>
      <c r="L7" s="9"/>
      <c r="M7" s="4"/>
      <c r="N7" s="4"/>
      <c r="O7" s="10"/>
      <c r="P7" s="9"/>
      <c r="Q7" s="4"/>
      <c r="R7" s="4"/>
      <c r="S7" s="10"/>
      <c r="T7" s="9"/>
      <c r="U7" s="4"/>
      <c r="V7" s="4"/>
      <c r="W7" s="10"/>
      <c r="X7" s="4"/>
      <c r="Y7" s="2"/>
      <c r="Z7" s="4"/>
      <c r="AA7" s="4"/>
      <c r="AB7" s="71"/>
      <c r="AC7" s="71"/>
      <c r="AD7" s="71"/>
      <c r="AE7" s="6"/>
      <c r="AF7" s="6"/>
      <c r="AG7" s="6"/>
      <c r="AH7" s="6"/>
    </row>
    <row r="8" spans="1:34" ht="14.4" hidden="1" x14ac:dyDescent="0.3">
      <c r="A8" s="2"/>
      <c r="B8" s="71"/>
      <c r="C8" s="71"/>
      <c r="D8" s="71"/>
      <c r="E8" s="71"/>
      <c r="F8" s="71"/>
      <c r="G8" s="71"/>
      <c r="H8" s="71"/>
      <c r="I8" s="71"/>
      <c r="J8" s="71"/>
      <c r="K8" s="71"/>
      <c r="L8" s="11"/>
      <c r="M8" s="12"/>
      <c r="N8" s="12"/>
      <c r="O8" s="13"/>
      <c r="P8" s="11"/>
      <c r="Q8" s="12"/>
      <c r="R8" s="12"/>
      <c r="S8" s="13"/>
      <c r="T8" s="11"/>
      <c r="U8" s="12"/>
      <c r="V8" s="12"/>
      <c r="W8" s="13"/>
      <c r="X8" s="4"/>
      <c r="Y8" s="2"/>
      <c r="Z8" s="4"/>
      <c r="AA8" s="4"/>
      <c r="AB8" s="72"/>
      <c r="AC8" s="72"/>
      <c r="AD8" s="72"/>
      <c r="AE8" s="6"/>
      <c r="AF8" s="6"/>
      <c r="AG8" s="6"/>
      <c r="AH8" s="6"/>
    </row>
    <row r="9" spans="1:34" ht="14.4" x14ac:dyDescent="0.3">
      <c r="A9" s="2"/>
      <c r="B9" s="72"/>
      <c r="C9" s="72"/>
      <c r="D9" s="72"/>
      <c r="E9" s="72"/>
      <c r="F9" s="72"/>
      <c r="G9" s="72"/>
      <c r="H9" s="72"/>
      <c r="I9" s="72"/>
      <c r="J9" s="72"/>
      <c r="K9" s="72"/>
      <c r="L9" s="15" t="s">
        <v>22</v>
      </c>
      <c r="M9" s="15" t="s">
        <v>23</v>
      </c>
      <c r="N9" s="15" t="s">
        <v>24</v>
      </c>
      <c r="O9" s="15" t="s">
        <v>25</v>
      </c>
      <c r="P9" s="15" t="s">
        <v>22</v>
      </c>
      <c r="Q9" s="15" t="s">
        <v>23</v>
      </c>
      <c r="R9" s="15" t="s">
        <v>24</v>
      </c>
      <c r="S9" s="15" t="s">
        <v>25</v>
      </c>
      <c r="T9" s="15" t="s">
        <v>22</v>
      </c>
      <c r="U9" s="15" t="s">
        <v>23</v>
      </c>
      <c r="V9" s="15" t="s">
        <v>24</v>
      </c>
      <c r="W9" s="15" t="s">
        <v>25</v>
      </c>
      <c r="X9" s="4" t="s">
        <v>26</v>
      </c>
      <c r="Y9" s="4" t="s">
        <v>27</v>
      </c>
      <c r="Z9" s="4" t="s">
        <v>28</v>
      </c>
      <c r="AA9" s="4" t="s">
        <v>29</v>
      </c>
      <c r="AB9" s="4"/>
      <c r="AC9" s="4"/>
      <c r="AD9" s="5"/>
      <c r="AE9" s="6"/>
      <c r="AF9" s="6"/>
      <c r="AG9" s="6"/>
      <c r="AH9" s="6"/>
    </row>
    <row r="10" spans="1:34" ht="14.4" x14ac:dyDescent="0.3">
      <c r="A10" s="16"/>
      <c r="B10" s="17"/>
      <c r="C10" s="18"/>
      <c r="D10" s="18"/>
      <c r="E10" s="18"/>
      <c r="F10" s="18"/>
      <c r="G10" s="18"/>
      <c r="H10" s="19"/>
      <c r="I10" s="19"/>
      <c r="J10" s="19"/>
      <c r="K10" s="19"/>
      <c r="L10" s="20"/>
      <c r="M10" s="20"/>
      <c r="N10" s="21"/>
      <c r="O10" s="22"/>
      <c r="P10" s="20"/>
      <c r="Q10" s="20"/>
      <c r="R10" s="21"/>
      <c r="S10" s="22"/>
      <c r="T10" s="20"/>
      <c r="U10" s="20"/>
      <c r="V10" s="21"/>
      <c r="W10" s="22"/>
      <c r="X10" s="41"/>
      <c r="Y10" s="41"/>
      <c r="Z10" s="41"/>
      <c r="AA10" s="41"/>
      <c r="AB10" s="42"/>
      <c r="AC10" s="42"/>
      <c r="AD10" s="43"/>
      <c r="AE10" s="44"/>
      <c r="AF10" s="44"/>
      <c r="AG10" s="44"/>
      <c r="AH10" s="44"/>
    </row>
    <row r="11" spans="1:34" ht="14.4" x14ac:dyDescent="0.3">
      <c r="A11" s="26"/>
      <c r="B11" s="17"/>
      <c r="C11" s="18" t="str">
        <f>LOOKUP(F11,BD!C:C,BD!A:A)</f>
        <v>DIDUAYAN</v>
      </c>
      <c r="D11" s="18" t="str">
        <f>LOOKUP(F11,BD!C:C,BD!B:B)</f>
        <v>GOMEZ VASCO</v>
      </c>
      <c r="E11" s="18">
        <v>3136161729</v>
      </c>
      <c r="F11" s="18">
        <v>1020469042</v>
      </c>
      <c r="G11" s="18">
        <f>LOOKUP(F11,BD!C:C,BD!D:D)</f>
        <v>5614013</v>
      </c>
      <c r="H11" s="19" t="s">
        <v>30</v>
      </c>
      <c r="I11" s="19" t="s">
        <v>30</v>
      </c>
      <c r="J11" s="19" t="s">
        <v>30</v>
      </c>
      <c r="K11" s="19" t="s">
        <v>30</v>
      </c>
      <c r="L11" s="20">
        <v>46163</v>
      </c>
      <c r="M11" s="20">
        <f t="shared" ref="M11:M110" si="0">L11+730</f>
        <v>46893</v>
      </c>
      <c r="N11" s="21">
        <f t="shared" ref="N11:N166" ca="1" si="1">M11-NOW()</f>
        <v>671.4994402777811</v>
      </c>
      <c r="O11" s="22" t="str">
        <f t="shared" ref="O11:O110" ca="1" si="2">IF(N11&lt;=16,"NO CUMPLE",IF(N11&gt;=16,"VIGENTE"))</f>
        <v>VIGENTE</v>
      </c>
      <c r="P11" s="20">
        <v>45743</v>
      </c>
      <c r="Q11" s="20">
        <f t="shared" ref="Q11:Q110" si="3">P11+730</f>
        <v>46473</v>
      </c>
      <c r="R11" s="21">
        <f t="shared" ref="R11:R166" ca="1" si="4">Q11-NOW()</f>
        <v>251.49944016203517</v>
      </c>
      <c r="S11" s="22" t="str">
        <f t="shared" ref="S11:S110" ca="1" si="5">IF(R11&lt;=16,"NO CUMPLE",IF(R11&gt;=16,"VIGENTE"))</f>
        <v>VIGENTE</v>
      </c>
      <c r="T11" s="20">
        <v>45744</v>
      </c>
      <c r="U11" s="20">
        <f t="shared" ref="U11:U110" si="6">T11+730</f>
        <v>46474</v>
      </c>
      <c r="V11" s="21">
        <f t="shared" ref="V11:V166" ca="1" si="7">U11-NOW()</f>
        <v>252.49944016203517</v>
      </c>
      <c r="W11" s="22" t="str">
        <f t="shared" ref="W11:W110" ca="1" si="8">IF(V11&lt;=16,"NO CUMPLE",IF(V11&gt;=16,"VIGENTE"))</f>
        <v>VIGENTE</v>
      </c>
      <c r="X11" s="41">
        <v>4</v>
      </c>
      <c r="Y11" s="41">
        <v>3</v>
      </c>
      <c r="Z11" s="41">
        <f t="shared" ref="Z11:Z166" si="9">COUNTIF(H11:K11,"OK")</f>
        <v>4</v>
      </c>
      <c r="AA11" s="41">
        <f t="shared" ref="AA11:AA166" ca="1" si="10">COUNTIF(L11:W11,"VIGENTE")</f>
        <v>3</v>
      </c>
      <c r="AB11" s="42">
        <f t="shared" ref="AB11:AC11" si="11">Z11/X11</f>
        <v>1</v>
      </c>
      <c r="AC11" s="42">
        <f t="shared" ca="1" si="11"/>
        <v>1</v>
      </c>
      <c r="AD11" s="43">
        <f t="shared" ref="AD11:AD110" ca="1" si="12">(Z11+AA11)/7</f>
        <v>1</v>
      </c>
      <c r="AE11" s="44"/>
      <c r="AF11" s="44"/>
      <c r="AG11" s="44"/>
      <c r="AH11" s="44"/>
    </row>
    <row r="12" spans="1:34" ht="14.4" x14ac:dyDescent="0.3">
      <c r="A12" s="26"/>
      <c r="B12" s="17"/>
      <c r="C12" s="18" t="str">
        <f>LOOKUP(F12,BD!C:C,BD!A:A)</f>
        <v>ANDRES FELIPE</v>
      </c>
      <c r="D12" s="18" t="str">
        <f>LOOKUP(F12,BD!C:C,BD!B:B)</f>
        <v>GAVIRIA BUSTAMANTE</v>
      </c>
      <c r="E12" s="18">
        <v>3124247466</v>
      </c>
      <c r="F12" s="18">
        <v>98762700</v>
      </c>
      <c r="G12" s="18">
        <f>LOOKUP(F12,BD!C:C,BD!D:D)</f>
        <v>5637517</v>
      </c>
      <c r="H12" s="19" t="s">
        <v>30</v>
      </c>
      <c r="I12" s="19" t="s">
        <v>30</v>
      </c>
      <c r="J12" s="19" t="s">
        <v>30</v>
      </c>
      <c r="K12" s="19" t="s">
        <v>30</v>
      </c>
      <c r="L12" s="20">
        <v>46267</v>
      </c>
      <c r="M12" s="20">
        <f t="shared" si="0"/>
        <v>46997</v>
      </c>
      <c r="N12" s="21">
        <f t="shared" ca="1" si="1"/>
        <v>775.49944016203517</v>
      </c>
      <c r="O12" s="22" t="str">
        <f t="shared" ca="1" si="2"/>
        <v>VIGENTE</v>
      </c>
      <c r="P12" s="20">
        <v>45408</v>
      </c>
      <c r="Q12" s="20">
        <f t="shared" si="3"/>
        <v>46138</v>
      </c>
      <c r="R12" s="21">
        <f t="shared" ca="1" si="4"/>
        <v>-83.500559837964829</v>
      </c>
      <c r="S12" s="22" t="str">
        <f t="shared" ca="1" si="5"/>
        <v>NO CUMPLE</v>
      </c>
      <c r="T12" s="20">
        <v>46064</v>
      </c>
      <c r="U12" s="20">
        <f t="shared" si="6"/>
        <v>46794</v>
      </c>
      <c r="V12" s="21">
        <f t="shared" ca="1" si="7"/>
        <v>572.49944016203517</v>
      </c>
      <c r="W12" s="22" t="str">
        <f t="shared" ca="1" si="8"/>
        <v>VIGENTE</v>
      </c>
      <c r="X12" s="41">
        <v>4</v>
      </c>
      <c r="Y12" s="41">
        <v>3</v>
      </c>
      <c r="Z12" s="41">
        <f t="shared" si="9"/>
        <v>4</v>
      </c>
      <c r="AA12" s="41">
        <f t="shared" ca="1" si="10"/>
        <v>2</v>
      </c>
      <c r="AB12" s="42">
        <f t="shared" ref="AB12:AC12" si="13">Z12/X12</f>
        <v>1</v>
      </c>
      <c r="AC12" s="42">
        <f t="shared" ca="1" si="13"/>
        <v>0.66666666666666663</v>
      </c>
      <c r="AD12" s="43">
        <f t="shared" ca="1" si="12"/>
        <v>0.8571428571428571</v>
      </c>
      <c r="AE12" s="44"/>
      <c r="AF12" s="44"/>
      <c r="AG12" s="44"/>
      <c r="AH12" s="44"/>
    </row>
    <row r="13" spans="1:34" ht="14.4" x14ac:dyDescent="0.3">
      <c r="A13" s="26"/>
      <c r="B13" s="17"/>
      <c r="C13" s="18" t="str">
        <f>LOOKUP(F13,BD!C:C,BD!A:A)</f>
        <v xml:space="preserve">CATALINA </v>
      </c>
      <c r="D13" s="18" t="str">
        <f>LOOKUP(F13,BD!C:C,BD!B:B)</f>
        <v>ORREGO PALACIO</v>
      </c>
      <c r="E13" s="18">
        <v>3122380431</v>
      </c>
      <c r="F13" s="18">
        <v>1017184709</v>
      </c>
      <c r="G13" s="18">
        <f>LOOKUP(F13,BD!C:C,BD!D:D)</f>
        <v>5777516</v>
      </c>
      <c r="H13" s="19" t="s">
        <v>30</v>
      </c>
      <c r="I13" s="19" t="s">
        <v>30</v>
      </c>
      <c r="J13" s="19" t="s">
        <v>30</v>
      </c>
      <c r="K13" s="19" t="s">
        <v>30</v>
      </c>
      <c r="L13" s="20"/>
      <c r="M13" s="20">
        <f t="shared" si="0"/>
        <v>730</v>
      </c>
      <c r="N13" s="21">
        <f t="shared" ca="1" si="1"/>
        <v>-45491.500559837965</v>
      </c>
      <c r="O13" s="22" t="str">
        <f t="shared" ca="1" si="2"/>
        <v>NO CUMPLE</v>
      </c>
      <c r="P13" s="20"/>
      <c r="Q13" s="20">
        <f t="shared" si="3"/>
        <v>730</v>
      </c>
      <c r="R13" s="21">
        <f t="shared" ca="1" si="4"/>
        <v>-45491.500559837965</v>
      </c>
      <c r="S13" s="22" t="str">
        <f t="shared" ca="1" si="5"/>
        <v>NO CUMPLE</v>
      </c>
      <c r="T13" s="20"/>
      <c r="U13" s="20">
        <f t="shared" si="6"/>
        <v>730</v>
      </c>
      <c r="V13" s="21">
        <f t="shared" ca="1" si="7"/>
        <v>-45491.500559837965</v>
      </c>
      <c r="W13" s="22" t="str">
        <f t="shared" ca="1" si="8"/>
        <v>NO CUMPLE</v>
      </c>
      <c r="X13" s="41">
        <v>4</v>
      </c>
      <c r="Y13" s="41">
        <v>3</v>
      </c>
      <c r="Z13" s="41">
        <f t="shared" si="9"/>
        <v>4</v>
      </c>
      <c r="AA13" s="41">
        <f t="shared" ca="1" si="10"/>
        <v>0</v>
      </c>
      <c r="AB13" s="42">
        <f t="shared" ref="AB13:AC13" si="14">Z13/X13</f>
        <v>1</v>
      </c>
      <c r="AC13" s="42">
        <f t="shared" ca="1" si="14"/>
        <v>0</v>
      </c>
      <c r="AD13" s="43">
        <f t="shared" ca="1" si="12"/>
        <v>0.5714285714285714</v>
      </c>
      <c r="AE13" s="44"/>
      <c r="AF13" s="44"/>
      <c r="AG13" s="44"/>
      <c r="AH13" s="44"/>
    </row>
    <row r="14" spans="1:34" ht="14.4" x14ac:dyDescent="0.3">
      <c r="A14" s="26"/>
      <c r="B14" s="17"/>
      <c r="C14" s="18" t="str">
        <f>LOOKUP(F14,BD!C:C,BD!A:A)</f>
        <v>ROBINSON</v>
      </c>
      <c r="D14" s="18" t="str">
        <f>LOOKUP(F14,BD!C:C,BD!B:B)</f>
        <v>SANCHEZ LONDOÑO</v>
      </c>
      <c r="E14" s="18">
        <v>3192128238</v>
      </c>
      <c r="F14" s="18">
        <v>1214734374</v>
      </c>
      <c r="G14" s="18">
        <f>LOOKUP(F14,BD!C:C,BD!D:D)</f>
        <v>5184321</v>
      </c>
      <c r="H14" s="19" t="s">
        <v>30</v>
      </c>
      <c r="I14" s="19" t="s">
        <v>30</v>
      </c>
      <c r="J14" s="19" t="s">
        <v>30</v>
      </c>
      <c r="K14" s="19" t="s">
        <v>30</v>
      </c>
      <c r="L14" s="20"/>
      <c r="M14" s="20">
        <f t="shared" si="0"/>
        <v>730</v>
      </c>
      <c r="N14" s="21">
        <f t="shared" ca="1" si="1"/>
        <v>-45491.500559837965</v>
      </c>
      <c r="O14" s="22" t="str">
        <f t="shared" ca="1" si="2"/>
        <v>NO CUMPLE</v>
      </c>
      <c r="P14" s="20"/>
      <c r="Q14" s="20">
        <f t="shared" si="3"/>
        <v>730</v>
      </c>
      <c r="R14" s="21">
        <f t="shared" ca="1" si="4"/>
        <v>-45491.500559837965</v>
      </c>
      <c r="S14" s="22" t="str">
        <f t="shared" ca="1" si="5"/>
        <v>NO CUMPLE</v>
      </c>
      <c r="T14" s="20"/>
      <c r="U14" s="20">
        <f t="shared" si="6"/>
        <v>730</v>
      </c>
      <c r="V14" s="21">
        <f t="shared" ca="1" si="7"/>
        <v>-45491.500559837965</v>
      </c>
      <c r="W14" s="22" t="str">
        <f t="shared" ca="1" si="8"/>
        <v>NO CUMPLE</v>
      </c>
      <c r="X14" s="41">
        <v>4</v>
      </c>
      <c r="Y14" s="41">
        <v>3</v>
      </c>
      <c r="Z14" s="41">
        <f t="shared" si="9"/>
        <v>4</v>
      </c>
      <c r="AA14" s="41">
        <f t="shared" ca="1" si="10"/>
        <v>0</v>
      </c>
      <c r="AB14" s="42">
        <f t="shared" ref="AB14:AC14" si="15">Z14/X14</f>
        <v>1</v>
      </c>
      <c r="AC14" s="42">
        <f t="shared" ca="1" si="15"/>
        <v>0</v>
      </c>
      <c r="AD14" s="43">
        <f t="shared" ca="1" si="12"/>
        <v>0.5714285714285714</v>
      </c>
      <c r="AE14" s="44"/>
      <c r="AF14" s="44"/>
      <c r="AG14" s="44"/>
      <c r="AH14" s="44"/>
    </row>
    <row r="15" spans="1:34" ht="14.4" x14ac:dyDescent="0.3">
      <c r="A15" s="26"/>
      <c r="B15" s="17"/>
      <c r="C15" s="18" t="str">
        <f>LOOKUP(F15,BD!C:C,BD!A:A)</f>
        <v xml:space="preserve">LUIS DANIEL </v>
      </c>
      <c r="D15" s="18" t="str">
        <f>LOOKUP(F15,BD!C:C,BD!B:B)</f>
        <v>SERNA SUESCUN</v>
      </c>
      <c r="E15" s="18">
        <v>3137284128</v>
      </c>
      <c r="F15" s="18">
        <v>1017197109</v>
      </c>
      <c r="G15" s="18">
        <f>LOOKUP(F15,BD!C:C,BD!D:D)</f>
        <v>5236518</v>
      </c>
      <c r="H15" s="19"/>
      <c r="I15" s="19" t="s">
        <v>30</v>
      </c>
      <c r="J15" s="19"/>
      <c r="K15" s="19"/>
      <c r="L15" s="20">
        <v>45935</v>
      </c>
      <c r="M15" s="20">
        <f t="shared" si="0"/>
        <v>46665</v>
      </c>
      <c r="N15" s="21">
        <f t="shared" ca="1" si="1"/>
        <v>443.49944016203517</v>
      </c>
      <c r="O15" s="22" t="str">
        <f t="shared" ca="1" si="2"/>
        <v>VIGENTE</v>
      </c>
      <c r="P15" s="20"/>
      <c r="Q15" s="20">
        <f t="shared" si="3"/>
        <v>730</v>
      </c>
      <c r="R15" s="21">
        <f t="shared" ca="1" si="4"/>
        <v>-45491.500559837965</v>
      </c>
      <c r="S15" s="22" t="str">
        <f t="shared" ca="1" si="5"/>
        <v>NO CUMPLE</v>
      </c>
      <c r="T15" s="20">
        <v>46111</v>
      </c>
      <c r="U15" s="20">
        <f t="shared" si="6"/>
        <v>46841</v>
      </c>
      <c r="V15" s="21">
        <f t="shared" ca="1" si="7"/>
        <v>619.4994402777811</v>
      </c>
      <c r="W15" s="22" t="str">
        <f t="shared" ca="1" si="8"/>
        <v>VIGENTE</v>
      </c>
      <c r="X15" s="41">
        <v>4</v>
      </c>
      <c r="Y15" s="41">
        <v>3</v>
      </c>
      <c r="Z15" s="41">
        <f t="shared" si="9"/>
        <v>1</v>
      </c>
      <c r="AA15" s="41">
        <f t="shared" ca="1" si="10"/>
        <v>2</v>
      </c>
      <c r="AB15" s="42">
        <f t="shared" ref="AB15:AC15" si="16">Z15/X15</f>
        <v>0.25</v>
      </c>
      <c r="AC15" s="42">
        <f t="shared" ca="1" si="16"/>
        <v>0.66666666666666663</v>
      </c>
      <c r="AD15" s="43">
        <f t="shared" ca="1" si="12"/>
        <v>0.42857142857142855</v>
      </c>
      <c r="AE15" s="44"/>
      <c r="AF15" s="44"/>
      <c r="AG15" s="44"/>
      <c r="AH15" s="44"/>
    </row>
    <row r="16" spans="1:34" ht="14.4" x14ac:dyDescent="0.3">
      <c r="A16" s="26"/>
      <c r="B16" s="17"/>
      <c r="C16" s="18" t="str">
        <f>LOOKUP(F16,BD!C:C,BD!A:A)</f>
        <v>ANDRES MIGUEL</v>
      </c>
      <c r="D16" s="18" t="str">
        <f>LOOKUP(F16,BD!C:C,BD!B:B)</f>
        <v>ALMANZA PARRA</v>
      </c>
      <c r="E16" s="18"/>
      <c r="F16" s="18">
        <v>1067961110</v>
      </c>
      <c r="G16" s="18">
        <f>LOOKUP(F16,BD!C:C,BD!D:D)</f>
        <v>5442720</v>
      </c>
      <c r="H16" s="19" t="s">
        <v>30</v>
      </c>
      <c r="I16" s="19" t="s">
        <v>30</v>
      </c>
      <c r="J16" s="19" t="s">
        <v>30</v>
      </c>
      <c r="K16" s="19" t="s">
        <v>32</v>
      </c>
      <c r="L16" s="20">
        <v>45438</v>
      </c>
      <c r="M16" s="20">
        <f t="shared" si="0"/>
        <v>46168</v>
      </c>
      <c r="N16" s="21">
        <f t="shared" ca="1" si="1"/>
        <v>-53.500559837964829</v>
      </c>
      <c r="O16" s="22" t="str">
        <f t="shared" ca="1" si="2"/>
        <v>NO CUMPLE</v>
      </c>
      <c r="P16" s="20">
        <v>45951</v>
      </c>
      <c r="Q16" s="20">
        <f t="shared" si="3"/>
        <v>46681</v>
      </c>
      <c r="R16" s="21">
        <f t="shared" ca="1" si="4"/>
        <v>459.49944016203517</v>
      </c>
      <c r="S16" s="22" t="str">
        <f t="shared" ca="1" si="5"/>
        <v>VIGENTE</v>
      </c>
      <c r="T16" s="20">
        <v>45953</v>
      </c>
      <c r="U16" s="20">
        <f t="shared" si="6"/>
        <v>46683</v>
      </c>
      <c r="V16" s="21">
        <f t="shared" ca="1" si="7"/>
        <v>461.49944016203517</v>
      </c>
      <c r="W16" s="22" t="str">
        <f t="shared" ca="1" si="8"/>
        <v>VIGENTE</v>
      </c>
      <c r="X16" s="41">
        <v>4</v>
      </c>
      <c r="Y16" s="41">
        <v>3</v>
      </c>
      <c r="Z16" s="41">
        <f t="shared" si="9"/>
        <v>3</v>
      </c>
      <c r="AA16" s="41">
        <f t="shared" ca="1" si="10"/>
        <v>2</v>
      </c>
      <c r="AB16" s="42">
        <f t="shared" ref="AB16:AC16" si="17">Z16/X16</f>
        <v>0.75</v>
      </c>
      <c r="AC16" s="42">
        <f t="shared" ca="1" si="17"/>
        <v>0.66666666666666663</v>
      </c>
      <c r="AD16" s="43">
        <f t="shared" ca="1" si="12"/>
        <v>0.7142857142857143</v>
      </c>
      <c r="AE16" s="44"/>
      <c r="AF16" s="44"/>
      <c r="AG16" s="44"/>
      <c r="AH16" s="44"/>
    </row>
    <row r="17" spans="1:34" ht="14.4" x14ac:dyDescent="0.3">
      <c r="A17" s="26"/>
      <c r="B17" s="17"/>
      <c r="C17" s="18" t="str">
        <f>LOOKUP(F17,BD!C:C,BD!A:A)</f>
        <v>NEDIS MARIA</v>
      </c>
      <c r="D17" s="18" t="str">
        <f>LOOKUP(F17,BD!C:C,BD!B:B)</f>
        <v>SANCHEZ PEREZ</v>
      </c>
      <c r="E17" s="18">
        <v>3229455054</v>
      </c>
      <c r="F17" s="18">
        <v>30687786</v>
      </c>
      <c r="G17" s="18">
        <f>LOOKUP(F17,BD!C:C,BD!D:D)</f>
        <v>2322913</v>
      </c>
      <c r="H17" s="19" t="s">
        <v>30</v>
      </c>
      <c r="I17" s="19" t="s">
        <v>30</v>
      </c>
      <c r="J17" s="19" t="s">
        <v>30</v>
      </c>
      <c r="K17" s="19" t="s">
        <v>30</v>
      </c>
      <c r="L17" s="20">
        <v>45403</v>
      </c>
      <c r="M17" s="20">
        <f t="shared" si="0"/>
        <v>46133</v>
      </c>
      <c r="N17" s="21">
        <f t="shared" ca="1" si="1"/>
        <v>-88.500559837964829</v>
      </c>
      <c r="O17" s="22" t="str">
        <f t="shared" ca="1" si="2"/>
        <v>NO CUMPLE</v>
      </c>
      <c r="P17" s="20">
        <v>45401</v>
      </c>
      <c r="Q17" s="20">
        <f t="shared" si="3"/>
        <v>46131</v>
      </c>
      <c r="R17" s="21">
        <f t="shared" ca="1" si="4"/>
        <v>-90.500559837964829</v>
      </c>
      <c r="S17" s="22" t="str">
        <f t="shared" ca="1" si="5"/>
        <v>NO CUMPLE</v>
      </c>
      <c r="T17" s="20"/>
      <c r="U17" s="20">
        <f t="shared" si="6"/>
        <v>730</v>
      </c>
      <c r="V17" s="21">
        <f t="shared" ca="1" si="7"/>
        <v>-45491.500559837965</v>
      </c>
      <c r="W17" s="22" t="str">
        <f t="shared" ca="1" si="8"/>
        <v>NO CUMPLE</v>
      </c>
      <c r="X17" s="41">
        <v>4</v>
      </c>
      <c r="Y17" s="41">
        <v>3</v>
      </c>
      <c r="Z17" s="41">
        <f t="shared" si="9"/>
        <v>4</v>
      </c>
      <c r="AA17" s="41">
        <f t="shared" ca="1" si="10"/>
        <v>0</v>
      </c>
      <c r="AB17" s="42">
        <f t="shared" ref="AB17:AC17" si="18">Z17/X17</f>
        <v>1</v>
      </c>
      <c r="AC17" s="42">
        <f t="shared" ca="1" si="18"/>
        <v>0</v>
      </c>
      <c r="AD17" s="43">
        <f t="shared" ca="1" si="12"/>
        <v>0.5714285714285714</v>
      </c>
      <c r="AE17" s="44"/>
      <c r="AF17" s="44"/>
      <c r="AG17" s="44"/>
      <c r="AH17" s="44"/>
    </row>
    <row r="18" spans="1:34" ht="14.4" x14ac:dyDescent="0.3">
      <c r="A18" s="26"/>
      <c r="B18" s="17"/>
      <c r="C18" s="18" t="str">
        <f>LOOKUP(F18,BD!C:C,BD!A:A)</f>
        <v>ILSSY ESTEFANIA</v>
      </c>
      <c r="D18" s="18" t="str">
        <f>LOOKUP(F18,BD!C:C,BD!B:B)</f>
        <v>GUERRA VALENCIA</v>
      </c>
      <c r="E18" s="18">
        <v>3006395090</v>
      </c>
      <c r="F18" s="18">
        <v>1128403070</v>
      </c>
      <c r="G18" s="18">
        <f>LOOKUP(F18,BD!C:C,BD!D:D)</f>
        <v>5232116</v>
      </c>
      <c r="H18" s="19" t="s">
        <v>30</v>
      </c>
      <c r="I18" s="19" t="s">
        <v>30</v>
      </c>
      <c r="J18" s="19" t="s">
        <v>30</v>
      </c>
      <c r="K18" s="19" t="s">
        <v>30</v>
      </c>
      <c r="L18" s="20">
        <v>46130</v>
      </c>
      <c r="M18" s="20">
        <f t="shared" si="0"/>
        <v>46860</v>
      </c>
      <c r="N18" s="21">
        <f t="shared" ca="1" si="1"/>
        <v>638.49944016203517</v>
      </c>
      <c r="O18" s="22" t="str">
        <f t="shared" ca="1" si="2"/>
        <v>VIGENTE</v>
      </c>
      <c r="P18" s="20"/>
      <c r="Q18" s="20">
        <f t="shared" si="3"/>
        <v>730</v>
      </c>
      <c r="R18" s="21">
        <f t="shared" ca="1" si="4"/>
        <v>-45491.500559837965</v>
      </c>
      <c r="S18" s="22" t="str">
        <f t="shared" ca="1" si="5"/>
        <v>NO CUMPLE</v>
      </c>
      <c r="T18" s="20"/>
      <c r="U18" s="20">
        <f t="shared" si="6"/>
        <v>730</v>
      </c>
      <c r="V18" s="21">
        <f t="shared" ca="1" si="7"/>
        <v>-45491.500559837965</v>
      </c>
      <c r="W18" s="22" t="str">
        <f t="shared" ca="1" si="8"/>
        <v>NO CUMPLE</v>
      </c>
      <c r="X18" s="41">
        <v>4</v>
      </c>
      <c r="Y18" s="41">
        <v>3</v>
      </c>
      <c r="Z18" s="41">
        <f t="shared" si="9"/>
        <v>4</v>
      </c>
      <c r="AA18" s="41">
        <f t="shared" ca="1" si="10"/>
        <v>1</v>
      </c>
      <c r="AB18" s="42">
        <f t="shared" ref="AB18:AC18" si="19">Z18/X18</f>
        <v>1</v>
      </c>
      <c r="AC18" s="42">
        <f t="shared" ca="1" si="19"/>
        <v>0.33333333333333331</v>
      </c>
      <c r="AD18" s="43">
        <f t="shared" ca="1" si="12"/>
        <v>0.7142857142857143</v>
      </c>
      <c r="AE18" s="44"/>
      <c r="AF18" s="44"/>
      <c r="AG18" s="44"/>
      <c r="AH18" s="44"/>
    </row>
    <row r="19" spans="1:34" ht="14.4" x14ac:dyDescent="0.3">
      <c r="A19" s="26"/>
      <c r="B19" s="17"/>
      <c r="C19" s="18" t="str">
        <f>LOOKUP(F19,BD!C:C,BD!A:A)</f>
        <v>SHIRLEY</v>
      </c>
      <c r="D19" s="18" t="str">
        <f>LOOKUP(F19,BD!C:C,BD!B:B)</f>
        <v>VIANA VALBUENA</v>
      </c>
      <c r="E19" s="18">
        <v>3234646756</v>
      </c>
      <c r="F19" s="18">
        <v>1035877000</v>
      </c>
      <c r="G19" s="33">
        <f>LOOKUP(F19,BD!C:C,BD!D:D)</f>
        <v>5492616</v>
      </c>
      <c r="H19" s="19" t="s">
        <v>30</v>
      </c>
      <c r="I19" s="19" t="s">
        <v>30</v>
      </c>
      <c r="J19" s="19" t="s">
        <v>30</v>
      </c>
      <c r="K19" s="19" t="s">
        <v>30</v>
      </c>
      <c r="L19" s="20"/>
      <c r="M19" s="20">
        <f t="shared" si="0"/>
        <v>730</v>
      </c>
      <c r="N19" s="21">
        <f t="shared" ca="1" si="1"/>
        <v>-45491.500559837965</v>
      </c>
      <c r="O19" s="22" t="str">
        <f t="shared" ca="1" si="2"/>
        <v>NO CUMPLE</v>
      </c>
      <c r="P19" s="20"/>
      <c r="Q19" s="20">
        <f t="shared" si="3"/>
        <v>730</v>
      </c>
      <c r="R19" s="21">
        <f t="shared" ca="1" si="4"/>
        <v>-45491.500559722219</v>
      </c>
      <c r="S19" s="22" t="str">
        <f t="shared" ca="1" si="5"/>
        <v>NO CUMPLE</v>
      </c>
      <c r="T19" s="20">
        <v>46025</v>
      </c>
      <c r="U19" s="20">
        <f t="shared" si="6"/>
        <v>46755</v>
      </c>
      <c r="V19" s="21">
        <f t="shared" ca="1" si="7"/>
        <v>533.49944016203517</v>
      </c>
      <c r="W19" s="22" t="str">
        <f t="shared" ca="1" si="8"/>
        <v>VIGENTE</v>
      </c>
      <c r="X19" s="41">
        <v>4</v>
      </c>
      <c r="Y19" s="41">
        <v>3</v>
      </c>
      <c r="Z19" s="41">
        <f t="shared" si="9"/>
        <v>4</v>
      </c>
      <c r="AA19" s="41">
        <f t="shared" ca="1" si="10"/>
        <v>1</v>
      </c>
      <c r="AB19" s="42">
        <f t="shared" ref="AB19:AC19" si="20">Z19/X19</f>
        <v>1</v>
      </c>
      <c r="AC19" s="42">
        <f t="shared" ca="1" si="20"/>
        <v>0.33333333333333331</v>
      </c>
      <c r="AD19" s="43">
        <f t="shared" ca="1" si="12"/>
        <v>0.7142857142857143</v>
      </c>
      <c r="AE19" s="44"/>
      <c r="AF19" s="44"/>
      <c r="AG19" s="44"/>
      <c r="AH19" s="44"/>
    </row>
    <row r="20" spans="1:34" ht="14.4" x14ac:dyDescent="0.3">
      <c r="A20" s="26"/>
      <c r="B20" s="17"/>
      <c r="C20" s="18" t="str">
        <f>LOOKUP(F20,BD!C:C,BD!A:A)</f>
        <v>MARIA ISABEL</v>
      </c>
      <c r="D20" s="18" t="str">
        <f>LOOKUP(F20,BD!C:C,BD!B:B)</f>
        <v>GALLO TOBON</v>
      </c>
      <c r="E20" s="18">
        <v>3044271368</v>
      </c>
      <c r="F20" s="18">
        <v>1037641294</v>
      </c>
      <c r="G20" s="18">
        <f>LOOKUP(F20,BD!C:C,BD!D:D)</f>
        <v>5547417</v>
      </c>
      <c r="H20" s="19" t="s">
        <v>30</v>
      </c>
      <c r="I20" s="19" t="s">
        <v>30</v>
      </c>
      <c r="J20" s="19" t="s">
        <v>30</v>
      </c>
      <c r="K20" s="19" t="s">
        <v>30</v>
      </c>
      <c r="L20" s="20"/>
      <c r="M20" s="20">
        <f t="shared" si="0"/>
        <v>730</v>
      </c>
      <c r="N20" s="21">
        <f t="shared" ca="1" si="1"/>
        <v>-45491.500559837965</v>
      </c>
      <c r="O20" s="22" t="str">
        <f t="shared" ca="1" si="2"/>
        <v>NO CUMPLE</v>
      </c>
      <c r="P20" s="20"/>
      <c r="Q20" s="20">
        <f t="shared" si="3"/>
        <v>730</v>
      </c>
      <c r="R20" s="21">
        <f t="shared" ca="1" si="4"/>
        <v>-45491.500559837965</v>
      </c>
      <c r="S20" s="22" t="str">
        <f t="shared" ca="1" si="5"/>
        <v>NO CUMPLE</v>
      </c>
      <c r="T20" s="20"/>
      <c r="U20" s="20">
        <f t="shared" si="6"/>
        <v>730</v>
      </c>
      <c r="V20" s="21">
        <f t="shared" ca="1" si="7"/>
        <v>-45491.500559837965</v>
      </c>
      <c r="W20" s="22" t="str">
        <f t="shared" ca="1" si="8"/>
        <v>NO CUMPLE</v>
      </c>
      <c r="X20" s="41">
        <v>4</v>
      </c>
      <c r="Y20" s="41">
        <v>3</v>
      </c>
      <c r="Z20" s="41">
        <f t="shared" si="9"/>
        <v>4</v>
      </c>
      <c r="AA20" s="41">
        <f t="shared" ca="1" si="10"/>
        <v>0</v>
      </c>
      <c r="AB20" s="42">
        <f t="shared" ref="AB20:AC20" si="21">Z20/X20</f>
        <v>1</v>
      </c>
      <c r="AC20" s="42">
        <f t="shared" ca="1" si="21"/>
        <v>0</v>
      </c>
      <c r="AD20" s="43">
        <f t="shared" ca="1" si="12"/>
        <v>0.5714285714285714</v>
      </c>
      <c r="AE20" s="44"/>
      <c r="AF20" s="44"/>
      <c r="AG20" s="44"/>
      <c r="AH20" s="44"/>
    </row>
    <row r="21" spans="1:34" ht="14.4" x14ac:dyDescent="0.3">
      <c r="A21" s="26"/>
      <c r="B21" s="17"/>
      <c r="C21" s="18" t="str">
        <f>LOOKUP(F21,BD!C:C,BD!A:A)</f>
        <v>JUAN CARLOS</v>
      </c>
      <c r="D21" s="18" t="str">
        <f>LOOKUP(F21,BD!C:C,BD!B:B)</f>
        <v>CARO GIL</v>
      </c>
      <c r="E21" s="18">
        <v>3002283930</v>
      </c>
      <c r="F21" s="18">
        <v>71220062</v>
      </c>
      <c r="G21" s="18">
        <f>LOOKUP(F21,BD!C:C,BD!D:D)</f>
        <v>5329322</v>
      </c>
      <c r="H21" s="19" t="s">
        <v>30</v>
      </c>
      <c r="I21" s="19" t="s">
        <v>30</v>
      </c>
      <c r="J21" s="19" t="s">
        <v>30</v>
      </c>
      <c r="K21" s="19" t="s">
        <v>30</v>
      </c>
      <c r="L21" s="20">
        <v>45407</v>
      </c>
      <c r="M21" s="20">
        <f t="shared" si="0"/>
        <v>46137</v>
      </c>
      <c r="N21" s="21">
        <f t="shared" ca="1" si="1"/>
        <v>-84.500559837964829</v>
      </c>
      <c r="O21" s="22" t="str">
        <f t="shared" ca="1" si="2"/>
        <v>NO CUMPLE</v>
      </c>
      <c r="P21" s="20">
        <v>45405</v>
      </c>
      <c r="Q21" s="20">
        <f t="shared" si="3"/>
        <v>46135</v>
      </c>
      <c r="R21" s="21">
        <f t="shared" ca="1" si="4"/>
        <v>-86.500559837964829</v>
      </c>
      <c r="S21" s="22" t="str">
        <f t="shared" ca="1" si="5"/>
        <v>NO CUMPLE</v>
      </c>
      <c r="T21" s="20"/>
      <c r="U21" s="20">
        <f t="shared" si="6"/>
        <v>730</v>
      </c>
      <c r="V21" s="21">
        <f t="shared" ca="1" si="7"/>
        <v>-45491.500559837965</v>
      </c>
      <c r="W21" s="22" t="str">
        <f t="shared" ca="1" si="8"/>
        <v>NO CUMPLE</v>
      </c>
      <c r="X21" s="41">
        <v>4</v>
      </c>
      <c r="Y21" s="41">
        <v>3</v>
      </c>
      <c r="Z21" s="41">
        <f t="shared" si="9"/>
        <v>4</v>
      </c>
      <c r="AA21" s="41">
        <f t="shared" ca="1" si="10"/>
        <v>0</v>
      </c>
      <c r="AB21" s="42">
        <f t="shared" ref="AB21:AC21" si="22">Z21/X21</f>
        <v>1</v>
      </c>
      <c r="AC21" s="42">
        <f t="shared" ca="1" si="22"/>
        <v>0</v>
      </c>
      <c r="AD21" s="43">
        <f t="shared" ca="1" si="12"/>
        <v>0.5714285714285714</v>
      </c>
      <c r="AE21" s="44"/>
      <c r="AF21" s="44"/>
      <c r="AG21" s="44"/>
      <c r="AH21" s="44"/>
    </row>
    <row r="22" spans="1:34" ht="14.4" x14ac:dyDescent="0.3">
      <c r="A22" s="26"/>
      <c r="B22" s="17"/>
      <c r="C22" s="18" t="str">
        <f>LOOKUP(F22,BD!C:C,BD!A:A)</f>
        <v>PALAY</v>
      </c>
      <c r="D22" s="18" t="str">
        <f>LOOKUP(F22,BD!C:C,BD!B:B)</f>
        <v>PELAEZ RAMIREZ</v>
      </c>
      <c r="E22" s="18">
        <v>3104156290</v>
      </c>
      <c r="F22" s="18">
        <v>43606925</v>
      </c>
      <c r="G22" s="18">
        <f>LOOKUP(F22,BD!C:C,BD!D:D)</f>
        <v>481</v>
      </c>
      <c r="H22" s="19" t="s">
        <v>30</v>
      </c>
      <c r="I22" s="19" t="s">
        <v>30</v>
      </c>
      <c r="J22" s="19" t="s">
        <v>30</v>
      </c>
      <c r="K22" s="19" t="s">
        <v>30</v>
      </c>
      <c r="L22" s="20"/>
      <c r="M22" s="20">
        <f t="shared" si="0"/>
        <v>730</v>
      </c>
      <c r="N22" s="21">
        <f t="shared" ca="1" si="1"/>
        <v>-45491.500559837965</v>
      </c>
      <c r="O22" s="22" t="str">
        <f t="shared" ca="1" si="2"/>
        <v>NO CUMPLE</v>
      </c>
      <c r="P22" s="20"/>
      <c r="Q22" s="20">
        <f t="shared" si="3"/>
        <v>730</v>
      </c>
      <c r="R22" s="21">
        <f t="shared" ca="1" si="4"/>
        <v>-45491.500559837965</v>
      </c>
      <c r="S22" s="22" t="str">
        <f t="shared" ca="1" si="5"/>
        <v>NO CUMPLE</v>
      </c>
      <c r="T22" s="20"/>
      <c r="U22" s="20">
        <f t="shared" si="6"/>
        <v>730</v>
      </c>
      <c r="V22" s="21">
        <f t="shared" ca="1" si="7"/>
        <v>-45491.500559837965</v>
      </c>
      <c r="W22" s="22" t="str">
        <f t="shared" ca="1" si="8"/>
        <v>NO CUMPLE</v>
      </c>
      <c r="X22" s="41">
        <v>4</v>
      </c>
      <c r="Y22" s="41">
        <v>3</v>
      </c>
      <c r="Z22" s="41">
        <f t="shared" si="9"/>
        <v>4</v>
      </c>
      <c r="AA22" s="41">
        <f t="shared" ca="1" si="10"/>
        <v>0</v>
      </c>
      <c r="AB22" s="42">
        <f t="shared" ref="AB22:AC22" si="23">Z22/X22</f>
        <v>1</v>
      </c>
      <c r="AC22" s="42">
        <f t="shared" ca="1" si="23"/>
        <v>0</v>
      </c>
      <c r="AD22" s="43">
        <f t="shared" ca="1" si="12"/>
        <v>0.5714285714285714</v>
      </c>
      <c r="AE22" s="44"/>
      <c r="AF22" s="44"/>
      <c r="AG22" s="44"/>
      <c r="AH22" s="44"/>
    </row>
    <row r="23" spans="1:34" ht="14.4" x14ac:dyDescent="0.3">
      <c r="A23" s="26"/>
      <c r="B23" s="17"/>
      <c r="C23" s="18" t="e">
        <f>LOOKUP(F23,BD!C:C,BD!A:A)</f>
        <v>#N/A</v>
      </c>
      <c r="D23" s="18" t="e">
        <f>LOOKUP(F23,BD!C:C,BD!B:B)</f>
        <v>#N/A</v>
      </c>
      <c r="E23" s="18"/>
      <c r="F23" s="18"/>
      <c r="G23" s="18" t="e">
        <f>LOOKUP(F23,BD!C:C,BD!D:D)</f>
        <v>#N/A</v>
      </c>
      <c r="H23" s="19"/>
      <c r="I23" s="19"/>
      <c r="J23" s="19"/>
      <c r="K23" s="19"/>
      <c r="L23" s="20"/>
      <c r="M23" s="20">
        <f t="shared" si="0"/>
        <v>730</v>
      </c>
      <c r="N23" s="21">
        <f t="shared" ca="1" si="1"/>
        <v>-45491.500559722219</v>
      </c>
      <c r="O23" s="22" t="str">
        <f t="shared" ca="1" si="2"/>
        <v>NO CUMPLE</v>
      </c>
      <c r="P23" s="20"/>
      <c r="Q23" s="20">
        <f t="shared" si="3"/>
        <v>730</v>
      </c>
      <c r="R23" s="21">
        <f t="shared" ca="1" si="4"/>
        <v>-45491.500559837965</v>
      </c>
      <c r="S23" s="22" t="str">
        <f t="shared" ca="1" si="5"/>
        <v>NO CUMPLE</v>
      </c>
      <c r="T23" s="20"/>
      <c r="U23" s="20">
        <f t="shared" si="6"/>
        <v>730</v>
      </c>
      <c r="V23" s="21">
        <f t="shared" ca="1" si="7"/>
        <v>-45491.500559837965</v>
      </c>
      <c r="W23" s="22" t="str">
        <f t="shared" ca="1" si="8"/>
        <v>NO CUMPLE</v>
      </c>
      <c r="X23" s="41">
        <v>4</v>
      </c>
      <c r="Y23" s="41">
        <v>3</v>
      </c>
      <c r="Z23" s="41">
        <f t="shared" si="9"/>
        <v>0</v>
      </c>
      <c r="AA23" s="41">
        <f t="shared" ca="1" si="10"/>
        <v>0</v>
      </c>
      <c r="AB23" s="42">
        <f t="shared" ref="AB23:AC23" si="24">Z23/X23</f>
        <v>0</v>
      </c>
      <c r="AC23" s="42">
        <f t="shared" ca="1" si="24"/>
        <v>0</v>
      </c>
      <c r="AD23" s="43">
        <f t="shared" ca="1" si="12"/>
        <v>0</v>
      </c>
      <c r="AE23" s="44"/>
      <c r="AF23" s="44"/>
      <c r="AG23" s="44"/>
      <c r="AH23" s="44"/>
    </row>
    <row r="24" spans="1:34" ht="14.4" x14ac:dyDescent="0.3">
      <c r="A24" s="26"/>
      <c r="B24" s="17"/>
      <c r="C24" s="18" t="e">
        <f>LOOKUP(F24,BD!C:C,BD!A:A)</f>
        <v>#N/A</v>
      </c>
      <c r="D24" s="18" t="e">
        <f>LOOKUP(F24,BD!C:C,BD!B:B)</f>
        <v>#N/A</v>
      </c>
      <c r="E24" s="18"/>
      <c r="F24" s="18"/>
      <c r="G24" s="18" t="e">
        <f>LOOKUP(F24,BD!C:C,BD!D:D)</f>
        <v>#N/A</v>
      </c>
      <c r="H24" s="19"/>
      <c r="I24" s="19"/>
      <c r="J24" s="19"/>
      <c r="K24" s="19"/>
      <c r="L24" s="20"/>
      <c r="M24" s="20">
        <f t="shared" si="0"/>
        <v>730</v>
      </c>
      <c r="N24" s="21">
        <f t="shared" ca="1" si="1"/>
        <v>-45491.500559837965</v>
      </c>
      <c r="O24" s="22" t="str">
        <f t="shared" ca="1" si="2"/>
        <v>NO CUMPLE</v>
      </c>
      <c r="P24" s="20"/>
      <c r="Q24" s="20">
        <f t="shared" si="3"/>
        <v>730</v>
      </c>
      <c r="R24" s="21">
        <f t="shared" ca="1" si="4"/>
        <v>-45491.500559837965</v>
      </c>
      <c r="S24" s="22" t="str">
        <f t="shared" ca="1" si="5"/>
        <v>NO CUMPLE</v>
      </c>
      <c r="T24" s="20"/>
      <c r="U24" s="20">
        <f t="shared" si="6"/>
        <v>730</v>
      </c>
      <c r="V24" s="21">
        <f t="shared" ca="1" si="7"/>
        <v>-45491.500559722219</v>
      </c>
      <c r="W24" s="22" t="str">
        <f t="shared" ca="1" si="8"/>
        <v>NO CUMPLE</v>
      </c>
      <c r="X24" s="41">
        <v>4</v>
      </c>
      <c r="Y24" s="41">
        <v>3</v>
      </c>
      <c r="Z24" s="41">
        <f t="shared" si="9"/>
        <v>0</v>
      </c>
      <c r="AA24" s="41">
        <f t="shared" ca="1" si="10"/>
        <v>0</v>
      </c>
      <c r="AB24" s="42">
        <f t="shared" ref="AB24:AC24" si="25">Z24/X24</f>
        <v>0</v>
      </c>
      <c r="AC24" s="42">
        <f t="shared" ca="1" si="25"/>
        <v>0</v>
      </c>
      <c r="AD24" s="43">
        <f t="shared" ca="1" si="12"/>
        <v>0</v>
      </c>
      <c r="AE24" s="44"/>
      <c r="AF24" s="44"/>
      <c r="AG24" s="44"/>
      <c r="AH24" s="44"/>
    </row>
    <row r="25" spans="1:34" ht="14.4" x14ac:dyDescent="0.3">
      <c r="A25" s="26"/>
      <c r="B25" s="17"/>
      <c r="C25" s="18" t="e">
        <f>LOOKUP(F25,BD!C:C,BD!A:A)</f>
        <v>#N/A</v>
      </c>
      <c r="D25" s="18" t="e">
        <f>LOOKUP(F25,BD!C:C,BD!B:B)</f>
        <v>#N/A</v>
      </c>
      <c r="E25" s="18"/>
      <c r="F25" s="18"/>
      <c r="G25" s="18" t="e">
        <f>LOOKUP(F25,BD!C:C,BD!D:D)</f>
        <v>#N/A</v>
      </c>
      <c r="H25" s="19"/>
      <c r="I25" s="19"/>
      <c r="J25" s="19"/>
      <c r="K25" s="19"/>
      <c r="L25" s="20"/>
      <c r="M25" s="20">
        <f t="shared" si="0"/>
        <v>730</v>
      </c>
      <c r="N25" s="21">
        <f t="shared" ca="1" si="1"/>
        <v>-45491.500559837965</v>
      </c>
      <c r="O25" s="22" t="str">
        <f t="shared" ca="1" si="2"/>
        <v>NO CUMPLE</v>
      </c>
      <c r="P25" s="20"/>
      <c r="Q25" s="20">
        <f t="shared" si="3"/>
        <v>730</v>
      </c>
      <c r="R25" s="21">
        <f t="shared" ca="1" si="4"/>
        <v>-45491.500559837965</v>
      </c>
      <c r="S25" s="22" t="str">
        <f t="shared" ca="1" si="5"/>
        <v>NO CUMPLE</v>
      </c>
      <c r="T25" s="20"/>
      <c r="U25" s="20">
        <f t="shared" si="6"/>
        <v>730</v>
      </c>
      <c r="V25" s="21">
        <f t="shared" ca="1" si="7"/>
        <v>-45491.500559837965</v>
      </c>
      <c r="W25" s="22" t="str">
        <f t="shared" ca="1" si="8"/>
        <v>NO CUMPLE</v>
      </c>
      <c r="X25" s="41">
        <v>4</v>
      </c>
      <c r="Y25" s="41">
        <v>3</v>
      </c>
      <c r="Z25" s="41">
        <f t="shared" si="9"/>
        <v>0</v>
      </c>
      <c r="AA25" s="41">
        <f t="shared" ca="1" si="10"/>
        <v>0</v>
      </c>
      <c r="AB25" s="42">
        <f t="shared" ref="AB25:AC25" si="26">Z25/X25</f>
        <v>0</v>
      </c>
      <c r="AC25" s="42">
        <f t="shared" ca="1" si="26"/>
        <v>0</v>
      </c>
      <c r="AD25" s="43">
        <f t="shared" ca="1" si="12"/>
        <v>0</v>
      </c>
      <c r="AE25" s="44"/>
      <c r="AF25" s="44"/>
      <c r="AG25" s="44"/>
      <c r="AH25" s="44"/>
    </row>
    <row r="26" spans="1:34" ht="14.4" x14ac:dyDescent="0.3">
      <c r="A26" s="26"/>
      <c r="B26" s="17"/>
      <c r="C26" s="18" t="e">
        <f>LOOKUP(F26,BD!C:C,BD!A:A)</f>
        <v>#N/A</v>
      </c>
      <c r="D26" s="18" t="e">
        <f>LOOKUP(F26,BD!C:C,BD!B:B)</f>
        <v>#N/A</v>
      </c>
      <c r="E26" s="18"/>
      <c r="F26" s="18"/>
      <c r="G26" s="18" t="e">
        <f>LOOKUP(F26,BD!C:C,BD!D:D)</f>
        <v>#N/A</v>
      </c>
      <c r="H26" s="19"/>
      <c r="I26" s="19"/>
      <c r="J26" s="19"/>
      <c r="K26" s="19"/>
      <c r="L26" s="20"/>
      <c r="M26" s="20">
        <f t="shared" si="0"/>
        <v>730</v>
      </c>
      <c r="N26" s="21">
        <f t="shared" ca="1" si="1"/>
        <v>-45491.500559837965</v>
      </c>
      <c r="O26" s="22" t="str">
        <f t="shared" ca="1" si="2"/>
        <v>NO CUMPLE</v>
      </c>
      <c r="P26" s="20"/>
      <c r="Q26" s="20">
        <f t="shared" si="3"/>
        <v>730</v>
      </c>
      <c r="R26" s="21">
        <f t="shared" ca="1" si="4"/>
        <v>-45491.500559837965</v>
      </c>
      <c r="S26" s="22" t="str">
        <f t="shared" ca="1" si="5"/>
        <v>NO CUMPLE</v>
      </c>
      <c r="T26" s="20"/>
      <c r="U26" s="20">
        <f t="shared" si="6"/>
        <v>730</v>
      </c>
      <c r="V26" s="21">
        <f t="shared" ca="1" si="7"/>
        <v>-45491.500559837965</v>
      </c>
      <c r="W26" s="22" t="str">
        <f t="shared" ca="1" si="8"/>
        <v>NO CUMPLE</v>
      </c>
      <c r="X26" s="41">
        <v>4</v>
      </c>
      <c r="Y26" s="41">
        <v>3</v>
      </c>
      <c r="Z26" s="41">
        <f t="shared" si="9"/>
        <v>0</v>
      </c>
      <c r="AA26" s="41">
        <f t="shared" ca="1" si="10"/>
        <v>0</v>
      </c>
      <c r="AB26" s="42">
        <f t="shared" ref="AB26:AC26" si="27">Z26/X26</f>
        <v>0</v>
      </c>
      <c r="AC26" s="42">
        <f t="shared" ca="1" si="27"/>
        <v>0</v>
      </c>
      <c r="AD26" s="43">
        <f t="shared" ca="1" si="12"/>
        <v>0</v>
      </c>
      <c r="AE26" s="44"/>
      <c r="AF26" s="44"/>
      <c r="AG26" s="44"/>
      <c r="AH26" s="44"/>
    </row>
    <row r="27" spans="1:34" ht="14.4" x14ac:dyDescent="0.3">
      <c r="A27" s="26"/>
      <c r="B27" s="17"/>
      <c r="C27" s="18" t="e">
        <f>LOOKUP(F27,BD!C:C,BD!A:A)</f>
        <v>#N/A</v>
      </c>
      <c r="D27" s="18" t="e">
        <f>LOOKUP(F27,BD!C:C,BD!B:B)</f>
        <v>#N/A</v>
      </c>
      <c r="E27" s="18"/>
      <c r="F27" s="18"/>
      <c r="G27" s="18" t="e">
        <f>LOOKUP(F27,BD!C:C,BD!D:D)</f>
        <v>#N/A</v>
      </c>
      <c r="H27" s="19"/>
      <c r="I27" s="19"/>
      <c r="J27" s="19"/>
      <c r="K27" s="19"/>
      <c r="L27" s="20"/>
      <c r="M27" s="20">
        <f t="shared" si="0"/>
        <v>730</v>
      </c>
      <c r="N27" s="21">
        <f t="shared" ca="1" si="1"/>
        <v>-45491.500559837965</v>
      </c>
      <c r="O27" s="22" t="str">
        <f t="shared" ca="1" si="2"/>
        <v>NO CUMPLE</v>
      </c>
      <c r="P27" s="20"/>
      <c r="Q27" s="20">
        <f t="shared" si="3"/>
        <v>730</v>
      </c>
      <c r="R27" s="21">
        <f t="shared" ca="1" si="4"/>
        <v>-45491.500559837965</v>
      </c>
      <c r="S27" s="22" t="str">
        <f t="shared" ca="1" si="5"/>
        <v>NO CUMPLE</v>
      </c>
      <c r="T27" s="20"/>
      <c r="U27" s="20">
        <f t="shared" si="6"/>
        <v>730</v>
      </c>
      <c r="V27" s="21">
        <f t="shared" ca="1" si="7"/>
        <v>-45491.500559837965</v>
      </c>
      <c r="W27" s="22" t="str">
        <f t="shared" ca="1" si="8"/>
        <v>NO CUMPLE</v>
      </c>
      <c r="X27" s="41">
        <v>4</v>
      </c>
      <c r="Y27" s="41">
        <v>3</v>
      </c>
      <c r="Z27" s="41">
        <f t="shared" si="9"/>
        <v>0</v>
      </c>
      <c r="AA27" s="41">
        <f t="shared" ca="1" si="10"/>
        <v>0</v>
      </c>
      <c r="AB27" s="42">
        <f t="shared" ref="AB27:AC27" si="28">Z27/X27</f>
        <v>0</v>
      </c>
      <c r="AC27" s="42">
        <f t="shared" ca="1" si="28"/>
        <v>0</v>
      </c>
      <c r="AD27" s="43">
        <f t="shared" ca="1" si="12"/>
        <v>0</v>
      </c>
      <c r="AE27" s="44"/>
      <c r="AF27" s="44"/>
      <c r="AG27" s="44"/>
      <c r="AH27" s="44"/>
    </row>
    <row r="28" spans="1:34" ht="14.4" x14ac:dyDescent="0.3">
      <c r="A28" s="26"/>
      <c r="B28" s="17"/>
      <c r="C28" s="18" t="e">
        <f>LOOKUP(F28,BD!C:C,BD!A:A)</f>
        <v>#N/A</v>
      </c>
      <c r="D28" s="18" t="e">
        <f>LOOKUP(F28,BD!C:C,BD!B:B)</f>
        <v>#N/A</v>
      </c>
      <c r="E28" s="18"/>
      <c r="F28" s="18"/>
      <c r="G28" s="18" t="e">
        <f>LOOKUP(F28,BD!C:C,BD!D:D)</f>
        <v>#N/A</v>
      </c>
      <c r="H28" s="19"/>
      <c r="I28" s="19"/>
      <c r="J28" s="19"/>
      <c r="K28" s="19"/>
      <c r="L28" s="20"/>
      <c r="M28" s="20">
        <f t="shared" si="0"/>
        <v>730</v>
      </c>
      <c r="N28" s="21">
        <f t="shared" ca="1" si="1"/>
        <v>-45491.500559837965</v>
      </c>
      <c r="O28" s="22" t="str">
        <f t="shared" ca="1" si="2"/>
        <v>NO CUMPLE</v>
      </c>
      <c r="P28" s="20"/>
      <c r="Q28" s="20">
        <f t="shared" si="3"/>
        <v>730</v>
      </c>
      <c r="R28" s="21">
        <f t="shared" ca="1" si="4"/>
        <v>-45491.500559837965</v>
      </c>
      <c r="S28" s="22" t="str">
        <f t="shared" ca="1" si="5"/>
        <v>NO CUMPLE</v>
      </c>
      <c r="T28" s="20"/>
      <c r="U28" s="20">
        <f t="shared" si="6"/>
        <v>730</v>
      </c>
      <c r="V28" s="21">
        <f t="shared" ca="1" si="7"/>
        <v>-45491.500559837965</v>
      </c>
      <c r="W28" s="22" t="str">
        <f t="shared" ca="1" si="8"/>
        <v>NO CUMPLE</v>
      </c>
      <c r="X28" s="41">
        <v>4</v>
      </c>
      <c r="Y28" s="41">
        <v>3</v>
      </c>
      <c r="Z28" s="41">
        <f t="shared" si="9"/>
        <v>0</v>
      </c>
      <c r="AA28" s="41">
        <f t="shared" ca="1" si="10"/>
        <v>0</v>
      </c>
      <c r="AB28" s="42">
        <f t="shared" ref="AB28:AC28" si="29">Z28/X28</f>
        <v>0</v>
      </c>
      <c r="AC28" s="42">
        <f t="shared" ca="1" si="29"/>
        <v>0</v>
      </c>
      <c r="AD28" s="43">
        <f t="shared" ca="1" si="12"/>
        <v>0</v>
      </c>
      <c r="AE28" s="44"/>
      <c r="AF28" s="44"/>
      <c r="AG28" s="44"/>
      <c r="AH28" s="44"/>
    </row>
    <row r="29" spans="1:34" ht="14.4" x14ac:dyDescent="0.3">
      <c r="A29" s="26"/>
      <c r="B29" s="17"/>
      <c r="C29" s="18" t="e">
        <f>LOOKUP(F29,BD!C:C,BD!A:A)</f>
        <v>#N/A</v>
      </c>
      <c r="D29" s="18" t="e">
        <f>LOOKUP(F29,BD!C:C,BD!B:B)</f>
        <v>#N/A</v>
      </c>
      <c r="E29" s="18"/>
      <c r="F29" s="18"/>
      <c r="G29" s="18" t="e">
        <f>LOOKUP(F29,BD!C:C,BD!D:D)</f>
        <v>#N/A</v>
      </c>
      <c r="H29" s="19"/>
      <c r="I29" s="19"/>
      <c r="J29" s="19"/>
      <c r="K29" s="19"/>
      <c r="L29" s="20"/>
      <c r="M29" s="20">
        <f t="shared" si="0"/>
        <v>730</v>
      </c>
      <c r="N29" s="21">
        <f t="shared" ca="1" si="1"/>
        <v>-45491.500559837965</v>
      </c>
      <c r="O29" s="22" t="str">
        <f t="shared" ca="1" si="2"/>
        <v>NO CUMPLE</v>
      </c>
      <c r="P29" s="20"/>
      <c r="Q29" s="20">
        <f t="shared" si="3"/>
        <v>730</v>
      </c>
      <c r="R29" s="21">
        <f t="shared" ca="1" si="4"/>
        <v>-45491.500559837965</v>
      </c>
      <c r="S29" s="22" t="str">
        <f t="shared" ca="1" si="5"/>
        <v>NO CUMPLE</v>
      </c>
      <c r="T29" s="20"/>
      <c r="U29" s="20">
        <f t="shared" si="6"/>
        <v>730</v>
      </c>
      <c r="V29" s="21">
        <f t="shared" ca="1" si="7"/>
        <v>-45491.500559837965</v>
      </c>
      <c r="W29" s="22" t="str">
        <f t="shared" ca="1" si="8"/>
        <v>NO CUMPLE</v>
      </c>
      <c r="X29" s="41">
        <v>4</v>
      </c>
      <c r="Y29" s="41">
        <v>3</v>
      </c>
      <c r="Z29" s="41">
        <f t="shared" si="9"/>
        <v>0</v>
      </c>
      <c r="AA29" s="41">
        <f t="shared" ca="1" si="10"/>
        <v>0</v>
      </c>
      <c r="AB29" s="42">
        <f t="shared" ref="AB29:AC29" si="30">Z29/X29</f>
        <v>0</v>
      </c>
      <c r="AC29" s="42">
        <f t="shared" ca="1" si="30"/>
        <v>0</v>
      </c>
      <c r="AD29" s="43">
        <f t="shared" ca="1" si="12"/>
        <v>0</v>
      </c>
      <c r="AE29" s="44"/>
      <c r="AF29" s="44"/>
      <c r="AG29" s="44"/>
      <c r="AH29" s="44"/>
    </row>
    <row r="30" spans="1:34" ht="14.4" x14ac:dyDescent="0.3">
      <c r="A30" s="26"/>
      <c r="B30" s="17"/>
      <c r="C30" s="18" t="e">
        <f>LOOKUP(F30,BD!C:C,BD!A:A)</f>
        <v>#N/A</v>
      </c>
      <c r="D30" s="18" t="e">
        <f>LOOKUP(F30,BD!C:C,BD!B:B)</f>
        <v>#N/A</v>
      </c>
      <c r="E30" s="18"/>
      <c r="F30" s="18"/>
      <c r="G30" s="18" t="e">
        <f>LOOKUP(F30,BD!C:C,BD!D:D)</f>
        <v>#N/A</v>
      </c>
      <c r="H30" s="19"/>
      <c r="I30" s="19"/>
      <c r="J30" s="19"/>
      <c r="K30" s="19"/>
      <c r="L30" s="20"/>
      <c r="M30" s="20">
        <f t="shared" si="0"/>
        <v>730</v>
      </c>
      <c r="N30" s="21">
        <f t="shared" ca="1" si="1"/>
        <v>-45491.500559837965</v>
      </c>
      <c r="O30" s="22" t="str">
        <f t="shared" ca="1" si="2"/>
        <v>NO CUMPLE</v>
      </c>
      <c r="P30" s="20"/>
      <c r="Q30" s="20">
        <f t="shared" si="3"/>
        <v>730</v>
      </c>
      <c r="R30" s="21">
        <f t="shared" ca="1" si="4"/>
        <v>-45491.500559837965</v>
      </c>
      <c r="S30" s="22" t="str">
        <f t="shared" ca="1" si="5"/>
        <v>NO CUMPLE</v>
      </c>
      <c r="T30" s="20"/>
      <c r="U30" s="20">
        <f t="shared" si="6"/>
        <v>730</v>
      </c>
      <c r="V30" s="21">
        <f t="shared" ca="1" si="7"/>
        <v>-45491.500559722219</v>
      </c>
      <c r="W30" s="22" t="str">
        <f t="shared" ca="1" si="8"/>
        <v>NO CUMPLE</v>
      </c>
      <c r="X30" s="41">
        <v>4</v>
      </c>
      <c r="Y30" s="41">
        <v>3</v>
      </c>
      <c r="Z30" s="41">
        <f t="shared" si="9"/>
        <v>0</v>
      </c>
      <c r="AA30" s="41">
        <f t="shared" ca="1" si="10"/>
        <v>0</v>
      </c>
      <c r="AB30" s="42">
        <f t="shared" ref="AB30:AC30" si="31">Z30/X30</f>
        <v>0</v>
      </c>
      <c r="AC30" s="42">
        <f t="shared" ca="1" si="31"/>
        <v>0</v>
      </c>
      <c r="AD30" s="43">
        <f t="shared" ca="1" si="12"/>
        <v>0</v>
      </c>
      <c r="AE30" s="44"/>
      <c r="AF30" s="44"/>
      <c r="AG30" s="44"/>
      <c r="AH30" s="44"/>
    </row>
    <row r="31" spans="1:34" ht="14.4" x14ac:dyDescent="0.3">
      <c r="A31" s="26"/>
      <c r="B31" s="17"/>
      <c r="C31" s="18" t="e">
        <f>LOOKUP(F31,BD!C:C,BD!A:A)</f>
        <v>#N/A</v>
      </c>
      <c r="D31" s="18" t="e">
        <f>LOOKUP(F31,BD!C:C,BD!B:B)</f>
        <v>#N/A</v>
      </c>
      <c r="E31" s="18"/>
      <c r="F31" s="18"/>
      <c r="G31" s="18" t="e">
        <f>LOOKUP(F31,BD!C:C,BD!D:D)</f>
        <v>#N/A</v>
      </c>
      <c r="H31" s="19"/>
      <c r="I31" s="19"/>
      <c r="J31" s="19"/>
      <c r="K31" s="19"/>
      <c r="L31" s="20"/>
      <c r="M31" s="20">
        <f t="shared" si="0"/>
        <v>730</v>
      </c>
      <c r="N31" s="21">
        <f t="shared" ca="1" si="1"/>
        <v>-45491.500559837965</v>
      </c>
      <c r="O31" s="22" t="str">
        <f t="shared" ca="1" si="2"/>
        <v>NO CUMPLE</v>
      </c>
      <c r="P31" s="20"/>
      <c r="Q31" s="20">
        <f t="shared" si="3"/>
        <v>730</v>
      </c>
      <c r="R31" s="21">
        <f t="shared" ca="1" si="4"/>
        <v>-45491.500559837965</v>
      </c>
      <c r="S31" s="22" t="str">
        <f t="shared" ca="1" si="5"/>
        <v>NO CUMPLE</v>
      </c>
      <c r="T31" s="20"/>
      <c r="U31" s="20">
        <f t="shared" si="6"/>
        <v>730</v>
      </c>
      <c r="V31" s="21">
        <f t="shared" ca="1" si="7"/>
        <v>-45491.500559837965</v>
      </c>
      <c r="W31" s="22" t="str">
        <f t="shared" ca="1" si="8"/>
        <v>NO CUMPLE</v>
      </c>
      <c r="X31" s="41">
        <v>4</v>
      </c>
      <c r="Y31" s="41">
        <v>3</v>
      </c>
      <c r="Z31" s="41">
        <f t="shared" si="9"/>
        <v>0</v>
      </c>
      <c r="AA31" s="41">
        <f t="shared" ca="1" si="10"/>
        <v>0</v>
      </c>
      <c r="AB31" s="42">
        <f t="shared" ref="AB31:AC31" si="32">Z31/X31</f>
        <v>0</v>
      </c>
      <c r="AC31" s="42">
        <f t="shared" ca="1" si="32"/>
        <v>0</v>
      </c>
      <c r="AD31" s="43">
        <f t="shared" ca="1" si="12"/>
        <v>0</v>
      </c>
      <c r="AE31" s="44"/>
      <c r="AF31" s="44"/>
      <c r="AG31" s="44"/>
      <c r="AH31" s="44"/>
    </row>
    <row r="32" spans="1:34" ht="14.4" x14ac:dyDescent="0.3">
      <c r="A32" s="30"/>
      <c r="B32" s="34"/>
      <c r="C32" s="18" t="e">
        <f>LOOKUP(F32,BD!C:C,BD!A:A)</f>
        <v>#N/A</v>
      </c>
      <c r="D32" s="18" t="e">
        <f>LOOKUP(F32,BD!C:C,BD!B:B)</f>
        <v>#N/A</v>
      </c>
      <c r="E32" s="18"/>
      <c r="F32" s="18"/>
      <c r="G32" s="18" t="e">
        <f>LOOKUP(F32,BD!C:C,BD!D:D)</f>
        <v>#N/A</v>
      </c>
      <c r="H32" s="19"/>
      <c r="I32" s="19"/>
      <c r="J32" s="19"/>
      <c r="K32" s="19"/>
      <c r="L32" s="20"/>
      <c r="M32" s="20">
        <f t="shared" si="0"/>
        <v>730</v>
      </c>
      <c r="N32" s="21">
        <f t="shared" ca="1" si="1"/>
        <v>-45491.500559837965</v>
      </c>
      <c r="O32" s="22" t="str">
        <f t="shared" ca="1" si="2"/>
        <v>NO CUMPLE</v>
      </c>
      <c r="P32" s="20"/>
      <c r="Q32" s="20">
        <f t="shared" si="3"/>
        <v>730</v>
      </c>
      <c r="R32" s="21">
        <f t="shared" ca="1" si="4"/>
        <v>-45491.500559837965</v>
      </c>
      <c r="S32" s="22" t="str">
        <f t="shared" ca="1" si="5"/>
        <v>NO CUMPLE</v>
      </c>
      <c r="T32" s="20"/>
      <c r="U32" s="20">
        <f t="shared" si="6"/>
        <v>730</v>
      </c>
      <c r="V32" s="21">
        <f t="shared" ca="1" si="7"/>
        <v>-45491.500559837965</v>
      </c>
      <c r="W32" s="22" t="str">
        <f t="shared" ca="1" si="8"/>
        <v>NO CUMPLE</v>
      </c>
      <c r="X32" s="41">
        <v>4</v>
      </c>
      <c r="Y32" s="41">
        <v>3</v>
      </c>
      <c r="Z32" s="41">
        <f t="shared" si="9"/>
        <v>0</v>
      </c>
      <c r="AA32" s="41">
        <f t="shared" ca="1" si="10"/>
        <v>0</v>
      </c>
      <c r="AB32" s="42">
        <f t="shared" ref="AB32:AC32" si="33">Z32/X32</f>
        <v>0</v>
      </c>
      <c r="AC32" s="42">
        <f t="shared" ca="1" si="33"/>
        <v>0</v>
      </c>
      <c r="AD32" s="43">
        <f t="shared" ca="1" si="12"/>
        <v>0</v>
      </c>
      <c r="AE32" s="44"/>
      <c r="AF32" s="44"/>
      <c r="AG32" s="44"/>
      <c r="AH32" s="44"/>
    </row>
    <row r="33" spans="1:34" ht="14.4" x14ac:dyDescent="0.3">
      <c r="A33" s="30"/>
      <c r="B33" s="34"/>
      <c r="C33" s="18" t="e">
        <f>LOOKUP(F33,BD!C:C,BD!A:A)</f>
        <v>#N/A</v>
      </c>
      <c r="D33" s="18" t="e">
        <f>LOOKUP(F33,BD!C:C,BD!B:B)</f>
        <v>#N/A</v>
      </c>
      <c r="E33" s="18"/>
      <c r="F33" s="18"/>
      <c r="G33" s="18" t="e">
        <f>LOOKUP(F33,BD!C:C,BD!D:D)</f>
        <v>#N/A</v>
      </c>
      <c r="H33" s="19"/>
      <c r="I33" s="19"/>
      <c r="J33" s="19"/>
      <c r="K33" s="19"/>
      <c r="L33" s="20"/>
      <c r="M33" s="20">
        <f t="shared" si="0"/>
        <v>730</v>
      </c>
      <c r="N33" s="21">
        <f t="shared" ca="1" si="1"/>
        <v>-45491.500559837965</v>
      </c>
      <c r="O33" s="22" t="str">
        <f t="shared" ca="1" si="2"/>
        <v>NO CUMPLE</v>
      </c>
      <c r="P33" s="20"/>
      <c r="Q33" s="20">
        <f t="shared" si="3"/>
        <v>730</v>
      </c>
      <c r="R33" s="21">
        <f t="shared" ca="1" si="4"/>
        <v>-45491.500559837965</v>
      </c>
      <c r="S33" s="22" t="str">
        <f t="shared" ca="1" si="5"/>
        <v>NO CUMPLE</v>
      </c>
      <c r="T33" s="20"/>
      <c r="U33" s="20">
        <f t="shared" si="6"/>
        <v>730</v>
      </c>
      <c r="V33" s="21">
        <f t="shared" ca="1" si="7"/>
        <v>-45491.500559837965</v>
      </c>
      <c r="W33" s="22" t="str">
        <f t="shared" ca="1" si="8"/>
        <v>NO CUMPLE</v>
      </c>
      <c r="X33" s="41">
        <v>4</v>
      </c>
      <c r="Y33" s="41">
        <v>3</v>
      </c>
      <c r="Z33" s="41">
        <f t="shared" si="9"/>
        <v>0</v>
      </c>
      <c r="AA33" s="41">
        <f t="shared" ca="1" si="10"/>
        <v>0</v>
      </c>
      <c r="AB33" s="42">
        <f t="shared" ref="AB33:AC33" si="34">Z33/X33</f>
        <v>0</v>
      </c>
      <c r="AC33" s="42">
        <f t="shared" ca="1" si="34"/>
        <v>0</v>
      </c>
      <c r="AD33" s="43">
        <f t="shared" ca="1" si="12"/>
        <v>0</v>
      </c>
      <c r="AE33" s="44"/>
      <c r="AF33" s="44"/>
      <c r="AG33" s="44"/>
      <c r="AH33" s="44"/>
    </row>
    <row r="34" spans="1:34" ht="14.4" x14ac:dyDescent="0.3">
      <c r="A34" s="30"/>
      <c r="B34" s="34"/>
      <c r="C34" s="18" t="e">
        <f>LOOKUP(F34,BD!C:C,BD!A:A)</f>
        <v>#N/A</v>
      </c>
      <c r="D34" s="18" t="e">
        <f>LOOKUP(F34,BD!C:C,BD!B:B)</f>
        <v>#N/A</v>
      </c>
      <c r="E34" s="18"/>
      <c r="F34" s="18"/>
      <c r="G34" s="18" t="e">
        <f>LOOKUP(F34,BD!C:C,BD!D:D)</f>
        <v>#N/A</v>
      </c>
      <c r="H34" s="19"/>
      <c r="I34" s="19"/>
      <c r="J34" s="19"/>
      <c r="K34" s="19"/>
      <c r="L34" s="20"/>
      <c r="M34" s="20">
        <f t="shared" si="0"/>
        <v>730</v>
      </c>
      <c r="N34" s="21">
        <f t="shared" ca="1" si="1"/>
        <v>-45491.500559837965</v>
      </c>
      <c r="O34" s="22" t="str">
        <f t="shared" ca="1" si="2"/>
        <v>NO CUMPLE</v>
      </c>
      <c r="P34" s="20"/>
      <c r="Q34" s="20">
        <f t="shared" si="3"/>
        <v>730</v>
      </c>
      <c r="R34" s="21">
        <f t="shared" ca="1" si="4"/>
        <v>-45491.500559837965</v>
      </c>
      <c r="S34" s="22" t="str">
        <f t="shared" ca="1" si="5"/>
        <v>NO CUMPLE</v>
      </c>
      <c r="T34" s="20"/>
      <c r="U34" s="20">
        <f t="shared" si="6"/>
        <v>730</v>
      </c>
      <c r="V34" s="21">
        <f t="shared" ca="1" si="7"/>
        <v>-45491.500559722219</v>
      </c>
      <c r="W34" s="22" t="str">
        <f t="shared" ca="1" si="8"/>
        <v>NO CUMPLE</v>
      </c>
      <c r="X34" s="41">
        <v>4</v>
      </c>
      <c r="Y34" s="41">
        <v>3</v>
      </c>
      <c r="Z34" s="41">
        <f t="shared" si="9"/>
        <v>0</v>
      </c>
      <c r="AA34" s="41">
        <f t="shared" ca="1" si="10"/>
        <v>0</v>
      </c>
      <c r="AB34" s="42">
        <f t="shared" ref="AB34:AC34" si="35">Z34/X34</f>
        <v>0</v>
      </c>
      <c r="AC34" s="42">
        <f t="shared" ca="1" si="35"/>
        <v>0</v>
      </c>
      <c r="AD34" s="43">
        <f t="shared" ca="1" si="12"/>
        <v>0</v>
      </c>
      <c r="AE34" s="44"/>
      <c r="AF34" s="44"/>
      <c r="AG34" s="44"/>
      <c r="AH34" s="44"/>
    </row>
    <row r="35" spans="1:34" ht="14.4" x14ac:dyDescent="0.3">
      <c r="A35" s="30"/>
      <c r="B35" s="34"/>
      <c r="C35" s="18" t="e">
        <f>LOOKUP(F35,BD!C:C,BD!A:A)</f>
        <v>#N/A</v>
      </c>
      <c r="D35" s="18" t="e">
        <f>LOOKUP(F35,BD!C:C,BD!B:B)</f>
        <v>#N/A</v>
      </c>
      <c r="E35" s="18"/>
      <c r="F35" s="18"/>
      <c r="G35" s="18" t="e">
        <f>LOOKUP(F35,BD!C:C,BD!D:D)</f>
        <v>#N/A</v>
      </c>
      <c r="H35" s="19"/>
      <c r="I35" s="19"/>
      <c r="J35" s="19"/>
      <c r="K35" s="19"/>
      <c r="L35" s="20"/>
      <c r="M35" s="20">
        <f t="shared" si="0"/>
        <v>730</v>
      </c>
      <c r="N35" s="21">
        <f t="shared" ca="1" si="1"/>
        <v>-45491.500559837965</v>
      </c>
      <c r="O35" s="22" t="str">
        <f t="shared" ca="1" si="2"/>
        <v>NO CUMPLE</v>
      </c>
      <c r="P35" s="20"/>
      <c r="Q35" s="20">
        <f t="shared" si="3"/>
        <v>730</v>
      </c>
      <c r="R35" s="21">
        <f t="shared" ca="1" si="4"/>
        <v>-45491.500559837965</v>
      </c>
      <c r="S35" s="22" t="str">
        <f t="shared" ca="1" si="5"/>
        <v>NO CUMPLE</v>
      </c>
      <c r="T35" s="20"/>
      <c r="U35" s="20">
        <f t="shared" si="6"/>
        <v>730</v>
      </c>
      <c r="V35" s="21">
        <f t="shared" ca="1" si="7"/>
        <v>-45491.500559837965</v>
      </c>
      <c r="W35" s="22" t="str">
        <f t="shared" ca="1" si="8"/>
        <v>NO CUMPLE</v>
      </c>
      <c r="X35" s="41">
        <v>4</v>
      </c>
      <c r="Y35" s="41">
        <v>3</v>
      </c>
      <c r="Z35" s="41">
        <f t="shared" si="9"/>
        <v>0</v>
      </c>
      <c r="AA35" s="41">
        <f t="shared" ca="1" si="10"/>
        <v>0</v>
      </c>
      <c r="AB35" s="42">
        <f t="shared" ref="AB35:AC35" si="36">Z35/X35</f>
        <v>0</v>
      </c>
      <c r="AC35" s="42">
        <f t="shared" ca="1" si="36"/>
        <v>0</v>
      </c>
      <c r="AD35" s="43">
        <f t="shared" ca="1" si="12"/>
        <v>0</v>
      </c>
      <c r="AE35" s="44"/>
      <c r="AF35" s="44"/>
      <c r="AG35" s="44"/>
      <c r="AH35" s="44"/>
    </row>
    <row r="36" spans="1:34" ht="14.4" x14ac:dyDescent="0.3">
      <c r="A36" s="30"/>
      <c r="B36" s="34"/>
      <c r="C36" s="18" t="e">
        <f>LOOKUP(F36,BD!C:C,BD!A:A)</f>
        <v>#N/A</v>
      </c>
      <c r="D36" s="18" t="e">
        <f>LOOKUP(F36,BD!C:C,BD!B:B)</f>
        <v>#N/A</v>
      </c>
      <c r="E36" s="18"/>
      <c r="F36" s="18"/>
      <c r="G36" s="18" t="e">
        <f>LOOKUP(F36,BD!C:C,BD!D:D)</f>
        <v>#N/A</v>
      </c>
      <c r="H36" s="19"/>
      <c r="I36" s="19"/>
      <c r="J36" s="19"/>
      <c r="K36" s="19"/>
      <c r="L36" s="20"/>
      <c r="M36" s="20">
        <f t="shared" si="0"/>
        <v>730</v>
      </c>
      <c r="N36" s="21">
        <f t="shared" ca="1" si="1"/>
        <v>-45491.500559837965</v>
      </c>
      <c r="O36" s="22" t="str">
        <f t="shared" ca="1" si="2"/>
        <v>NO CUMPLE</v>
      </c>
      <c r="P36" s="20"/>
      <c r="Q36" s="20">
        <f t="shared" si="3"/>
        <v>730</v>
      </c>
      <c r="R36" s="21">
        <f t="shared" ca="1" si="4"/>
        <v>-45491.500559722219</v>
      </c>
      <c r="S36" s="22" t="str">
        <f t="shared" ca="1" si="5"/>
        <v>NO CUMPLE</v>
      </c>
      <c r="T36" s="20"/>
      <c r="U36" s="20">
        <f t="shared" si="6"/>
        <v>730</v>
      </c>
      <c r="V36" s="21">
        <f t="shared" ca="1" si="7"/>
        <v>-45491.500559837965</v>
      </c>
      <c r="W36" s="22" t="str">
        <f t="shared" ca="1" si="8"/>
        <v>NO CUMPLE</v>
      </c>
      <c r="X36" s="41">
        <v>4</v>
      </c>
      <c r="Y36" s="41">
        <v>3</v>
      </c>
      <c r="Z36" s="41">
        <f t="shared" si="9"/>
        <v>0</v>
      </c>
      <c r="AA36" s="41">
        <f t="shared" ca="1" si="10"/>
        <v>0</v>
      </c>
      <c r="AB36" s="42">
        <f t="shared" ref="AB36:AC36" si="37">Z36/X36</f>
        <v>0</v>
      </c>
      <c r="AC36" s="42">
        <f t="shared" ca="1" si="37"/>
        <v>0</v>
      </c>
      <c r="AD36" s="43">
        <f t="shared" ca="1" si="12"/>
        <v>0</v>
      </c>
      <c r="AE36" s="44"/>
      <c r="AF36" s="44"/>
      <c r="AG36" s="44"/>
      <c r="AH36" s="44"/>
    </row>
    <row r="37" spans="1:34" ht="14.4" x14ac:dyDescent="0.3">
      <c r="A37" s="30"/>
      <c r="B37" s="34"/>
      <c r="C37" s="18" t="e">
        <f>LOOKUP(F37,BD!C:C,BD!A:A)</f>
        <v>#N/A</v>
      </c>
      <c r="D37" s="18" t="e">
        <f>LOOKUP(F37,BD!C:C,BD!B:B)</f>
        <v>#N/A</v>
      </c>
      <c r="E37" s="18"/>
      <c r="F37" s="18"/>
      <c r="G37" s="18" t="e">
        <f>LOOKUP(F37,BD!C:C,BD!D:D)</f>
        <v>#N/A</v>
      </c>
      <c r="H37" s="19"/>
      <c r="I37" s="19"/>
      <c r="J37" s="19"/>
      <c r="K37" s="19"/>
      <c r="L37" s="20"/>
      <c r="M37" s="20">
        <f t="shared" si="0"/>
        <v>730</v>
      </c>
      <c r="N37" s="21">
        <f t="shared" ca="1" si="1"/>
        <v>-45491.500559837965</v>
      </c>
      <c r="O37" s="22" t="str">
        <f t="shared" ca="1" si="2"/>
        <v>NO CUMPLE</v>
      </c>
      <c r="P37" s="20"/>
      <c r="Q37" s="20">
        <f t="shared" si="3"/>
        <v>730</v>
      </c>
      <c r="R37" s="21">
        <f t="shared" ca="1" si="4"/>
        <v>-45491.500559837965</v>
      </c>
      <c r="S37" s="22" t="str">
        <f t="shared" ca="1" si="5"/>
        <v>NO CUMPLE</v>
      </c>
      <c r="T37" s="20"/>
      <c r="U37" s="20">
        <f t="shared" si="6"/>
        <v>730</v>
      </c>
      <c r="V37" s="21">
        <f t="shared" ca="1" si="7"/>
        <v>-45491.500559722219</v>
      </c>
      <c r="W37" s="22" t="str">
        <f t="shared" ca="1" si="8"/>
        <v>NO CUMPLE</v>
      </c>
      <c r="X37" s="41">
        <v>4</v>
      </c>
      <c r="Y37" s="41">
        <v>3</v>
      </c>
      <c r="Z37" s="41">
        <f t="shared" si="9"/>
        <v>0</v>
      </c>
      <c r="AA37" s="41">
        <f t="shared" ca="1" si="10"/>
        <v>0</v>
      </c>
      <c r="AB37" s="42">
        <f t="shared" ref="AB37:AC37" si="38">Z37/X37</f>
        <v>0</v>
      </c>
      <c r="AC37" s="42">
        <f t="shared" ca="1" si="38"/>
        <v>0</v>
      </c>
      <c r="AD37" s="43">
        <f t="shared" ca="1" si="12"/>
        <v>0</v>
      </c>
      <c r="AE37" s="44"/>
      <c r="AF37" s="44"/>
      <c r="AG37" s="44"/>
      <c r="AH37" s="44"/>
    </row>
    <row r="38" spans="1:34" ht="14.4" x14ac:dyDescent="0.3">
      <c r="A38" s="30"/>
      <c r="B38" s="34"/>
      <c r="C38" s="18" t="e">
        <f>LOOKUP(F38,BD!C:C,BD!A:A)</f>
        <v>#N/A</v>
      </c>
      <c r="D38" s="18" t="e">
        <f>LOOKUP(F38,BD!C:C,BD!B:B)</f>
        <v>#N/A</v>
      </c>
      <c r="E38" s="18"/>
      <c r="F38" s="18"/>
      <c r="G38" s="18" t="e">
        <f>LOOKUP(F38,BD!C:C,BD!D:D)</f>
        <v>#N/A</v>
      </c>
      <c r="H38" s="19"/>
      <c r="I38" s="19"/>
      <c r="J38" s="19"/>
      <c r="K38" s="19"/>
      <c r="L38" s="20"/>
      <c r="M38" s="20">
        <f t="shared" si="0"/>
        <v>730</v>
      </c>
      <c r="N38" s="21">
        <f t="shared" ca="1" si="1"/>
        <v>-45491.500559837965</v>
      </c>
      <c r="O38" s="22" t="str">
        <f t="shared" ca="1" si="2"/>
        <v>NO CUMPLE</v>
      </c>
      <c r="P38" s="20"/>
      <c r="Q38" s="20">
        <f t="shared" si="3"/>
        <v>730</v>
      </c>
      <c r="R38" s="21">
        <f t="shared" ca="1" si="4"/>
        <v>-45491.500559837965</v>
      </c>
      <c r="S38" s="22" t="str">
        <f t="shared" ca="1" si="5"/>
        <v>NO CUMPLE</v>
      </c>
      <c r="T38" s="20"/>
      <c r="U38" s="20">
        <f t="shared" si="6"/>
        <v>730</v>
      </c>
      <c r="V38" s="21">
        <f t="shared" ca="1" si="7"/>
        <v>-45491.500559837965</v>
      </c>
      <c r="W38" s="22" t="str">
        <f t="shared" ca="1" si="8"/>
        <v>NO CUMPLE</v>
      </c>
      <c r="X38" s="41">
        <v>4</v>
      </c>
      <c r="Y38" s="41">
        <v>3</v>
      </c>
      <c r="Z38" s="41">
        <f t="shared" si="9"/>
        <v>0</v>
      </c>
      <c r="AA38" s="41">
        <f t="shared" ca="1" si="10"/>
        <v>0</v>
      </c>
      <c r="AB38" s="42">
        <f t="shared" ref="AB38:AC38" si="39">Z38/X38</f>
        <v>0</v>
      </c>
      <c r="AC38" s="42">
        <f t="shared" ca="1" si="39"/>
        <v>0</v>
      </c>
      <c r="AD38" s="43">
        <f t="shared" ca="1" si="12"/>
        <v>0</v>
      </c>
      <c r="AE38" s="44"/>
      <c r="AF38" s="44"/>
      <c r="AG38" s="44"/>
      <c r="AH38" s="44"/>
    </row>
    <row r="39" spans="1:34" ht="14.4" x14ac:dyDescent="0.3">
      <c r="A39" s="30"/>
      <c r="B39" s="34"/>
      <c r="C39" s="18" t="e">
        <f>LOOKUP(F39,BD!C:C,BD!A:A)</f>
        <v>#N/A</v>
      </c>
      <c r="D39" s="18" t="e">
        <f>LOOKUP(F39,BD!C:C,BD!B:B)</f>
        <v>#N/A</v>
      </c>
      <c r="E39" s="18"/>
      <c r="F39" s="18"/>
      <c r="G39" s="18" t="e">
        <f>LOOKUP(F39,BD!C:C,BD!D:D)</f>
        <v>#N/A</v>
      </c>
      <c r="H39" s="19"/>
      <c r="I39" s="19"/>
      <c r="J39" s="19"/>
      <c r="K39" s="19"/>
      <c r="L39" s="20"/>
      <c r="M39" s="20">
        <f t="shared" si="0"/>
        <v>730</v>
      </c>
      <c r="N39" s="21">
        <f t="shared" ca="1" si="1"/>
        <v>-45491.500559837965</v>
      </c>
      <c r="O39" s="22" t="str">
        <f t="shared" ca="1" si="2"/>
        <v>NO CUMPLE</v>
      </c>
      <c r="P39" s="20"/>
      <c r="Q39" s="20">
        <f t="shared" si="3"/>
        <v>730</v>
      </c>
      <c r="R39" s="21">
        <f t="shared" ca="1" si="4"/>
        <v>-45491.500559722219</v>
      </c>
      <c r="S39" s="22" t="str">
        <f t="shared" ca="1" si="5"/>
        <v>NO CUMPLE</v>
      </c>
      <c r="T39" s="20"/>
      <c r="U39" s="20">
        <f t="shared" si="6"/>
        <v>730</v>
      </c>
      <c r="V39" s="21">
        <f t="shared" ca="1" si="7"/>
        <v>-45491.500559837965</v>
      </c>
      <c r="W39" s="22" t="str">
        <f t="shared" ca="1" si="8"/>
        <v>NO CUMPLE</v>
      </c>
      <c r="X39" s="41">
        <v>4</v>
      </c>
      <c r="Y39" s="41">
        <v>3</v>
      </c>
      <c r="Z39" s="41">
        <f t="shared" si="9"/>
        <v>0</v>
      </c>
      <c r="AA39" s="41">
        <f t="shared" ca="1" si="10"/>
        <v>0</v>
      </c>
      <c r="AB39" s="42">
        <f t="shared" ref="AB39:AC39" si="40">Z39/X39</f>
        <v>0</v>
      </c>
      <c r="AC39" s="42">
        <f t="shared" ca="1" si="40"/>
        <v>0</v>
      </c>
      <c r="AD39" s="43">
        <f t="shared" ca="1" si="12"/>
        <v>0</v>
      </c>
      <c r="AE39" s="44"/>
      <c r="AF39" s="44"/>
      <c r="AG39" s="44"/>
      <c r="AH39" s="44"/>
    </row>
    <row r="40" spans="1:34" ht="14.4" x14ac:dyDescent="0.3">
      <c r="A40" s="30"/>
      <c r="B40" s="34"/>
      <c r="C40" s="18" t="e">
        <f>LOOKUP(F40,BD!C:C,BD!A:A)</f>
        <v>#N/A</v>
      </c>
      <c r="D40" s="18" t="e">
        <f>LOOKUP(F40,BD!C:C,BD!B:B)</f>
        <v>#N/A</v>
      </c>
      <c r="E40" s="18"/>
      <c r="F40" s="18"/>
      <c r="G40" s="18" t="e">
        <f>LOOKUP(F40,BD!C:C,BD!D:D)</f>
        <v>#N/A</v>
      </c>
      <c r="H40" s="19"/>
      <c r="I40" s="19"/>
      <c r="J40" s="19"/>
      <c r="K40" s="19"/>
      <c r="L40" s="20"/>
      <c r="M40" s="20">
        <f t="shared" si="0"/>
        <v>730</v>
      </c>
      <c r="N40" s="21">
        <f t="shared" ca="1" si="1"/>
        <v>-45491.500559837965</v>
      </c>
      <c r="O40" s="22" t="str">
        <f t="shared" ca="1" si="2"/>
        <v>NO CUMPLE</v>
      </c>
      <c r="P40" s="20"/>
      <c r="Q40" s="20">
        <f t="shared" si="3"/>
        <v>730</v>
      </c>
      <c r="R40" s="21">
        <f t="shared" ca="1" si="4"/>
        <v>-45491.500559837965</v>
      </c>
      <c r="S40" s="22" t="str">
        <f t="shared" ca="1" si="5"/>
        <v>NO CUMPLE</v>
      </c>
      <c r="T40" s="20"/>
      <c r="U40" s="20">
        <f t="shared" si="6"/>
        <v>730</v>
      </c>
      <c r="V40" s="21">
        <f t="shared" ca="1" si="7"/>
        <v>-45491.500559837965</v>
      </c>
      <c r="W40" s="22" t="str">
        <f t="shared" ca="1" si="8"/>
        <v>NO CUMPLE</v>
      </c>
      <c r="X40" s="41">
        <v>4</v>
      </c>
      <c r="Y40" s="41">
        <v>3</v>
      </c>
      <c r="Z40" s="41">
        <f t="shared" si="9"/>
        <v>0</v>
      </c>
      <c r="AA40" s="41">
        <f t="shared" ca="1" si="10"/>
        <v>0</v>
      </c>
      <c r="AB40" s="42">
        <f t="shared" ref="AB40:AC40" si="41">Z40/X40</f>
        <v>0</v>
      </c>
      <c r="AC40" s="42">
        <f t="shared" ca="1" si="41"/>
        <v>0</v>
      </c>
      <c r="AD40" s="43">
        <f t="shared" ca="1" si="12"/>
        <v>0</v>
      </c>
      <c r="AE40" s="44"/>
      <c r="AF40" s="44"/>
      <c r="AG40" s="44"/>
      <c r="AH40" s="44"/>
    </row>
    <row r="41" spans="1:34" ht="14.4" x14ac:dyDescent="0.3">
      <c r="A41" s="30"/>
      <c r="B41" s="34"/>
      <c r="C41" s="18" t="e">
        <f>LOOKUP(F41,BD!C:C,BD!A:A)</f>
        <v>#N/A</v>
      </c>
      <c r="D41" s="18" t="e">
        <f>LOOKUP(F41,BD!C:C,BD!B:B)</f>
        <v>#N/A</v>
      </c>
      <c r="E41" s="18"/>
      <c r="F41" s="18"/>
      <c r="G41" s="18" t="e">
        <f>LOOKUP(F41,BD!C:C,BD!D:D)</f>
        <v>#N/A</v>
      </c>
      <c r="H41" s="19"/>
      <c r="I41" s="19"/>
      <c r="J41" s="19"/>
      <c r="K41" s="19"/>
      <c r="L41" s="20"/>
      <c r="M41" s="20">
        <f t="shared" si="0"/>
        <v>730</v>
      </c>
      <c r="N41" s="21">
        <f t="shared" ca="1" si="1"/>
        <v>-45491.500559837965</v>
      </c>
      <c r="O41" s="22" t="str">
        <f t="shared" ca="1" si="2"/>
        <v>NO CUMPLE</v>
      </c>
      <c r="P41" s="20"/>
      <c r="Q41" s="20">
        <f t="shared" si="3"/>
        <v>730</v>
      </c>
      <c r="R41" s="21">
        <f t="shared" ca="1" si="4"/>
        <v>-45491.500559837965</v>
      </c>
      <c r="S41" s="22" t="str">
        <f t="shared" ca="1" si="5"/>
        <v>NO CUMPLE</v>
      </c>
      <c r="T41" s="20"/>
      <c r="U41" s="20">
        <f t="shared" si="6"/>
        <v>730</v>
      </c>
      <c r="V41" s="21">
        <f t="shared" ca="1" si="7"/>
        <v>-45491.500559837965</v>
      </c>
      <c r="W41" s="22" t="str">
        <f t="shared" ca="1" si="8"/>
        <v>NO CUMPLE</v>
      </c>
      <c r="X41" s="41">
        <v>4</v>
      </c>
      <c r="Y41" s="41">
        <v>3</v>
      </c>
      <c r="Z41" s="41">
        <f t="shared" si="9"/>
        <v>0</v>
      </c>
      <c r="AA41" s="41">
        <f t="shared" ca="1" si="10"/>
        <v>0</v>
      </c>
      <c r="AB41" s="42">
        <f t="shared" ref="AB41:AC41" si="42">Z41/X41</f>
        <v>0</v>
      </c>
      <c r="AC41" s="42">
        <f t="shared" ca="1" si="42"/>
        <v>0</v>
      </c>
      <c r="AD41" s="43">
        <f t="shared" ca="1" si="12"/>
        <v>0</v>
      </c>
      <c r="AE41" s="44"/>
      <c r="AF41" s="44"/>
      <c r="AG41" s="44"/>
      <c r="AH41" s="44"/>
    </row>
    <row r="42" spans="1:34" ht="14.4" x14ac:dyDescent="0.3">
      <c r="A42" s="30"/>
      <c r="B42" s="34"/>
      <c r="C42" s="18" t="e">
        <f>LOOKUP(F42,BD!C:C,BD!A:A)</f>
        <v>#N/A</v>
      </c>
      <c r="D42" s="18" t="e">
        <f>LOOKUP(F42,BD!C:C,BD!B:B)</f>
        <v>#N/A</v>
      </c>
      <c r="E42" s="18"/>
      <c r="F42" s="18"/>
      <c r="G42" s="18" t="e">
        <f>LOOKUP(F42,BD!C:C,BD!D:D)</f>
        <v>#N/A</v>
      </c>
      <c r="H42" s="19"/>
      <c r="I42" s="19"/>
      <c r="J42" s="19"/>
      <c r="K42" s="19"/>
      <c r="L42" s="20"/>
      <c r="M42" s="20">
        <f t="shared" si="0"/>
        <v>730</v>
      </c>
      <c r="N42" s="21">
        <f t="shared" ca="1" si="1"/>
        <v>-45491.500559837965</v>
      </c>
      <c r="O42" s="22" t="str">
        <f t="shared" ca="1" si="2"/>
        <v>NO CUMPLE</v>
      </c>
      <c r="P42" s="20"/>
      <c r="Q42" s="20">
        <f t="shared" si="3"/>
        <v>730</v>
      </c>
      <c r="R42" s="21">
        <f t="shared" ca="1" si="4"/>
        <v>-45491.500559837965</v>
      </c>
      <c r="S42" s="22" t="str">
        <f t="shared" ca="1" si="5"/>
        <v>NO CUMPLE</v>
      </c>
      <c r="T42" s="20"/>
      <c r="U42" s="20">
        <f t="shared" si="6"/>
        <v>730</v>
      </c>
      <c r="V42" s="21">
        <f t="shared" ca="1" si="7"/>
        <v>-45491.500559837965</v>
      </c>
      <c r="W42" s="22" t="str">
        <f t="shared" ca="1" si="8"/>
        <v>NO CUMPLE</v>
      </c>
      <c r="X42" s="41">
        <v>4</v>
      </c>
      <c r="Y42" s="41">
        <v>3</v>
      </c>
      <c r="Z42" s="41">
        <f t="shared" si="9"/>
        <v>0</v>
      </c>
      <c r="AA42" s="41">
        <f t="shared" ca="1" si="10"/>
        <v>0</v>
      </c>
      <c r="AB42" s="42">
        <f t="shared" ref="AB42:AC42" si="43">Z42/X42</f>
        <v>0</v>
      </c>
      <c r="AC42" s="42">
        <f t="shared" ca="1" si="43"/>
        <v>0</v>
      </c>
      <c r="AD42" s="43">
        <f t="shared" ca="1" si="12"/>
        <v>0</v>
      </c>
      <c r="AE42" s="44"/>
      <c r="AF42" s="44"/>
      <c r="AG42" s="44"/>
      <c r="AH42" s="44"/>
    </row>
    <row r="43" spans="1:34" ht="14.4" x14ac:dyDescent="0.3">
      <c r="A43" s="30"/>
      <c r="B43" s="34"/>
      <c r="C43" s="18" t="e">
        <f>LOOKUP(F43,BD!C:C,BD!A:A)</f>
        <v>#N/A</v>
      </c>
      <c r="D43" s="18" t="e">
        <f>LOOKUP(F43,BD!C:C,BD!B:B)</f>
        <v>#N/A</v>
      </c>
      <c r="E43" s="18"/>
      <c r="F43" s="18"/>
      <c r="G43" s="18" t="e">
        <f>LOOKUP(F43,BD!C:C,BD!D:D)</f>
        <v>#N/A</v>
      </c>
      <c r="H43" s="19"/>
      <c r="I43" s="19"/>
      <c r="J43" s="19"/>
      <c r="K43" s="19"/>
      <c r="L43" s="28"/>
      <c r="M43" s="20">
        <f t="shared" si="0"/>
        <v>730</v>
      </c>
      <c r="N43" s="21">
        <f t="shared" ca="1" si="1"/>
        <v>-45491.500559837965</v>
      </c>
      <c r="O43" s="22" t="str">
        <f t="shared" ca="1" si="2"/>
        <v>NO CUMPLE</v>
      </c>
      <c r="P43" s="28"/>
      <c r="Q43" s="20">
        <f t="shared" si="3"/>
        <v>730</v>
      </c>
      <c r="R43" s="21">
        <f t="shared" ca="1" si="4"/>
        <v>-45491.500559837965</v>
      </c>
      <c r="S43" s="22" t="str">
        <f t="shared" ca="1" si="5"/>
        <v>NO CUMPLE</v>
      </c>
      <c r="T43" s="28"/>
      <c r="U43" s="20">
        <f t="shared" si="6"/>
        <v>730</v>
      </c>
      <c r="V43" s="21">
        <f t="shared" ca="1" si="7"/>
        <v>-45491.500559722219</v>
      </c>
      <c r="W43" s="22" t="str">
        <f t="shared" ca="1" si="8"/>
        <v>NO CUMPLE</v>
      </c>
      <c r="X43" s="41">
        <v>4</v>
      </c>
      <c r="Y43" s="41">
        <v>3</v>
      </c>
      <c r="Z43" s="41">
        <f t="shared" si="9"/>
        <v>0</v>
      </c>
      <c r="AA43" s="41">
        <f t="shared" ca="1" si="10"/>
        <v>0</v>
      </c>
      <c r="AB43" s="42">
        <f t="shared" ref="AB43:AC43" si="44">Z43/X43</f>
        <v>0</v>
      </c>
      <c r="AC43" s="42">
        <f t="shared" ca="1" si="44"/>
        <v>0</v>
      </c>
      <c r="AD43" s="43">
        <f t="shared" ca="1" si="12"/>
        <v>0</v>
      </c>
      <c r="AE43" s="44"/>
      <c r="AF43" s="44"/>
      <c r="AG43" s="44"/>
      <c r="AH43" s="44"/>
    </row>
    <row r="44" spans="1:34" ht="14.4" x14ac:dyDescent="0.3">
      <c r="A44" s="30"/>
      <c r="B44" s="34"/>
      <c r="C44" s="18" t="e">
        <f>LOOKUP(F44,BD!C:C,BD!A:A)</f>
        <v>#N/A</v>
      </c>
      <c r="D44" s="18" t="e">
        <f>LOOKUP(F44,BD!C:C,BD!B:B)</f>
        <v>#N/A</v>
      </c>
      <c r="E44" s="18"/>
      <c r="F44" s="18"/>
      <c r="G44" s="18" t="e">
        <f>LOOKUP(F44,BD!C:C,BD!D:D)</f>
        <v>#N/A</v>
      </c>
      <c r="H44" s="19"/>
      <c r="I44" s="19"/>
      <c r="J44" s="19"/>
      <c r="K44" s="19"/>
      <c r="L44" s="20"/>
      <c r="M44" s="20">
        <f t="shared" si="0"/>
        <v>730</v>
      </c>
      <c r="N44" s="21">
        <f t="shared" ca="1" si="1"/>
        <v>-45491.500559837965</v>
      </c>
      <c r="O44" s="22" t="str">
        <f t="shared" ca="1" si="2"/>
        <v>NO CUMPLE</v>
      </c>
      <c r="P44" s="20"/>
      <c r="Q44" s="20">
        <f t="shared" si="3"/>
        <v>730</v>
      </c>
      <c r="R44" s="21">
        <f t="shared" ca="1" si="4"/>
        <v>-45491.500559837965</v>
      </c>
      <c r="S44" s="22" t="str">
        <f t="shared" ca="1" si="5"/>
        <v>NO CUMPLE</v>
      </c>
      <c r="T44" s="20"/>
      <c r="U44" s="20">
        <f t="shared" si="6"/>
        <v>730</v>
      </c>
      <c r="V44" s="21">
        <f t="shared" ca="1" si="7"/>
        <v>-45491.500559837965</v>
      </c>
      <c r="W44" s="22" t="str">
        <f t="shared" ca="1" si="8"/>
        <v>NO CUMPLE</v>
      </c>
      <c r="X44" s="41">
        <v>4</v>
      </c>
      <c r="Y44" s="41">
        <v>3</v>
      </c>
      <c r="Z44" s="41">
        <f t="shared" si="9"/>
        <v>0</v>
      </c>
      <c r="AA44" s="41">
        <f t="shared" ca="1" si="10"/>
        <v>0</v>
      </c>
      <c r="AB44" s="42">
        <f t="shared" ref="AB44:AC44" si="45">Z44/X44</f>
        <v>0</v>
      </c>
      <c r="AC44" s="42">
        <f t="shared" ca="1" si="45"/>
        <v>0</v>
      </c>
      <c r="AD44" s="43">
        <f t="shared" ca="1" si="12"/>
        <v>0</v>
      </c>
      <c r="AE44" s="44"/>
      <c r="AF44" s="44"/>
      <c r="AG44" s="44"/>
      <c r="AH44" s="44"/>
    </row>
    <row r="45" spans="1:34" ht="14.4" x14ac:dyDescent="0.3">
      <c r="A45" s="30"/>
      <c r="B45" s="34"/>
      <c r="C45" s="18" t="e">
        <f>LOOKUP(F45,BD!C:C,BD!A:A)</f>
        <v>#N/A</v>
      </c>
      <c r="D45" s="18" t="e">
        <f>LOOKUP(F45,BD!C:C,BD!B:B)</f>
        <v>#N/A</v>
      </c>
      <c r="E45" s="18"/>
      <c r="F45" s="18"/>
      <c r="G45" s="18" t="e">
        <f>LOOKUP(F45,BD!C:C,BD!D:D)</f>
        <v>#N/A</v>
      </c>
      <c r="H45" s="19"/>
      <c r="I45" s="19"/>
      <c r="J45" s="19"/>
      <c r="K45" s="19"/>
      <c r="L45" s="20"/>
      <c r="M45" s="20">
        <f t="shared" si="0"/>
        <v>730</v>
      </c>
      <c r="N45" s="21">
        <f t="shared" ca="1" si="1"/>
        <v>-45491.500559837965</v>
      </c>
      <c r="O45" s="22" t="str">
        <f t="shared" ca="1" si="2"/>
        <v>NO CUMPLE</v>
      </c>
      <c r="P45" s="20"/>
      <c r="Q45" s="20">
        <f t="shared" si="3"/>
        <v>730</v>
      </c>
      <c r="R45" s="21">
        <f t="shared" ca="1" si="4"/>
        <v>-45491.500559837965</v>
      </c>
      <c r="S45" s="22" t="str">
        <f t="shared" ca="1" si="5"/>
        <v>NO CUMPLE</v>
      </c>
      <c r="T45" s="20"/>
      <c r="U45" s="20">
        <f t="shared" si="6"/>
        <v>730</v>
      </c>
      <c r="V45" s="21">
        <f t="shared" ca="1" si="7"/>
        <v>-45491.500559837965</v>
      </c>
      <c r="W45" s="22" t="str">
        <f t="shared" ca="1" si="8"/>
        <v>NO CUMPLE</v>
      </c>
      <c r="X45" s="41">
        <v>4</v>
      </c>
      <c r="Y45" s="41">
        <v>3</v>
      </c>
      <c r="Z45" s="41">
        <f t="shared" si="9"/>
        <v>0</v>
      </c>
      <c r="AA45" s="41">
        <f t="shared" ca="1" si="10"/>
        <v>0</v>
      </c>
      <c r="AB45" s="42">
        <f t="shared" ref="AB45:AC45" si="46">Z45/X45</f>
        <v>0</v>
      </c>
      <c r="AC45" s="42">
        <f t="shared" ca="1" si="46"/>
        <v>0</v>
      </c>
      <c r="AD45" s="43">
        <f t="shared" ca="1" si="12"/>
        <v>0</v>
      </c>
      <c r="AE45" s="44"/>
      <c r="AF45" s="44"/>
      <c r="AG45" s="44"/>
      <c r="AH45" s="44"/>
    </row>
    <row r="46" spans="1:34" ht="14.4" x14ac:dyDescent="0.3">
      <c r="A46" s="30"/>
      <c r="B46" s="34"/>
      <c r="C46" s="18" t="e">
        <f>LOOKUP(F46,BD!C:C,BD!A:A)</f>
        <v>#N/A</v>
      </c>
      <c r="D46" s="18" t="e">
        <f>LOOKUP(F46,BD!C:C,BD!B:B)</f>
        <v>#N/A</v>
      </c>
      <c r="E46" s="18"/>
      <c r="F46" s="18"/>
      <c r="G46" s="18" t="e">
        <f>LOOKUP(F46,BD!C:C,BD!D:D)</f>
        <v>#N/A</v>
      </c>
      <c r="H46" s="19"/>
      <c r="I46" s="19"/>
      <c r="J46" s="19"/>
      <c r="K46" s="19"/>
      <c r="L46" s="20"/>
      <c r="M46" s="20">
        <f t="shared" si="0"/>
        <v>730</v>
      </c>
      <c r="N46" s="21">
        <f t="shared" ca="1" si="1"/>
        <v>-45491.500559837965</v>
      </c>
      <c r="O46" s="22" t="str">
        <f t="shared" ca="1" si="2"/>
        <v>NO CUMPLE</v>
      </c>
      <c r="P46" s="20"/>
      <c r="Q46" s="20">
        <f t="shared" si="3"/>
        <v>730</v>
      </c>
      <c r="R46" s="21">
        <f t="shared" ca="1" si="4"/>
        <v>-45491.500559837965</v>
      </c>
      <c r="S46" s="22" t="str">
        <f t="shared" ca="1" si="5"/>
        <v>NO CUMPLE</v>
      </c>
      <c r="T46" s="20"/>
      <c r="U46" s="20">
        <f t="shared" si="6"/>
        <v>730</v>
      </c>
      <c r="V46" s="21">
        <f t="shared" ca="1" si="7"/>
        <v>-45491.500559837965</v>
      </c>
      <c r="W46" s="22" t="str">
        <f t="shared" ca="1" si="8"/>
        <v>NO CUMPLE</v>
      </c>
      <c r="X46" s="41">
        <v>4</v>
      </c>
      <c r="Y46" s="41">
        <v>3</v>
      </c>
      <c r="Z46" s="41">
        <f t="shared" si="9"/>
        <v>0</v>
      </c>
      <c r="AA46" s="41">
        <f t="shared" ca="1" si="10"/>
        <v>0</v>
      </c>
      <c r="AB46" s="42">
        <f t="shared" ref="AB46:AC46" si="47">Z46/X46</f>
        <v>0</v>
      </c>
      <c r="AC46" s="42">
        <f t="shared" ca="1" si="47"/>
        <v>0</v>
      </c>
      <c r="AD46" s="43">
        <f t="shared" ca="1" si="12"/>
        <v>0</v>
      </c>
      <c r="AE46" s="44"/>
      <c r="AF46" s="44"/>
      <c r="AG46" s="44"/>
      <c r="AH46" s="44"/>
    </row>
    <row r="47" spans="1:34" ht="14.4" x14ac:dyDescent="0.3">
      <c r="A47" s="30"/>
      <c r="B47" s="34"/>
      <c r="C47" s="18" t="e">
        <f>LOOKUP(F47,BD!C:C,BD!A:A)</f>
        <v>#N/A</v>
      </c>
      <c r="D47" s="18" t="e">
        <f>LOOKUP(F47,BD!C:C,BD!B:B)</f>
        <v>#N/A</v>
      </c>
      <c r="E47" s="18"/>
      <c r="F47" s="18"/>
      <c r="G47" s="18" t="e">
        <f>LOOKUP(F47,BD!C:C,BD!D:D)</f>
        <v>#N/A</v>
      </c>
      <c r="H47" s="19"/>
      <c r="I47" s="19"/>
      <c r="J47" s="19"/>
      <c r="K47" s="19"/>
      <c r="L47" s="20"/>
      <c r="M47" s="20">
        <f t="shared" si="0"/>
        <v>730</v>
      </c>
      <c r="N47" s="21">
        <f t="shared" ca="1" si="1"/>
        <v>-45491.500559837965</v>
      </c>
      <c r="O47" s="22" t="str">
        <f t="shared" ca="1" si="2"/>
        <v>NO CUMPLE</v>
      </c>
      <c r="P47" s="20"/>
      <c r="Q47" s="20">
        <f t="shared" si="3"/>
        <v>730</v>
      </c>
      <c r="R47" s="21">
        <f t="shared" ca="1" si="4"/>
        <v>-45491.500559837965</v>
      </c>
      <c r="S47" s="22" t="str">
        <f t="shared" ca="1" si="5"/>
        <v>NO CUMPLE</v>
      </c>
      <c r="T47" s="20"/>
      <c r="U47" s="20">
        <f t="shared" si="6"/>
        <v>730</v>
      </c>
      <c r="V47" s="21">
        <f t="shared" ca="1" si="7"/>
        <v>-45491.500559837965</v>
      </c>
      <c r="W47" s="22" t="str">
        <f t="shared" ca="1" si="8"/>
        <v>NO CUMPLE</v>
      </c>
      <c r="X47" s="41">
        <v>4</v>
      </c>
      <c r="Y47" s="41">
        <v>3</v>
      </c>
      <c r="Z47" s="41">
        <f t="shared" si="9"/>
        <v>0</v>
      </c>
      <c r="AA47" s="41">
        <f t="shared" ca="1" si="10"/>
        <v>0</v>
      </c>
      <c r="AB47" s="42">
        <f t="shared" ref="AB47:AC47" si="48">Z47/X47</f>
        <v>0</v>
      </c>
      <c r="AC47" s="42">
        <f t="shared" ca="1" si="48"/>
        <v>0</v>
      </c>
      <c r="AD47" s="43">
        <f t="shared" ca="1" si="12"/>
        <v>0</v>
      </c>
      <c r="AE47" s="44"/>
      <c r="AF47" s="44"/>
      <c r="AG47" s="44"/>
      <c r="AH47" s="44"/>
    </row>
    <row r="48" spans="1:34" ht="14.4" x14ac:dyDescent="0.3">
      <c r="A48" s="30"/>
      <c r="B48" s="34"/>
      <c r="C48" s="18" t="e">
        <f>LOOKUP(F48,BD!C:C,BD!A:A)</f>
        <v>#N/A</v>
      </c>
      <c r="D48" s="18" t="e">
        <f>LOOKUP(F48,BD!C:C,BD!B:B)</f>
        <v>#N/A</v>
      </c>
      <c r="E48" s="18"/>
      <c r="F48" s="18"/>
      <c r="G48" s="18" t="e">
        <f>LOOKUP(F48,BD!C:C,BD!D:D)</f>
        <v>#N/A</v>
      </c>
      <c r="H48" s="19"/>
      <c r="I48" s="19"/>
      <c r="J48" s="19"/>
      <c r="K48" s="19"/>
      <c r="L48" s="20"/>
      <c r="M48" s="20">
        <f t="shared" si="0"/>
        <v>730</v>
      </c>
      <c r="N48" s="21">
        <f t="shared" ca="1" si="1"/>
        <v>-45491.500559837965</v>
      </c>
      <c r="O48" s="22" t="str">
        <f t="shared" ca="1" si="2"/>
        <v>NO CUMPLE</v>
      </c>
      <c r="P48" s="20"/>
      <c r="Q48" s="20">
        <f t="shared" si="3"/>
        <v>730</v>
      </c>
      <c r="R48" s="21">
        <f t="shared" ca="1" si="4"/>
        <v>-45491.500559837965</v>
      </c>
      <c r="S48" s="22" t="str">
        <f t="shared" ca="1" si="5"/>
        <v>NO CUMPLE</v>
      </c>
      <c r="T48" s="20"/>
      <c r="U48" s="20">
        <f t="shared" si="6"/>
        <v>730</v>
      </c>
      <c r="V48" s="21">
        <f t="shared" ca="1" si="7"/>
        <v>-45491.500559722219</v>
      </c>
      <c r="W48" s="22" t="str">
        <f t="shared" ca="1" si="8"/>
        <v>NO CUMPLE</v>
      </c>
      <c r="X48" s="41">
        <v>4</v>
      </c>
      <c r="Y48" s="41">
        <v>3</v>
      </c>
      <c r="Z48" s="41">
        <f t="shared" si="9"/>
        <v>0</v>
      </c>
      <c r="AA48" s="41">
        <f t="shared" ca="1" si="10"/>
        <v>0</v>
      </c>
      <c r="AB48" s="42">
        <f t="shared" ref="AB48:AC48" si="49">Z48/X48</f>
        <v>0</v>
      </c>
      <c r="AC48" s="42">
        <f t="shared" ca="1" si="49"/>
        <v>0</v>
      </c>
      <c r="AD48" s="43">
        <f t="shared" ca="1" si="12"/>
        <v>0</v>
      </c>
      <c r="AE48" s="44"/>
      <c r="AF48" s="44"/>
      <c r="AG48" s="44"/>
      <c r="AH48" s="44"/>
    </row>
    <row r="49" spans="1:34" ht="14.4" x14ac:dyDescent="0.3">
      <c r="A49" s="30"/>
      <c r="B49" s="34"/>
      <c r="C49" s="18" t="e">
        <f>LOOKUP(F49,BD!C:C,BD!A:A)</f>
        <v>#N/A</v>
      </c>
      <c r="D49" s="18" t="e">
        <f>LOOKUP(F49,BD!C:C,BD!B:B)</f>
        <v>#N/A</v>
      </c>
      <c r="E49" s="18"/>
      <c r="F49" s="18"/>
      <c r="G49" s="18" t="e">
        <f>LOOKUP(F49,BD!C:C,BD!D:D)</f>
        <v>#N/A</v>
      </c>
      <c r="H49" s="19"/>
      <c r="I49" s="19"/>
      <c r="J49" s="19"/>
      <c r="K49" s="19"/>
      <c r="L49" s="20"/>
      <c r="M49" s="20">
        <f t="shared" si="0"/>
        <v>730</v>
      </c>
      <c r="N49" s="21">
        <f t="shared" ca="1" si="1"/>
        <v>-45491.500559837965</v>
      </c>
      <c r="O49" s="22" t="str">
        <f t="shared" ca="1" si="2"/>
        <v>NO CUMPLE</v>
      </c>
      <c r="P49" s="20"/>
      <c r="Q49" s="20">
        <f t="shared" si="3"/>
        <v>730</v>
      </c>
      <c r="R49" s="21">
        <f t="shared" ca="1" si="4"/>
        <v>-45491.500559837965</v>
      </c>
      <c r="S49" s="22" t="str">
        <f t="shared" ca="1" si="5"/>
        <v>NO CUMPLE</v>
      </c>
      <c r="T49" s="20"/>
      <c r="U49" s="20">
        <f t="shared" si="6"/>
        <v>730</v>
      </c>
      <c r="V49" s="21">
        <f t="shared" ca="1" si="7"/>
        <v>-45491.500559837965</v>
      </c>
      <c r="W49" s="22" t="str">
        <f t="shared" ca="1" si="8"/>
        <v>NO CUMPLE</v>
      </c>
      <c r="X49" s="41">
        <v>4</v>
      </c>
      <c r="Y49" s="41">
        <v>3</v>
      </c>
      <c r="Z49" s="41">
        <f t="shared" si="9"/>
        <v>0</v>
      </c>
      <c r="AA49" s="41">
        <f t="shared" ca="1" si="10"/>
        <v>0</v>
      </c>
      <c r="AB49" s="42">
        <f t="shared" ref="AB49:AC49" si="50">Z49/X49</f>
        <v>0</v>
      </c>
      <c r="AC49" s="42">
        <f t="shared" ca="1" si="50"/>
        <v>0</v>
      </c>
      <c r="AD49" s="43">
        <f t="shared" ca="1" si="12"/>
        <v>0</v>
      </c>
      <c r="AE49" s="44"/>
      <c r="AF49" s="44"/>
      <c r="AG49" s="44"/>
      <c r="AH49" s="44"/>
    </row>
    <row r="50" spans="1:34" ht="14.4" x14ac:dyDescent="0.3">
      <c r="A50" s="30"/>
      <c r="B50" s="34"/>
      <c r="C50" s="18" t="e">
        <f>LOOKUP(F50,BD!C:C,BD!A:A)</f>
        <v>#N/A</v>
      </c>
      <c r="D50" s="18" t="e">
        <f>LOOKUP(F50,BD!C:C,BD!B:B)</f>
        <v>#N/A</v>
      </c>
      <c r="E50" s="18"/>
      <c r="F50" s="18"/>
      <c r="G50" s="18" t="e">
        <f>LOOKUP(F50,BD!C:C,BD!D:D)</f>
        <v>#N/A</v>
      </c>
      <c r="H50" s="19"/>
      <c r="I50" s="19"/>
      <c r="J50" s="19"/>
      <c r="K50" s="19"/>
      <c r="L50" s="20"/>
      <c r="M50" s="20">
        <f t="shared" si="0"/>
        <v>730</v>
      </c>
      <c r="N50" s="21">
        <f t="shared" ca="1" si="1"/>
        <v>-45491.500559837965</v>
      </c>
      <c r="O50" s="22" t="str">
        <f t="shared" ca="1" si="2"/>
        <v>NO CUMPLE</v>
      </c>
      <c r="P50" s="20"/>
      <c r="Q50" s="20">
        <f t="shared" si="3"/>
        <v>730</v>
      </c>
      <c r="R50" s="21">
        <f t="shared" ca="1" si="4"/>
        <v>-45491.500559837965</v>
      </c>
      <c r="S50" s="22" t="str">
        <f t="shared" ca="1" si="5"/>
        <v>NO CUMPLE</v>
      </c>
      <c r="T50" s="20"/>
      <c r="U50" s="20">
        <f t="shared" si="6"/>
        <v>730</v>
      </c>
      <c r="V50" s="21">
        <f t="shared" ca="1" si="7"/>
        <v>-45491.500559837965</v>
      </c>
      <c r="W50" s="22" t="str">
        <f t="shared" ca="1" si="8"/>
        <v>NO CUMPLE</v>
      </c>
      <c r="X50" s="41">
        <v>4</v>
      </c>
      <c r="Y50" s="41">
        <v>3</v>
      </c>
      <c r="Z50" s="41">
        <f t="shared" si="9"/>
        <v>0</v>
      </c>
      <c r="AA50" s="41">
        <f t="shared" ca="1" si="10"/>
        <v>0</v>
      </c>
      <c r="AB50" s="42">
        <f t="shared" ref="AB50:AC50" si="51">Z50/X50</f>
        <v>0</v>
      </c>
      <c r="AC50" s="42">
        <f t="shared" ca="1" si="51"/>
        <v>0</v>
      </c>
      <c r="AD50" s="43">
        <f t="shared" ca="1" si="12"/>
        <v>0</v>
      </c>
      <c r="AE50" s="44"/>
      <c r="AF50" s="44"/>
      <c r="AG50" s="44"/>
      <c r="AH50" s="44"/>
    </row>
    <row r="51" spans="1:34" ht="14.4" x14ac:dyDescent="0.3">
      <c r="A51" s="30"/>
      <c r="B51" s="34"/>
      <c r="C51" s="18" t="e">
        <f>LOOKUP(F51,BD!C:C,BD!A:A)</f>
        <v>#N/A</v>
      </c>
      <c r="D51" s="18" t="e">
        <f>LOOKUP(F51,BD!C:C,BD!B:B)</f>
        <v>#N/A</v>
      </c>
      <c r="E51" s="18"/>
      <c r="F51" s="18"/>
      <c r="G51" s="18" t="e">
        <f>LOOKUP(F51,BD!C:C,BD!D:D)</f>
        <v>#N/A</v>
      </c>
      <c r="H51" s="19"/>
      <c r="I51" s="19"/>
      <c r="J51" s="19"/>
      <c r="K51" s="19"/>
      <c r="L51" s="20"/>
      <c r="M51" s="20">
        <f t="shared" si="0"/>
        <v>730</v>
      </c>
      <c r="N51" s="21">
        <f t="shared" ca="1" si="1"/>
        <v>-45491.500559837965</v>
      </c>
      <c r="O51" s="22" t="str">
        <f t="shared" ca="1" si="2"/>
        <v>NO CUMPLE</v>
      </c>
      <c r="P51" s="20"/>
      <c r="Q51" s="20">
        <f t="shared" si="3"/>
        <v>730</v>
      </c>
      <c r="R51" s="21">
        <f t="shared" ca="1" si="4"/>
        <v>-45491.500559837965</v>
      </c>
      <c r="S51" s="22" t="str">
        <f t="shared" ca="1" si="5"/>
        <v>NO CUMPLE</v>
      </c>
      <c r="T51" s="20"/>
      <c r="U51" s="20">
        <f t="shared" si="6"/>
        <v>730</v>
      </c>
      <c r="V51" s="21">
        <f t="shared" ca="1" si="7"/>
        <v>-45491.500559837965</v>
      </c>
      <c r="W51" s="22" t="str">
        <f t="shared" ca="1" si="8"/>
        <v>NO CUMPLE</v>
      </c>
      <c r="X51" s="41">
        <v>4</v>
      </c>
      <c r="Y51" s="41">
        <v>3</v>
      </c>
      <c r="Z51" s="41">
        <f t="shared" si="9"/>
        <v>0</v>
      </c>
      <c r="AA51" s="41">
        <f t="shared" ca="1" si="10"/>
        <v>0</v>
      </c>
      <c r="AB51" s="42">
        <f t="shared" ref="AB51:AC51" si="52">Z51/X51</f>
        <v>0</v>
      </c>
      <c r="AC51" s="42">
        <f t="shared" ca="1" si="52"/>
        <v>0</v>
      </c>
      <c r="AD51" s="43">
        <f t="shared" ca="1" si="12"/>
        <v>0</v>
      </c>
      <c r="AE51" s="44"/>
      <c r="AF51" s="44"/>
      <c r="AG51" s="44"/>
      <c r="AH51" s="44"/>
    </row>
    <row r="52" spans="1:34" ht="14.4" x14ac:dyDescent="0.3">
      <c r="A52" s="30"/>
      <c r="B52" s="34"/>
      <c r="C52" s="18" t="e">
        <f>LOOKUP(F52,BD!C:C,BD!A:A)</f>
        <v>#N/A</v>
      </c>
      <c r="D52" s="18" t="e">
        <f>LOOKUP(F52,BD!C:C,BD!B:B)</f>
        <v>#N/A</v>
      </c>
      <c r="E52" s="18"/>
      <c r="F52" s="18"/>
      <c r="G52" s="18" t="e">
        <f>LOOKUP(F52,BD!C:C,BD!D:D)</f>
        <v>#N/A</v>
      </c>
      <c r="H52" s="19"/>
      <c r="I52" s="19"/>
      <c r="J52" s="19"/>
      <c r="K52" s="19"/>
      <c r="L52" s="20"/>
      <c r="M52" s="20">
        <f t="shared" si="0"/>
        <v>730</v>
      </c>
      <c r="N52" s="21">
        <f t="shared" ca="1" si="1"/>
        <v>-45491.500559722219</v>
      </c>
      <c r="O52" s="22" t="str">
        <f t="shared" ca="1" si="2"/>
        <v>NO CUMPLE</v>
      </c>
      <c r="P52" s="20"/>
      <c r="Q52" s="20">
        <f t="shared" si="3"/>
        <v>730</v>
      </c>
      <c r="R52" s="21">
        <f t="shared" ca="1" si="4"/>
        <v>-45491.500559837965</v>
      </c>
      <c r="S52" s="22" t="str">
        <f t="shared" ca="1" si="5"/>
        <v>NO CUMPLE</v>
      </c>
      <c r="T52" s="20"/>
      <c r="U52" s="20">
        <f t="shared" si="6"/>
        <v>730</v>
      </c>
      <c r="V52" s="21">
        <f t="shared" ca="1" si="7"/>
        <v>-45491.500559837965</v>
      </c>
      <c r="W52" s="22" t="str">
        <f t="shared" ca="1" si="8"/>
        <v>NO CUMPLE</v>
      </c>
      <c r="X52" s="41">
        <v>4</v>
      </c>
      <c r="Y52" s="41">
        <v>3</v>
      </c>
      <c r="Z52" s="41">
        <f t="shared" si="9"/>
        <v>0</v>
      </c>
      <c r="AA52" s="41">
        <f t="shared" ca="1" si="10"/>
        <v>0</v>
      </c>
      <c r="AB52" s="42">
        <f t="shared" ref="AB52:AC52" si="53">Z52/X52</f>
        <v>0</v>
      </c>
      <c r="AC52" s="42">
        <f t="shared" ca="1" si="53"/>
        <v>0</v>
      </c>
      <c r="AD52" s="43">
        <f t="shared" ca="1" si="12"/>
        <v>0</v>
      </c>
      <c r="AE52" s="44"/>
      <c r="AF52" s="44"/>
      <c r="AG52" s="44"/>
      <c r="AH52" s="44"/>
    </row>
    <row r="53" spans="1:34" ht="14.4" x14ac:dyDescent="0.3">
      <c r="A53" s="30"/>
      <c r="B53" s="34"/>
      <c r="C53" s="18" t="e">
        <f>LOOKUP(F53,BD!C:C,BD!A:A)</f>
        <v>#N/A</v>
      </c>
      <c r="D53" s="18" t="e">
        <f>LOOKUP(F53,BD!C:C,BD!B:B)</f>
        <v>#N/A</v>
      </c>
      <c r="E53" s="18"/>
      <c r="F53" s="18"/>
      <c r="G53" s="18" t="e">
        <f>LOOKUP(F53,BD!C:C,BD!D:D)</f>
        <v>#N/A</v>
      </c>
      <c r="H53" s="19"/>
      <c r="I53" s="19"/>
      <c r="J53" s="19"/>
      <c r="K53" s="19"/>
      <c r="L53" s="20"/>
      <c r="M53" s="20">
        <f t="shared" si="0"/>
        <v>730</v>
      </c>
      <c r="N53" s="21">
        <f t="shared" ca="1" si="1"/>
        <v>-45491.500559837965</v>
      </c>
      <c r="O53" s="36" t="str">
        <f t="shared" ca="1" si="2"/>
        <v>NO CUMPLE</v>
      </c>
      <c r="P53" s="20"/>
      <c r="Q53" s="20">
        <f t="shared" si="3"/>
        <v>730</v>
      </c>
      <c r="R53" s="21">
        <f t="shared" ca="1" si="4"/>
        <v>-45491.500559837965</v>
      </c>
      <c r="S53" s="36" t="str">
        <f t="shared" ca="1" si="5"/>
        <v>NO CUMPLE</v>
      </c>
      <c r="T53" s="20"/>
      <c r="U53" s="20">
        <f t="shared" si="6"/>
        <v>730</v>
      </c>
      <c r="V53" s="21">
        <f t="shared" ca="1" si="7"/>
        <v>-45491.500559837965</v>
      </c>
      <c r="W53" s="36" t="str">
        <f t="shared" ca="1" si="8"/>
        <v>NO CUMPLE</v>
      </c>
      <c r="X53" s="41">
        <v>4</v>
      </c>
      <c r="Y53" s="41">
        <v>3</v>
      </c>
      <c r="Z53" s="41">
        <f t="shared" si="9"/>
        <v>0</v>
      </c>
      <c r="AA53" s="41">
        <f t="shared" ca="1" si="10"/>
        <v>0</v>
      </c>
      <c r="AB53" s="42">
        <f t="shared" ref="AB53:AC53" si="54">Z53/X53</f>
        <v>0</v>
      </c>
      <c r="AC53" s="42">
        <f t="shared" ca="1" si="54"/>
        <v>0</v>
      </c>
      <c r="AD53" s="43">
        <f t="shared" ca="1" si="12"/>
        <v>0</v>
      </c>
      <c r="AE53" s="44"/>
      <c r="AF53" s="44"/>
      <c r="AG53" s="44"/>
      <c r="AH53" s="44"/>
    </row>
    <row r="54" spans="1:34" ht="14.4" x14ac:dyDescent="0.3">
      <c r="A54" s="30"/>
      <c r="B54" s="34"/>
      <c r="C54" s="18" t="e">
        <f>LOOKUP(F54,BD!C:C,BD!A:A)</f>
        <v>#N/A</v>
      </c>
      <c r="D54" s="18" t="e">
        <f>LOOKUP(F54,BD!C:C,BD!B:B)</f>
        <v>#N/A</v>
      </c>
      <c r="E54" s="18"/>
      <c r="F54" s="18"/>
      <c r="G54" s="18" t="e">
        <f>LOOKUP(F54,BD!C:C,BD!D:D)</f>
        <v>#N/A</v>
      </c>
      <c r="H54" s="19"/>
      <c r="I54" s="19"/>
      <c r="J54" s="19"/>
      <c r="K54" s="19"/>
      <c r="L54" s="20"/>
      <c r="M54" s="20">
        <f t="shared" si="0"/>
        <v>730</v>
      </c>
      <c r="N54" s="21">
        <f t="shared" ca="1" si="1"/>
        <v>-45491.500559837965</v>
      </c>
      <c r="O54" s="36" t="str">
        <f t="shared" ca="1" si="2"/>
        <v>NO CUMPLE</v>
      </c>
      <c r="P54" s="20"/>
      <c r="Q54" s="20">
        <f t="shared" si="3"/>
        <v>730</v>
      </c>
      <c r="R54" s="21">
        <f t="shared" ca="1" si="4"/>
        <v>-45491.500559722219</v>
      </c>
      <c r="S54" s="36" t="str">
        <f t="shared" ca="1" si="5"/>
        <v>NO CUMPLE</v>
      </c>
      <c r="T54" s="20"/>
      <c r="U54" s="20">
        <f t="shared" si="6"/>
        <v>730</v>
      </c>
      <c r="V54" s="21">
        <f t="shared" ca="1" si="7"/>
        <v>-45491.500559837965</v>
      </c>
      <c r="W54" s="36" t="str">
        <f t="shared" ca="1" si="8"/>
        <v>NO CUMPLE</v>
      </c>
      <c r="X54" s="41">
        <v>4</v>
      </c>
      <c r="Y54" s="41">
        <v>3</v>
      </c>
      <c r="Z54" s="41">
        <f t="shared" si="9"/>
        <v>0</v>
      </c>
      <c r="AA54" s="41">
        <f t="shared" ca="1" si="10"/>
        <v>0</v>
      </c>
      <c r="AB54" s="42">
        <f t="shared" ref="AB54:AC54" si="55">Z54/X54</f>
        <v>0</v>
      </c>
      <c r="AC54" s="42">
        <f t="shared" ca="1" si="55"/>
        <v>0</v>
      </c>
      <c r="AD54" s="43">
        <f t="shared" ca="1" si="12"/>
        <v>0</v>
      </c>
      <c r="AE54" s="44"/>
      <c r="AF54" s="44"/>
      <c r="AG54" s="44"/>
      <c r="AH54" s="44"/>
    </row>
    <row r="55" spans="1:34" ht="14.4" x14ac:dyDescent="0.3">
      <c r="A55" s="30"/>
      <c r="B55" s="34"/>
      <c r="C55" s="18" t="e">
        <f>LOOKUP(F55,BD!C:C,BD!A:A)</f>
        <v>#N/A</v>
      </c>
      <c r="D55" s="18" t="e">
        <f>LOOKUP(F55,BD!C:C,BD!B:B)</f>
        <v>#N/A</v>
      </c>
      <c r="E55" s="18"/>
      <c r="F55" s="18"/>
      <c r="G55" s="18" t="e">
        <f>LOOKUP(F55,BD!C:C,BD!D:D)</f>
        <v>#N/A</v>
      </c>
      <c r="H55" s="19"/>
      <c r="I55" s="19"/>
      <c r="J55" s="19"/>
      <c r="K55" s="19"/>
      <c r="L55" s="20"/>
      <c r="M55" s="20">
        <f t="shared" si="0"/>
        <v>730</v>
      </c>
      <c r="N55" s="21">
        <f t="shared" ca="1" si="1"/>
        <v>-45491.500559837965</v>
      </c>
      <c r="O55" s="22" t="str">
        <f t="shared" ca="1" si="2"/>
        <v>NO CUMPLE</v>
      </c>
      <c r="P55" s="20"/>
      <c r="Q55" s="20">
        <f t="shared" si="3"/>
        <v>730</v>
      </c>
      <c r="R55" s="21">
        <f t="shared" ca="1" si="4"/>
        <v>-45491.500559837965</v>
      </c>
      <c r="S55" s="22" t="str">
        <f t="shared" ca="1" si="5"/>
        <v>NO CUMPLE</v>
      </c>
      <c r="T55" s="20"/>
      <c r="U55" s="20">
        <f t="shared" si="6"/>
        <v>730</v>
      </c>
      <c r="V55" s="21">
        <f t="shared" ca="1" si="7"/>
        <v>-45491.500559837965</v>
      </c>
      <c r="W55" s="22" t="str">
        <f t="shared" ca="1" si="8"/>
        <v>NO CUMPLE</v>
      </c>
      <c r="X55" s="41">
        <v>4</v>
      </c>
      <c r="Y55" s="41">
        <v>3</v>
      </c>
      <c r="Z55" s="41">
        <f t="shared" si="9"/>
        <v>0</v>
      </c>
      <c r="AA55" s="41">
        <f t="shared" ca="1" si="10"/>
        <v>0</v>
      </c>
      <c r="AB55" s="42">
        <f t="shared" ref="AB55:AC55" si="56">Z55/X55</f>
        <v>0</v>
      </c>
      <c r="AC55" s="42">
        <f t="shared" ca="1" si="56"/>
        <v>0</v>
      </c>
      <c r="AD55" s="43">
        <f t="shared" ca="1" si="12"/>
        <v>0</v>
      </c>
      <c r="AE55" s="44"/>
      <c r="AF55" s="44"/>
      <c r="AG55" s="44"/>
      <c r="AH55" s="44"/>
    </row>
    <row r="56" spans="1:34" ht="14.4" x14ac:dyDescent="0.3">
      <c r="A56" s="30"/>
      <c r="B56" s="34"/>
      <c r="C56" s="18" t="e">
        <f>LOOKUP(F56,BD!C:C,BD!A:A)</f>
        <v>#N/A</v>
      </c>
      <c r="D56" s="18" t="e">
        <f>LOOKUP(F56,BD!C:C,BD!B:B)</f>
        <v>#N/A</v>
      </c>
      <c r="E56" s="18"/>
      <c r="F56" s="18"/>
      <c r="G56" s="18" t="e">
        <f>LOOKUP(F56,BD!C:C,BD!D:D)</f>
        <v>#N/A</v>
      </c>
      <c r="H56" s="19"/>
      <c r="I56" s="19"/>
      <c r="J56" s="19"/>
      <c r="K56" s="19"/>
      <c r="L56" s="20"/>
      <c r="M56" s="20">
        <f t="shared" si="0"/>
        <v>730</v>
      </c>
      <c r="N56" s="21">
        <f t="shared" ca="1" si="1"/>
        <v>-45491.500559722219</v>
      </c>
      <c r="O56" s="22" t="str">
        <f t="shared" ca="1" si="2"/>
        <v>NO CUMPLE</v>
      </c>
      <c r="P56" s="20"/>
      <c r="Q56" s="20">
        <f t="shared" si="3"/>
        <v>730</v>
      </c>
      <c r="R56" s="21">
        <f t="shared" ca="1" si="4"/>
        <v>-45491.500559837965</v>
      </c>
      <c r="S56" s="22" t="str">
        <f t="shared" ca="1" si="5"/>
        <v>NO CUMPLE</v>
      </c>
      <c r="T56" s="20"/>
      <c r="U56" s="20">
        <f t="shared" si="6"/>
        <v>730</v>
      </c>
      <c r="V56" s="21">
        <f t="shared" ca="1" si="7"/>
        <v>-45491.500559837965</v>
      </c>
      <c r="W56" s="22" t="str">
        <f t="shared" ca="1" si="8"/>
        <v>NO CUMPLE</v>
      </c>
      <c r="X56" s="41">
        <v>4</v>
      </c>
      <c r="Y56" s="41">
        <v>3</v>
      </c>
      <c r="Z56" s="41">
        <f t="shared" si="9"/>
        <v>0</v>
      </c>
      <c r="AA56" s="41">
        <f t="shared" ca="1" si="10"/>
        <v>0</v>
      </c>
      <c r="AB56" s="42">
        <f t="shared" ref="AB56:AC56" si="57">Z56/X56</f>
        <v>0</v>
      </c>
      <c r="AC56" s="42">
        <f t="shared" ca="1" si="57"/>
        <v>0</v>
      </c>
      <c r="AD56" s="43">
        <f t="shared" ca="1" si="12"/>
        <v>0</v>
      </c>
      <c r="AE56" s="44"/>
      <c r="AF56" s="44"/>
      <c r="AG56" s="44"/>
      <c r="AH56" s="44"/>
    </row>
    <row r="57" spans="1:34" ht="14.4" x14ac:dyDescent="0.3">
      <c r="A57" s="30"/>
      <c r="B57" s="34"/>
      <c r="C57" s="18" t="e">
        <f>LOOKUP(F57,BD!C:C,BD!A:A)</f>
        <v>#N/A</v>
      </c>
      <c r="D57" s="18" t="e">
        <f>LOOKUP(F57,BD!C:C,BD!B:B)</f>
        <v>#N/A</v>
      </c>
      <c r="E57" s="18"/>
      <c r="F57" s="18"/>
      <c r="G57" s="18" t="e">
        <f>LOOKUP(F57,BD!C:C,BD!D:D)</f>
        <v>#N/A</v>
      </c>
      <c r="H57" s="19"/>
      <c r="I57" s="19"/>
      <c r="J57" s="19"/>
      <c r="K57" s="19"/>
      <c r="L57" s="20"/>
      <c r="M57" s="20">
        <f t="shared" si="0"/>
        <v>730</v>
      </c>
      <c r="N57" s="21">
        <f t="shared" ca="1" si="1"/>
        <v>-45491.500559837965</v>
      </c>
      <c r="O57" s="22" t="str">
        <f t="shared" ca="1" si="2"/>
        <v>NO CUMPLE</v>
      </c>
      <c r="P57" s="20"/>
      <c r="Q57" s="20">
        <f t="shared" si="3"/>
        <v>730</v>
      </c>
      <c r="R57" s="21">
        <f t="shared" ca="1" si="4"/>
        <v>-45491.500559837965</v>
      </c>
      <c r="S57" s="22" t="str">
        <f t="shared" ca="1" si="5"/>
        <v>NO CUMPLE</v>
      </c>
      <c r="T57" s="20"/>
      <c r="U57" s="20">
        <f t="shared" si="6"/>
        <v>730</v>
      </c>
      <c r="V57" s="21">
        <f t="shared" ca="1" si="7"/>
        <v>-45491.500559722219</v>
      </c>
      <c r="W57" s="22" t="str">
        <f t="shared" ca="1" si="8"/>
        <v>NO CUMPLE</v>
      </c>
      <c r="X57" s="41">
        <v>4</v>
      </c>
      <c r="Y57" s="41">
        <v>3</v>
      </c>
      <c r="Z57" s="41">
        <f t="shared" si="9"/>
        <v>0</v>
      </c>
      <c r="AA57" s="41">
        <f t="shared" ca="1" si="10"/>
        <v>0</v>
      </c>
      <c r="AB57" s="42">
        <f t="shared" ref="AB57:AC57" si="58">Z57/X57</f>
        <v>0</v>
      </c>
      <c r="AC57" s="42">
        <f t="shared" ca="1" si="58"/>
        <v>0</v>
      </c>
      <c r="AD57" s="43">
        <f t="shared" ca="1" si="12"/>
        <v>0</v>
      </c>
      <c r="AE57" s="44"/>
      <c r="AF57" s="44"/>
      <c r="AG57" s="44"/>
      <c r="AH57" s="44"/>
    </row>
    <row r="58" spans="1:34" ht="14.4" x14ac:dyDescent="0.3">
      <c r="A58" s="30"/>
      <c r="B58" s="34"/>
      <c r="C58" s="18" t="e">
        <f>LOOKUP(F58,BD!C:C,BD!A:A)</f>
        <v>#N/A</v>
      </c>
      <c r="D58" s="18" t="e">
        <f>LOOKUP(F58,BD!C:C,BD!B:B)</f>
        <v>#N/A</v>
      </c>
      <c r="E58" s="18"/>
      <c r="F58" s="18"/>
      <c r="G58" s="18" t="e">
        <f>LOOKUP(F58,BD!C:C,BD!D:D)</f>
        <v>#N/A</v>
      </c>
      <c r="H58" s="19"/>
      <c r="I58" s="19"/>
      <c r="J58" s="19"/>
      <c r="K58" s="19"/>
      <c r="L58" s="20"/>
      <c r="M58" s="20">
        <f t="shared" si="0"/>
        <v>730</v>
      </c>
      <c r="N58" s="21">
        <f t="shared" ca="1" si="1"/>
        <v>-45491.500559837965</v>
      </c>
      <c r="O58" s="22" t="str">
        <f t="shared" ca="1" si="2"/>
        <v>NO CUMPLE</v>
      </c>
      <c r="P58" s="20"/>
      <c r="Q58" s="20">
        <f t="shared" si="3"/>
        <v>730</v>
      </c>
      <c r="R58" s="21">
        <f t="shared" ca="1" si="4"/>
        <v>-45491.500559837965</v>
      </c>
      <c r="S58" s="22" t="str">
        <f t="shared" ca="1" si="5"/>
        <v>NO CUMPLE</v>
      </c>
      <c r="T58" s="20"/>
      <c r="U58" s="20">
        <f t="shared" si="6"/>
        <v>730</v>
      </c>
      <c r="V58" s="21">
        <f t="shared" ca="1" si="7"/>
        <v>-45491.500559837965</v>
      </c>
      <c r="W58" s="22" t="str">
        <f t="shared" ca="1" si="8"/>
        <v>NO CUMPLE</v>
      </c>
      <c r="X58" s="41">
        <v>4</v>
      </c>
      <c r="Y58" s="41">
        <v>3</v>
      </c>
      <c r="Z58" s="41">
        <f t="shared" si="9"/>
        <v>0</v>
      </c>
      <c r="AA58" s="41">
        <f t="shared" ca="1" si="10"/>
        <v>0</v>
      </c>
      <c r="AB58" s="42">
        <f t="shared" ref="AB58:AC58" si="59">Z58/X58</f>
        <v>0</v>
      </c>
      <c r="AC58" s="42">
        <f t="shared" ca="1" si="59"/>
        <v>0</v>
      </c>
      <c r="AD58" s="43">
        <f t="shared" ca="1" si="12"/>
        <v>0</v>
      </c>
      <c r="AE58" s="44"/>
      <c r="AF58" s="44"/>
      <c r="AG58" s="44"/>
      <c r="AH58" s="44"/>
    </row>
    <row r="59" spans="1:34" ht="14.4" x14ac:dyDescent="0.3">
      <c r="A59" s="30"/>
      <c r="B59" s="34"/>
      <c r="C59" s="18" t="e">
        <f>LOOKUP(F59,BD!C:C,BD!A:A)</f>
        <v>#N/A</v>
      </c>
      <c r="D59" s="18" t="e">
        <f>LOOKUP(F59,BD!C:C,BD!B:B)</f>
        <v>#N/A</v>
      </c>
      <c r="E59" s="18"/>
      <c r="F59" s="18"/>
      <c r="G59" s="18" t="e">
        <f>LOOKUP(F59,BD!C:C,BD!D:D)</f>
        <v>#N/A</v>
      </c>
      <c r="H59" s="19"/>
      <c r="I59" s="19"/>
      <c r="J59" s="19"/>
      <c r="K59" s="19"/>
      <c r="L59" s="20"/>
      <c r="M59" s="20">
        <f t="shared" si="0"/>
        <v>730</v>
      </c>
      <c r="N59" s="21">
        <f t="shared" ca="1" si="1"/>
        <v>-45491.500559837965</v>
      </c>
      <c r="O59" s="22" t="str">
        <f t="shared" ca="1" si="2"/>
        <v>NO CUMPLE</v>
      </c>
      <c r="P59" s="20"/>
      <c r="Q59" s="20">
        <f t="shared" si="3"/>
        <v>730</v>
      </c>
      <c r="R59" s="21">
        <f t="shared" ca="1" si="4"/>
        <v>-45491.500559837965</v>
      </c>
      <c r="S59" s="22" t="str">
        <f t="shared" ca="1" si="5"/>
        <v>NO CUMPLE</v>
      </c>
      <c r="T59" s="20"/>
      <c r="U59" s="20">
        <f t="shared" si="6"/>
        <v>730</v>
      </c>
      <c r="V59" s="21">
        <f t="shared" ca="1" si="7"/>
        <v>-45491.500559722219</v>
      </c>
      <c r="W59" s="22" t="str">
        <f t="shared" ca="1" si="8"/>
        <v>NO CUMPLE</v>
      </c>
      <c r="X59" s="41">
        <v>4</v>
      </c>
      <c r="Y59" s="41">
        <v>3</v>
      </c>
      <c r="Z59" s="41">
        <f t="shared" si="9"/>
        <v>0</v>
      </c>
      <c r="AA59" s="41">
        <f t="shared" ca="1" si="10"/>
        <v>0</v>
      </c>
      <c r="AB59" s="42">
        <f t="shared" ref="AB59:AC59" si="60">Z59/X59</f>
        <v>0</v>
      </c>
      <c r="AC59" s="42">
        <f t="shared" ca="1" si="60"/>
        <v>0</v>
      </c>
      <c r="AD59" s="43">
        <f t="shared" ca="1" si="12"/>
        <v>0</v>
      </c>
      <c r="AE59" s="44"/>
      <c r="AF59" s="44"/>
      <c r="AG59" s="44"/>
      <c r="AH59" s="44"/>
    </row>
    <row r="60" spans="1:34" ht="14.4" x14ac:dyDescent="0.3">
      <c r="A60" s="30"/>
      <c r="B60" s="34"/>
      <c r="C60" s="18" t="e">
        <f>LOOKUP(F60,BD!C:C,BD!A:A)</f>
        <v>#N/A</v>
      </c>
      <c r="D60" s="18" t="e">
        <f>LOOKUP(F60,BD!C:C,BD!B:B)</f>
        <v>#N/A</v>
      </c>
      <c r="E60" s="18"/>
      <c r="F60" s="18"/>
      <c r="G60" s="18" t="e">
        <f>LOOKUP(F60,BD!C:C,BD!D:D)</f>
        <v>#N/A</v>
      </c>
      <c r="H60" s="19"/>
      <c r="I60" s="19"/>
      <c r="J60" s="19"/>
      <c r="K60" s="19"/>
      <c r="L60" s="20"/>
      <c r="M60" s="20">
        <f t="shared" si="0"/>
        <v>730</v>
      </c>
      <c r="N60" s="21">
        <f t="shared" ca="1" si="1"/>
        <v>-45491.500559837965</v>
      </c>
      <c r="O60" s="22" t="str">
        <f t="shared" ca="1" si="2"/>
        <v>NO CUMPLE</v>
      </c>
      <c r="P60" s="20"/>
      <c r="Q60" s="20">
        <f t="shared" si="3"/>
        <v>730</v>
      </c>
      <c r="R60" s="21">
        <f t="shared" ca="1" si="4"/>
        <v>-45491.500559837965</v>
      </c>
      <c r="S60" s="22" t="str">
        <f t="shared" ca="1" si="5"/>
        <v>NO CUMPLE</v>
      </c>
      <c r="T60" s="20"/>
      <c r="U60" s="20">
        <f t="shared" si="6"/>
        <v>730</v>
      </c>
      <c r="V60" s="21">
        <f t="shared" ca="1" si="7"/>
        <v>-45491.500559837965</v>
      </c>
      <c r="W60" s="22" t="str">
        <f t="shared" ca="1" si="8"/>
        <v>NO CUMPLE</v>
      </c>
      <c r="X60" s="41">
        <v>4</v>
      </c>
      <c r="Y60" s="41">
        <v>3</v>
      </c>
      <c r="Z60" s="41">
        <f t="shared" si="9"/>
        <v>0</v>
      </c>
      <c r="AA60" s="41">
        <f t="shared" ca="1" si="10"/>
        <v>0</v>
      </c>
      <c r="AB60" s="42">
        <f t="shared" ref="AB60:AC60" si="61">Z60/X60</f>
        <v>0</v>
      </c>
      <c r="AC60" s="42">
        <f t="shared" ca="1" si="61"/>
        <v>0</v>
      </c>
      <c r="AD60" s="43">
        <f t="shared" ca="1" si="12"/>
        <v>0</v>
      </c>
      <c r="AE60" s="44"/>
      <c r="AF60" s="44"/>
      <c r="AG60" s="44"/>
      <c r="AH60" s="44"/>
    </row>
    <row r="61" spans="1:34" ht="14.4" x14ac:dyDescent="0.3">
      <c r="A61" s="30"/>
      <c r="B61" s="34"/>
      <c r="C61" s="18" t="e">
        <f>LOOKUP(F61,BD!C:C,BD!A:A)</f>
        <v>#N/A</v>
      </c>
      <c r="D61" s="18" t="e">
        <f>LOOKUP(F61,BD!C:C,BD!B:B)</f>
        <v>#N/A</v>
      </c>
      <c r="E61" s="18"/>
      <c r="F61" s="18"/>
      <c r="G61" s="18" t="e">
        <f>LOOKUP(F61,BD!C:C,BD!D:D)</f>
        <v>#N/A</v>
      </c>
      <c r="H61" s="19"/>
      <c r="I61" s="19"/>
      <c r="J61" s="19"/>
      <c r="K61" s="19"/>
      <c r="L61" s="20"/>
      <c r="M61" s="20">
        <f t="shared" si="0"/>
        <v>730</v>
      </c>
      <c r="N61" s="21">
        <f t="shared" ca="1" si="1"/>
        <v>-45491.500559837965</v>
      </c>
      <c r="O61" s="22" t="str">
        <f t="shared" ca="1" si="2"/>
        <v>NO CUMPLE</v>
      </c>
      <c r="P61" s="20"/>
      <c r="Q61" s="20">
        <f t="shared" si="3"/>
        <v>730</v>
      </c>
      <c r="R61" s="21">
        <f t="shared" ca="1" si="4"/>
        <v>-45491.500559722219</v>
      </c>
      <c r="S61" s="22" t="str">
        <f t="shared" ca="1" si="5"/>
        <v>NO CUMPLE</v>
      </c>
      <c r="T61" s="20"/>
      <c r="U61" s="20">
        <f t="shared" si="6"/>
        <v>730</v>
      </c>
      <c r="V61" s="21">
        <f t="shared" ca="1" si="7"/>
        <v>-45491.500559837965</v>
      </c>
      <c r="W61" s="22" t="str">
        <f t="shared" ca="1" si="8"/>
        <v>NO CUMPLE</v>
      </c>
      <c r="X61" s="41">
        <v>4</v>
      </c>
      <c r="Y61" s="41">
        <v>3</v>
      </c>
      <c r="Z61" s="41">
        <f t="shared" si="9"/>
        <v>0</v>
      </c>
      <c r="AA61" s="41">
        <f t="shared" ca="1" si="10"/>
        <v>0</v>
      </c>
      <c r="AB61" s="42">
        <f t="shared" ref="AB61:AC61" si="62">Z61/X61</f>
        <v>0</v>
      </c>
      <c r="AC61" s="42">
        <f t="shared" ca="1" si="62"/>
        <v>0</v>
      </c>
      <c r="AD61" s="43">
        <f t="shared" ca="1" si="12"/>
        <v>0</v>
      </c>
      <c r="AE61" s="44"/>
      <c r="AF61" s="44"/>
      <c r="AG61" s="44"/>
      <c r="AH61" s="44"/>
    </row>
    <row r="62" spans="1:34" ht="14.4" x14ac:dyDescent="0.3">
      <c r="A62" s="30"/>
      <c r="B62" s="34"/>
      <c r="C62" s="18" t="e">
        <f>LOOKUP(F62,BD!C:C,BD!A:A)</f>
        <v>#N/A</v>
      </c>
      <c r="D62" s="18" t="e">
        <f>LOOKUP(F62,BD!C:C,BD!B:B)</f>
        <v>#N/A</v>
      </c>
      <c r="E62" s="18"/>
      <c r="F62" s="18"/>
      <c r="G62" s="18" t="e">
        <f>LOOKUP(F62,BD!C:C,BD!D:D)</f>
        <v>#N/A</v>
      </c>
      <c r="H62" s="19"/>
      <c r="I62" s="19"/>
      <c r="J62" s="19"/>
      <c r="K62" s="19"/>
      <c r="L62" s="20"/>
      <c r="M62" s="20">
        <f t="shared" si="0"/>
        <v>730</v>
      </c>
      <c r="N62" s="21">
        <f t="shared" ca="1" si="1"/>
        <v>-45491.500559837965</v>
      </c>
      <c r="O62" s="22" t="str">
        <f t="shared" ca="1" si="2"/>
        <v>NO CUMPLE</v>
      </c>
      <c r="P62" s="31"/>
      <c r="Q62" s="20">
        <f t="shared" si="3"/>
        <v>730</v>
      </c>
      <c r="R62" s="21">
        <f t="shared" ca="1" si="4"/>
        <v>-45491.500559837965</v>
      </c>
      <c r="S62" s="22" t="str">
        <f t="shared" ca="1" si="5"/>
        <v>NO CUMPLE</v>
      </c>
      <c r="T62" s="31"/>
      <c r="U62" s="20">
        <f t="shared" si="6"/>
        <v>730</v>
      </c>
      <c r="V62" s="21">
        <f t="shared" ca="1" si="7"/>
        <v>-45491.500559837965</v>
      </c>
      <c r="W62" s="22" t="str">
        <f t="shared" ca="1" si="8"/>
        <v>NO CUMPLE</v>
      </c>
      <c r="X62" s="41">
        <v>4</v>
      </c>
      <c r="Y62" s="41">
        <v>3</v>
      </c>
      <c r="Z62" s="41">
        <f t="shared" si="9"/>
        <v>0</v>
      </c>
      <c r="AA62" s="41">
        <f t="shared" ca="1" si="10"/>
        <v>0</v>
      </c>
      <c r="AB62" s="42">
        <f t="shared" ref="AB62:AC62" si="63">Z62/X62</f>
        <v>0</v>
      </c>
      <c r="AC62" s="42">
        <f t="shared" ca="1" si="63"/>
        <v>0</v>
      </c>
      <c r="AD62" s="43">
        <f t="shared" ca="1" si="12"/>
        <v>0</v>
      </c>
      <c r="AE62" s="44"/>
      <c r="AF62" s="44"/>
      <c r="AG62" s="44"/>
      <c r="AH62" s="44"/>
    </row>
    <row r="63" spans="1:34" ht="14.4" x14ac:dyDescent="0.3">
      <c r="A63" s="30"/>
      <c r="B63" s="34"/>
      <c r="C63" s="18" t="e">
        <f>LOOKUP(F63,BD!C:C,BD!A:A)</f>
        <v>#N/A</v>
      </c>
      <c r="D63" s="18" t="e">
        <f>LOOKUP(F63,BD!C:C,BD!B:B)</f>
        <v>#N/A</v>
      </c>
      <c r="E63" s="18"/>
      <c r="F63" s="18"/>
      <c r="G63" s="18" t="e">
        <f>LOOKUP(F63,BD!C:C,BD!D:D)</f>
        <v>#N/A</v>
      </c>
      <c r="H63" s="19"/>
      <c r="I63" s="19"/>
      <c r="J63" s="19"/>
      <c r="K63" s="19"/>
      <c r="L63" s="31"/>
      <c r="M63" s="20">
        <f t="shared" si="0"/>
        <v>730</v>
      </c>
      <c r="N63" s="21">
        <f t="shared" ca="1" si="1"/>
        <v>-45491.500559722219</v>
      </c>
      <c r="O63" s="22" t="str">
        <f t="shared" ca="1" si="2"/>
        <v>NO CUMPLE</v>
      </c>
      <c r="P63" s="31"/>
      <c r="Q63" s="20">
        <f t="shared" si="3"/>
        <v>730</v>
      </c>
      <c r="R63" s="21">
        <f t="shared" ca="1" si="4"/>
        <v>-45491.500559837965</v>
      </c>
      <c r="S63" s="22" t="str">
        <f t="shared" ca="1" si="5"/>
        <v>NO CUMPLE</v>
      </c>
      <c r="T63" s="31"/>
      <c r="U63" s="20">
        <f t="shared" si="6"/>
        <v>730</v>
      </c>
      <c r="V63" s="21">
        <f t="shared" ca="1" si="7"/>
        <v>-45491.500559722219</v>
      </c>
      <c r="W63" s="22" t="str">
        <f t="shared" ca="1" si="8"/>
        <v>NO CUMPLE</v>
      </c>
      <c r="X63" s="41">
        <v>4</v>
      </c>
      <c r="Y63" s="41">
        <v>3</v>
      </c>
      <c r="Z63" s="41">
        <f t="shared" si="9"/>
        <v>0</v>
      </c>
      <c r="AA63" s="41">
        <f t="shared" ca="1" si="10"/>
        <v>0</v>
      </c>
      <c r="AB63" s="42">
        <f t="shared" ref="AB63:AC63" si="64">Z63/X63</f>
        <v>0</v>
      </c>
      <c r="AC63" s="42">
        <f t="shared" ca="1" si="64"/>
        <v>0</v>
      </c>
      <c r="AD63" s="43">
        <f t="shared" ca="1" si="12"/>
        <v>0</v>
      </c>
      <c r="AE63" s="44"/>
      <c r="AF63" s="44"/>
      <c r="AG63" s="44"/>
      <c r="AH63" s="44"/>
    </row>
    <row r="64" spans="1:34" ht="14.4" x14ac:dyDescent="0.3">
      <c r="A64" s="30"/>
      <c r="B64" s="34"/>
      <c r="C64" s="18" t="e">
        <f>LOOKUP(F64,BD!C:C,BD!A:A)</f>
        <v>#N/A</v>
      </c>
      <c r="D64" s="18" t="e">
        <f>LOOKUP(F64,BD!C:C,BD!B:B)</f>
        <v>#N/A</v>
      </c>
      <c r="E64" s="18"/>
      <c r="F64" s="18"/>
      <c r="G64" s="18" t="e">
        <f>LOOKUP(F64,BD!C:C,BD!D:D)</f>
        <v>#N/A</v>
      </c>
      <c r="H64" s="19"/>
      <c r="I64" s="19"/>
      <c r="J64" s="19"/>
      <c r="K64" s="19"/>
      <c r="L64" s="20"/>
      <c r="M64" s="20">
        <f t="shared" si="0"/>
        <v>730</v>
      </c>
      <c r="N64" s="21">
        <f t="shared" ca="1" si="1"/>
        <v>-45491.500559837965</v>
      </c>
      <c r="O64" s="22" t="str">
        <f t="shared" ca="1" si="2"/>
        <v>NO CUMPLE</v>
      </c>
      <c r="P64" s="20"/>
      <c r="Q64" s="20">
        <f t="shared" si="3"/>
        <v>730</v>
      </c>
      <c r="R64" s="21">
        <f t="shared" ca="1" si="4"/>
        <v>-45491.500559837965</v>
      </c>
      <c r="S64" s="22" t="str">
        <f t="shared" ca="1" si="5"/>
        <v>NO CUMPLE</v>
      </c>
      <c r="T64" s="20"/>
      <c r="U64" s="20">
        <f t="shared" si="6"/>
        <v>730</v>
      </c>
      <c r="V64" s="21">
        <f t="shared" ca="1" si="7"/>
        <v>-45491.500559837965</v>
      </c>
      <c r="W64" s="22" t="str">
        <f t="shared" ca="1" si="8"/>
        <v>NO CUMPLE</v>
      </c>
      <c r="X64" s="41">
        <v>4</v>
      </c>
      <c r="Y64" s="41">
        <v>3</v>
      </c>
      <c r="Z64" s="41">
        <f t="shared" si="9"/>
        <v>0</v>
      </c>
      <c r="AA64" s="41">
        <f t="shared" ca="1" si="10"/>
        <v>0</v>
      </c>
      <c r="AB64" s="42">
        <f t="shared" ref="AB64:AC64" si="65">Z64/X64</f>
        <v>0</v>
      </c>
      <c r="AC64" s="42">
        <f t="shared" ca="1" si="65"/>
        <v>0</v>
      </c>
      <c r="AD64" s="43">
        <f t="shared" ca="1" si="12"/>
        <v>0</v>
      </c>
      <c r="AE64" s="44"/>
      <c r="AF64" s="44"/>
      <c r="AG64" s="44"/>
      <c r="AH64" s="44"/>
    </row>
    <row r="65" spans="1:34" ht="14.4" x14ac:dyDescent="0.3">
      <c r="A65" s="30"/>
      <c r="B65" s="34"/>
      <c r="C65" s="18" t="e">
        <f>LOOKUP(F65,BD!C:C,BD!A:A)</f>
        <v>#N/A</v>
      </c>
      <c r="D65" s="18" t="e">
        <f>LOOKUP(F65,BD!C:C,BD!B:B)</f>
        <v>#N/A</v>
      </c>
      <c r="E65" s="18"/>
      <c r="F65" s="18"/>
      <c r="G65" s="18" t="e">
        <f>LOOKUP(F65,BD!C:C,BD!D:D)</f>
        <v>#N/A</v>
      </c>
      <c r="H65" s="19"/>
      <c r="I65" s="19"/>
      <c r="J65" s="19"/>
      <c r="K65" s="19"/>
      <c r="L65" s="20"/>
      <c r="M65" s="20">
        <f t="shared" si="0"/>
        <v>730</v>
      </c>
      <c r="N65" s="21">
        <f t="shared" ca="1" si="1"/>
        <v>-45491.500559837965</v>
      </c>
      <c r="O65" s="22" t="str">
        <f t="shared" ca="1" si="2"/>
        <v>NO CUMPLE</v>
      </c>
      <c r="P65" s="20"/>
      <c r="Q65" s="20">
        <f t="shared" si="3"/>
        <v>730</v>
      </c>
      <c r="R65" s="21">
        <f t="shared" ca="1" si="4"/>
        <v>-45491.500559722219</v>
      </c>
      <c r="S65" s="22" t="str">
        <f t="shared" ca="1" si="5"/>
        <v>NO CUMPLE</v>
      </c>
      <c r="T65" s="20"/>
      <c r="U65" s="20">
        <f t="shared" si="6"/>
        <v>730</v>
      </c>
      <c r="V65" s="21">
        <f t="shared" ca="1" si="7"/>
        <v>-45491.500559837965</v>
      </c>
      <c r="W65" s="22" t="str">
        <f t="shared" ca="1" si="8"/>
        <v>NO CUMPLE</v>
      </c>
      <c r="X65" s="41">
        <v>4</v>
      </c>
      <c r="Y65" s="41">
        <v>3</v>
      </c>
      <c r="Z65" s="41">
        <f t="shared" si="9"/>
        <v>0</v>
      </c>
      <c r="AA65" s="41">
        <f t="shared" ca="1" si="10"/>
        <v>0</v>
      </c>
      <c r="AB65" s="42">
        <f t="shared" ref="AB65:AC65" si="66">Z65/X65</f>
        <v>0</v>
      </c>
      <c r="AC65" s="42">
        <f t="shared" ca="1" si="66"/>
        <v>0</v>
      </c>
      <c r="AD65" s="43">
        <f t="shared" ca="1" si="12"/>
        <v>0</v>
      </c>
      <c r="AE65" s="44"/>
      <c r="AF65" s="44"/>
      <c r="AG65" s="44"/>
      <c r="AH65" s="44"/>
    </row>
    <row r="66" spans="1:34" ht="14.4" x14ac:dyDescent="0.3">
      <c r="A66" s="30"/>
      <c r="B66" s="34"/>
      <c r="C66" s="18" t="e">
        <f>LOOKUP(F66,BD!C:C,BD!A:A)</f>
        <v>#N/A</v>
      </c>
      <c r="D66" s="18" t="e">
        <f>LOOKUP(F66,BD!C:C,BD!B:B)</f>
        <v>#N/A</v>
      </c>
      <c r="E66" s="18"/>
      <c r="F66" s="18"/>
      <c r="G66" s="18" t="e">
        <f>LOOKUP(F66,BD!C:C,BD!D:D)</f>
        <v>#N/A</v>
      </c>
      <c r="H66" s="19"/>
      <c r="I66" s="19"/>
      <c r="J66" s="19"/>
      <c r="K66" s="19"/>
      <c r="L66" s="20"/>
      <c r="M66" s="20">
        <f t="shared" si="0"/>
        <v>730</v>
      </c>
      <c r="N66" s="21">
        <f t="shared" ca="1" si="1"/>
        <v>-45491.500559837965</v>
      </c>
      <c r="O66" s="22" t="str">
        <f t="shared" ca="1" si="2"/>
        <v>NO CUMPLE</v>
      </c>
      <c r="P66" s="20"/>
      <c r="Q66" s="20">
        <f t="shared" si="3"/>
        <v>730</v>
      </c>
      <c r="R66" s="21">
        <f t="shared" ca="1" si="4"/>
        <v>-45491.500559837965</v>
      </c>
      <c r="S66" s="22" t="str">
        <f t="shared" ca="1" si="5"/>
        <v>NO CUMPLE</v>
      </c>
      <c r="T66" s="20"/>
      <c r="U66" s="20">
        <f t="shared" si="6"/>
        <v>730</v>
      </c>
      <c r="V66" s="21">
        <f t="shared" ca="1" si="7"/>
        <v>-45491.500559837965</v>
      </c>
      <c r="W66" s="22" t="str">
        <f t="shared" ca="1" si="8"/>
        <v>NO CUMPLE</v>
      </c>
      <c r="X66" s="41">
        <v>4</v>
      </c>
      <c r="Y66" s="41">
        <v>3</v>
      </c>
      <c r="Z66" s="41">
        <f t="shared" si="9"/>
        <v>0</v>
      </c>
      <c r="AA66" s="41">
        <f t="shared" ca="1" si="10"/>
        <v>0</v>
      </c>
      <c r="AB66" s="42">
        <f t="shared" ref="AB66:AC66" si="67">Z66/X66</f>
        <v>0</v>
      </c>
      <c r="AC66" s="42">
        <f t="shared" ca="1" si="67"/>
        <v>0</v>
      </c>
      <c r="AD66" s="43">
        <f t="shared" ca="1" si="12"/>
        <v>0</v>
      </c>
      <c r="AE66" s="44"/>
      <c r="AF66" s="44"/>
      <c r="AG66" s="44"/>
      <c r="AH66" s="44"/>
    </row>
    <row r="67" spans="1:34" ht="14.4" x14ac:dyDescent="0.3">
      <c r="A67" s="30"/>
      <c r="B67" s="34"/>
      <c r="C67" s="18" t="e">
        <f>LOOKUP(F67,BD!C:C,BD!A:A)</f>
        <v>#N/A</v>
      </c>
      <c r="D67" s="18" t="e">
        <f>LOOKUP(F67,BD!C:C,BD!B:B)</f>
        <v>#N/A</v>
      </c>
      <c r="E67" s="18"/>
      <c r="F67" s="18"/>
      <c r="G67" s="18" t="e">
        <f>LOOKUP(F67,BD!C:C,BD!D:D)</f>
        <v>#N/A</v>
      </c>
      <c r="H67" s="19"/>
      <c r="I67" s="19"/>
      <c r="J67" s="19"/>
      <c r="K67" s="19"/>
      <c r="L67" s="20"/>
      <c r="M67" s="20">
        <f t="shared" si="0"/>
        <v>730</v>
      </c>
      <c r="N67" s="21">
        <f t="shared" ca="1" si="1"/>
        <v>-45491.500559837965</v>
      </c>
      <c r="O67" s="22" t="str">
        <f t="shared" ca="1" si="2"/>
        <v>NO CUMPLE</v>
      </c>
      <c r="P67" s="20"/>
      <c r="Q67" s="20">
        <f t="shared" si="3"/>
        <v>730</v>
      </c>
      <c r="R67" s="21">
        <f t="shared" ca="1" si="4"/>
        <v>-45491.500559722219</v>
      </c>
      <c r="S67" s="22" t="str">
        <f t="shared" ca="1" si="5"/>
        <v>NO CUMPLE</v>
      </c>
      <c r="T67" s="20"/>
      <c r="U67" s="20">
        <f t="shared" si="6"/>
        <v>730</v>
      </c>
      <c r="V67" s="21">
        <f t="shared" ca="1" si="7"/>
        <v>-45491.500559837965</v>
      </c>
      <c r="W67" s="22" t="str">
        <f t="shared" ca="1" si="8"/>
        <v>NO CUMPLE</v>
      </c>
      <c r="X67" s="41">
        <v>4</v>
      </c>
      <c r="Y67" s="41">
        <v>3</v>
      </c>
      <c r="Z67" s="41">
        <f t="shared" si="9"/>
        <v>0</v>
      </c>
      <c r="AA67" s="41">
        <f t="shared" ca="1" si="10"/>
        <v>0</v>
      </c>
      <c r="AB67" s="42">
        <f t="shared" ref="AB67:AC67" si="68">Z67/X67</f>
        <v>0</v>
      </c>
      <c r="AC67" s="42">
        <f t="shared" ca="1" si="68"/>
        <v>0</v>
      </c>
      <c r="AD67" s="43">
        <f t="shared" ca="1" si="12"/>
        <v>0</v>
      </c>
      <c r="AE67" s="44"/>
      <c r="AF67" s="44"/>
      <c r="AG67" s="44"/>
      <c r="AH67" s="44"/>
    </row>
    <row r="68" spans="1:34" ht="14.4" x14ac:dyDescent="0.3">
      <c r="A68" s="30"/>
      <c r="B68" s="34"/>
      <c r="C68" s="18" t="e">
        <f>LOOKUP(F68,BD!C:C,BD!A:A)</f>
        <v>#N/A</v>
      </c>
      <c r="D68" s="18" t="e">
        <f>LOOKUP(F68,BD!C:C,BD!B:B)</f>
        <v>#N/A</v>
      </c>
      <c r="E68" s="18"/>
      <c r="F68" s="18"/>
      <c r="G68" s="18" t="e">
        <f>LOOKUP(F68,BD!C:C,BD!D:D)</f>
        <v>#N/A</v>
      </c>
      <c r="H68" s="19"/>
      <c r="I68" s="19"/>
      <c r="J68" s="19"/>
      <c r="K68" s="19"/>
      <c r="L68" s="20"/>
      <c r="M68" s="20">
        <f t="shared" si="0"/>
        <v>730</v>
      </c>
      <c r="N68" s="21">
        <f t="shared" ca="1" si="1"/>
        <v>-45491.500559837965</v>
      </c>
      <c r="O68" s="22" t="str">
        <f t="shared" ca="1" si="2"/>
        <v>NO CUMPLE</v>
      </c>
      <c r="P68" s="20"/>
      <c r="Q68" s="20">
        <f t="shared" si="3"/>
        <v>730</v>
      </c>
      <c r="R68" s="21">
        <f t="shared" ca="1" si="4"/>
        <v>-45491.500559837965</v>
      </c>
      <c r="S68" s="22" t="str">
        <f t="shared" ca="1" si="5"/>
        <v>NO CUMPLE</v>
      </c>
      <c r="T68" s="20"/>
      <c r="U68" s="20">
        <f t="shared" si="6"/>
        <v>730</v>
      </c>
      <c r="V68" s="21">
        <f t="shared" ca="1" si="7"/>
        <v>-45491.500559837965</v>
      </c>
      <c r="W68" s="22" t="str">
        <f t="shared" ca="1" si="8"/>
        <v>NO CUMPLE</v>
      </c>
      <c r="X68" s="41">
        <v>4</v>
      </c>
      <c r="Y68" s="41">
        <v>3</v>
      </c>
      <c r="Z68" s="41">
        <f t="shared" si="9"/>
        <v>0</v>
      </c>
      <c r="AA68" s="41">
        <f t="shared" ca="1" si="10"/>
        <v>0</v>
      </c>
      <c r="AB68" s="42">
        <f t="shared" ref="AB68:AC68" si="69">Z68/X68</f>
        <v>0</v>
      </c>
      <c r="AC68" s="42">
        <f t="shared" ca="1" si="69"/>
        <v>0</v>
      </c>
      <c r="AD68" s="43">
        <f t="shared" ca="1" si="12"/>
        <v>0</v>
      </c>
      <c r="AE68" s="44"/>
      <c r="AF68" s="44"/>
      <c r="AG68" s="44"/>
      <c r="AH68" s="44"/>
    </row>
    <row r="69" spans="1:34" ht="14.4" x14ac:dyDescent="0.3">
      <c r="A69" s="30"/>
      <c r="B69" s="34"/>
      <c r="C69" s="18" t="e">
        <f>LOOKUP(F69,BD!C:C,BD!A:A)</f>
        <v>#N/A</v>
      </c>
      <c r="D69" s="18" t="e">
        <f>LOOKUP(F69,BD!C:C,BD!B:B)</f>
        <v>#N/A</v>
      </c>
      <c r="E69" s="18"/>
      <c r="F69" s="18"/>
      <c r="G69" s="18" t="e">
        <f>LOOKUP(F69,BD!C:C,BD!D:D)</f>
        <v>#N/A</v>
      </c>
      <c r="H69" s="19"/>
      <c r="I69" s="19"/>
      <c r="J69" s="19"/>
      <c r="K69" s="19"/>
      <c r="L69" s="20"/>
      <c r="M69" s="20">
        <f t="shared" si="0"/>
        <v>730</v>
      </c>
      <c r="N69" s="21">
        <f t="shared" ca="1" si="1"/>
        <v>-45491.500559837965</v>
      </c>
      <c r="O69" s="22" t="str">
        <f t="shared" ca="1" si="2"/>
        <v>NO CUMPLE</v>
      </c>
      <c r="P69" s="20"/>
      <c r="Q69" s="20">
        <f t="shared" si="3"/>
        <v>730</v>
      </c>
      <c r="R69" s="21">
        <f t="shared" ca="1" si="4"/>
        <v>-45491.500559837965</v>
      </c>
      <c r="S69" s="22" t="str">
        <f t="shared" ca="1" si="5"/>
        <v>NO CUMPLE</v>
      </c>
      <c r="T69" s="20"/>
      <c r="U69" s="20">
        <f t="shared" si="6"/>
        <v>730</v>
      </c>
      <c r="V69" s="21">
        <f t="shared" ca="1" si="7"/>
        <v>-45491.500559837965</v>
      </c>
      <c r="W69" s="22" t="str">
        <f t="shared" ca="1" si="8"/>
        <v>NO CUMPLE</v>
      </c>
      <c r="X69" s="41">
        <v>4</v>
      </c>
      <c r="Y69" s="41">
        <v>3</v>
      </c>
      <c r="Z69" s="41">
        <f t="shared" si="9"/>
        <v>0</v>
      </c>
      <c r="AA69" s="41">
        <f t="shared" ca="1" si="10"/>
        <v>0</v>
      </c>
      <c r="AB69" s="42">
        <f t="shared" ref="AB69:AC69" si="70">Z69/X69</f>
        <v>0</v>
      </c>
      <c r="AC69" s="42">
        <f t="shared" ca="1" si="70"/>
        <v>0</v>
      </c>
      <c r="AD69" s="43">
        <f t="shared" ca="1" si="12"/>
        <v>0</v>
      </c>
      <c r="AE69" s="44"/>
      <c r="AF69" s="44"/>
      <c r="AG69" s="44"/>
      <c r="AH69" s="44"/>
    </row>
    <row r="70" spans="1:34" ht="14.4" x14ac:dyDescent="0.3">
      <c r="A70" s="30"/>
      <c r="B70" s="34"/>
      <c r="C70" s="18" t="e">
        <f>LOOKUP(F70,BD!C:C,BD!A:A)</f>
        <v>#N/A</v>
      </c>
      <c r="D70" s="18" t="e">
        <f>LOOKUP(F70,BD!C:C,BD!B:B)</f>
        <v>#N/A</v>
      </c>
      <c r="E70" s="18"/>
      <c r="F70" s="18"/>
      <c r="G70" s="18" t="e">
        <f>LOOKUP(F70,BD!C:C,BD!D:D)</f>
        <v>#N/A</v>
      </c>
      <c r="H70" s="19"/>
      <c r="I70" s="19"/>
      <c r="J70" s="19"/>
      <c r="K70" s="19"/>
      <c r="L70" s="20"/>
      <c r="M70" s="20">
        <f t="shared" si="0"/>
        <v>730</v>
      </c>
      <c r="N70" s="21">
        <f t="shared" ca="1" si="1"/>
        <v>-45491.500559837965</v>
      </c>
      <c r="O70" s="22" t="str">
        <f t="shared" ca="1" si="2"/>
        <v>NO CUMPLE</v>
      </c>
      <c r="P70" s="20"/>
      <c r="Q70" s="20">
        <f t="shared" si="3"/>
        <v>730</v>
      </c>
      <c r="R70" s="21">
        <f t="shared" ca="1" si="4"/>
        <v>-45491.500559837965</v>
      </c>
      <c r="S70" s="22" t="str">
        <f t="shared" ca="1" si="5"/>
        <v>NO CUMPLE</v>
      </c>
      <c r="T70" s="20"/>
      <c r="U70" s="20">
        <f t="shared" si="6"/>
        <v>730</v>
      </c>
      <c r="V70" s="21">
        <f t="shared" ca="1" si="7"/>
        <v>-45491.500559837965</v>
      </c>
      <c r="W70" s="22" t="str">
        <f t="shared" ca="1" si="8"/>
        <v>NO CUMPLE</v>
      </c>
      <c r="X70" s="41">
        <v>4</v>
      </c>
      <c r="Y70" s="41">
        <v>3</v>
      </c>
      <c r="Z70" s="41">
        <f t="shared" si="9"/>
        <v>0</v>
      </c>
      <c r="AA70" s="41">
        <f t="shared" ca="1" si="10"/>
        <v>0</v>
      </c>
      <c r="AB70" s="42">
        <f t="shared" ref="AB70:AC70" si="71">Z70/X70</f>
        <v>0</v>
      </c>
      <c r="AC70" s="42">
        <f t="shared" ca="1" si="71"/>
        <v>0</v>
      </c>
      <c r="AD70" s="43">
        <f t="shared" ca="1" si="12"/>
        <v>0</v>
      </c>
      <c r="AE70" s="44"/>
      <c r="AF70" s="44"/>
      <c r="AG70" s="44"/>
      <c r="AH70" s="44"/>
    </row>
    <row r="71" spans="1:34" ht="14.4" x14ac:dyDescent="0.3">
      <c r="A71" s="30"/>
      <c r="B71" s="34"/>
      <c r="C71" s="18" t="e">
        <f>LOOKUP(F71,BD!C:C,BD!A:A)</f>
        <v>#N/A</v>
      </c>
      <c r="D71" s="18" t="e">
        <f>LOOKUP(F71,BD!C:C,BD!B:B)</f>
        <v>#N/A</v>
      </c>
      <c r="E71" s="18"/>
      <c r="F71" s="18"/>
      <c r="G71" s="18" t="e">
        <f>LOOKUP(F71,BD!C:C,BD!D:D)</f>
        <v>#N/A</v>
      </c>
      <c r="H71" s="19"/>
      <c r="I71" s="19"/>
      <c r="J71" s="19"/>
      <c r="K71" s="19"/>
      <c r="L71" s="20"/>
      <c r="M71" s="20">
        <f t="shared" si="0"/>
        <v>730</v>
      </c>
      <c r="N71" s="21">
        <f t="shared" ca="1" si="1"/>
        <v>-45491.500559837965</v>
      </c>
      <c r="O71" s="22" t="str">
        <f t="shared" ca="1" si="2"/>
        <v>NO CUMPLE</v>
      </c>
      <c r="P71" s="20"/>
      <c r="Q71" s="20">
        <f t="shared" si="3"/>
        <v>730</v>
      </c>
      <c r="R71" s="21">
        <f t="shared" ca="1" si="4"/>
        <v>-45491.500559722219</v>
      </c>
      <c r="S71" s="22" t="str">
        <f t="shared" ca="1" si="5"/>
        <v>NO CUMPLE</v>
      </c>
      <c r="T71" s="20"/>
      <c r="U71" s="20">
        <f t="shared" si="6"/>
        <v>730</v>
      </c>
      <c r="V71" s="21">
        <f t="shared" ca="1" si="7"/>
        <v>-45491.500559837965</v>
      </c>
      <c r="W71" s="22" t="str">
        <f t="shared" ca="1" si="8"/>
        <v>NO CUMPLE</v>
      </c>
      <c r="X71" s="41">
        <v>4</v>
      </c>
      <c r="Y71" s="41">
        <v>3</v>
      </c>
      <c r="Z71" s="41">
        <f t="shared" si="9"/>
        <v>0</v>
      </c>
      <c r="AA71" s="41">
        <f t="shared" ca="1" si="10"/>
        <v>0</v>
      </c>
      <c r="AB71" s="42">
        <f t="shared" ref="AB71:AC71" si="72">Z71/X71</f>
        <v>0</v>
      </c>
      <c r="AC71" s="42">
        <f t="shared" ca="1" si="72"/>
        <v>0</v>
      </c>
      <c r="AD71" s="43">
        <f t="shared" ca="1" si="12"/>
        <v>0</v>
      </c>
      <c r="AE71" s="44"/>
      <c r="AF71" s="44"/>
      <c r="AG71" s="44"/>
      <c r="AH71" s="44"/>
    </row>
    <row r="72" spans="1:34" ht="14.4" x14ac:dyDescent="0.3">
      <c r="A72" s="30"/>
      <c r="B72" s="34"/>
      <c r="C72" s="18" t="e">
        <f>LOOKUP(F72,BD!C:C,BD!A:A)</f>
        <v>#N/A</v>
      </c>
      <c r="D72" s="18" t="e">
        <f>LOOKUP(F72,BD!C:C,BD!B:B)</f>
        <v>#N/A</v>
      </c>
      <c r="E72" s="18"/>
      <c r="F72" s="18"/>
      <c r="G72" s="18" t="e">
        <f>LOOKUP(F72,BD!C:C,BD!D:D)</f>
        <v>#N/A</v>
      </c>
      <c r="H72" s="19"/>
      <c r="I72" s="19"/>
      <c r="J72" s="19"/>
      <c r="K72" s="19"/>
      <c r="L72" s="20"/>
      <c r="M72" s="20">
        <f t="shared" si="0"/>
        <v>730</v>
      </c>
      <c r="N72" s="21">
        <f t="shared" ca="1" si="1"/>
        <v>-45491.500559837965</v>
      </c>
      <c r="O72" s="22" t="str">
        <f t="shared" ca="1" si="2"/>
        <v>NO CUMPLE</v>
      </c>
      <c r="P72" s="20"/>
      <c r="Q72" s="20">
        <f t="shared" si="3"/>
        <v>730</v>
      </c>
      <c r="R72" s="21">
        <f t="shared" ca="1" si="4"/>
        <v>-45491.500559837965</v>
      </c>
      <c r="S72" s="22" t="str">
        <f t="shared" ca="1" si="5"/>
        <v>NO CUMPLE</v>
      </c>
      <c r="T72" s="20"/>
      <c r="U72" s="20">
        <f t="shared" si="6"/>
        <v>730</v>
      </c>
      <c r="V72" s="21">
        <f t="shared" ca="1" si="7"/>
        <v>-45491.500559837965</v>
      </c>
      <c r="W72" s="22" t="str">
        <f t="shared" ca="1" si="8"/>
        <v>NO CUMPLE</v>
      </c>
      <c r="X72" s="41">
        <v>4</v>
      </c>
      <c r="Y72" s="41">
        <v>3</v>
      </c>
      <c r="Z72" s="41">
        <f t="shared" si="9"/>
        <v>0</v>
      </c>
      <c r="AA72" s="41">
        <f t="shared" ca="1" si="10"/>
        <v>0</v>
      </c>
      <c r="AB72" s="42">
        <f t="shared" ref="AB72:AC72" si="73">Z72/X72</f>
        <v>0</v>
      </c>
      <c r="AC72" s="42">
        <f t="shared" ca="1" si="73"/>
        <v>0</v>
      </c>
      <c r="AD72" s="43">
        <f t="shared" ca="1" si="12"/>
        <v>0</v>
      </c>
      <c r="AE72" s="44"/>
      <c r="AF72" s="44"/>
      <c r="AG72" s="44"/>
      <c r="AH72" s="44"/>
    </row>
    <row r="73" spans="1:34" ht="14.4" x14ac:dyDescent="0.3">
      <c r="A73" s="30"/>
      <c r="B73" s="34"/>
      <c r="C73" s="18" t="e">
        <f>LOOKUP(F73,BD!C:C,BD!A:A)</f>
        <v>#N/A</v>
      </c>
      <c r="D73" s="18" t="e">
        <f>LOOKUP(F73,BD!C:C,BD!B:B)</f>
        <v>#N/A</v>
      </c>
      <c r="E73" s="18"/>
      <c r="F73" s="18"/>
      <c r="G73" s="18" t="e">
        <f>LOOKUP(F73,BD!C:C,BD!D:D)</f>
        <v>#N/A</v>
      </c>
      <c r="H73" s="19"/>
      <c r="I73" s="19"/>
      <c r="J73" s="19"/>
      <c r="K73" s="19"/>
      <c r="L73" s="20"/>
      <c r="M73" s="20">
        <f t="shared" si="0"/>
        <v>730</v>
      </c>
      <c r="N73" s="21">
        <f t="shared" ca="1" si="1"/>
        <v>-45491.500559722219</v>
      </c>
      <c r="O73" s="22" t="str">
        <f t="shared" ca="1" si="2"/>
        <v>NO CUMPLE</v>
      </c>
      <c r="P73" s="20"/>
      <c r="Q73" s="20">
        <f t="shared" si="3"/>
        <v>730</v>
      </c>
      <c r="R73" s="21">
        <f t="shared" ca="1" si="4"/>
        <v>-45491.500559837965</v>
      </c>
      <c r="S73" s="22" t="str">
        <f t="shared" ca="1" si="5"/>
        <v>NO CUMPLE</v>
      </c>
      <c r="T73" s="20"/>
      <c r="U73" s="20">
        <f t="shared" si="6"/>
        <v>730</v>
      </c>
      <c r="V73" s="21">
        <f t="shared" ca="1" si="7"/>
        <v>-45491.500559837965</v>
      </c>
      <c r="W73" s="22" t="str">
        <f t="shared" ca="1" si="8"/>
        <v>NO CUMPLE</v>
      </c>
      <c r="X73" s="41">
        <v>4</v>
      </c>
      <c r="Y73" s="41">
        <v>3</v>
      </c>
      <c r="Z73" s="41">
        <f t="shared" si="9"/>
        <v>0</v>
      </c>
      <c r="AA73" s="41">
        <f t="shared" ca="1" si="10"/>
        <v>0</v>
      </c>
      <c r="AB73" s="42">
        <f t="shared" ref="AB73:AC73" si="74">Z73/X73</f>
        <v>0</v>
      </c>
      <c r="AC73" s="42">
        <f t="shared" ca="1" si="74"/>
        <v>0</v>
      </c>
      <c r="AD73" s="43">
        <f t="shared" ca="1" si="12"/>
        <v>0</v>
      </c>
      <c r="AE73" s="44"/>
      <c r="AF73" s="44"/>
      <c r="AG73" s="44"/>
      <c r="AH73" s="44"/>
    </row>
    <row r="74" spans="1:34" ht="14.4" x14ac:dyDescent="0.3">
      <c r="A74" s="30"/>
      <c r="B74" s="34"/>
      <c r="C74" s="18" t="e">
        <f>LOOKUP(F74,BD!C:C,BD!A:A)</f>
        <v>#N/A</v>
      </c>
      <c r="D74" s="18" t="e">
        <f>LOOKUP(F74,BD!C:C,BD!B:B)</f>
        <v>#N/A</v>
      </c>
      <c r="E74" s="18"/>
      <c r="F74" s="18"/>
      <c r="G74" s="18" t="e">
        <f>LOOKUP(F74,BD!C:C,BD!D:D)</f>
        <v>#N/A</v>
      </c>
      <c r="H74" s="19"/>
      <c r="I74" s="19"/>
      <c r="J74" s="19"/>
      <c r="K74" s="19"/>
      <c r="L74" s="20"/>
      <c r="M74" s="20">
        <f t="shared" si="0"/>
        <v>730</v>
      </c>
      <c r="N74" s="21">
        <f t="shared" ca="1" si="1"/>
        <v>-45491.500559837965</v>
      </c>
      <c r="O74" s="22" t="str">
        <f t="shared" ca="1" si="2"/>
        <v>NO CUMPLE</v>
      </c>
      <c r="P74" s="20"/>
      <c r="Q74" s="20">
        <f t="shared" si="3"/>
        <v>730</v>
      </c>
      <c r="R74" s="21">
        <f t="shared" ca="1" si="4"/>
        <v>-45491.500559837965</v>
      </c>
      <c r="S74" s="22" t="str">
        <f t="shared" ca="1" si="5"/>
        <v>NO CUMPLE</v>
      </c>
      <c r="T74" s="20"/>
      <c r="U74" s="20">
        <f t="shared" si="6"/>
        <v>730</v>
      </c>
      <c r="V74" s="21">
        <f t="shared" ca="1" si="7"/>
        <v>-45491.500559722219</v>
      </c>
      <c r="W74" s="22" t="str">
        <f t="shared" ca="1" si="8"/>
        <v>NO CUMPLE</v>
      </c>
      <c r="X74" s="41">
        <v>4</v>
      </c>
      <c r="Y74" s="41">
        <v>3</v>
      </c>
      <c r="Z74" s="41">
        <f t="shared" si="9"/>
        <v>0</v>
      </c>
      <c r="AA74" s="41">
        <f t="shared" ca="1" si="10"/>
        <v>0</v>
      </c>
      <c r="AB74" s="42">
        <f t="shared" ref="AB74:AC74" si="75">Z74/X74</f>
        <v>0</v>
      </c>
      <c r="AC74" s="42">
        <f t="shared" ca="1" si="75"/>
        <v>0</v>
      </c>
      <c r="AD74" s="43">
        <f t="shared" ca="1" si="12"/>
        <v>0</v>
      </c>
      <c r="AE74" s="44"/>
      <c r="AF74" s="44"/>
      <c r="AG74" s="44"/>
      <c r="AH74" s="44"/>
    </row>
    <row r="75" spans="1:34" ht="14.4" x14ac:dyDescent="0.3">
      <c r="A75" s="30"/>
      <c r="B75" s="34"/>
      <c r="C75" s="18" t="e">
        <f>LOOKUP(F75,BD!C:C,BD!A:A)</f>
        <v>#N/A</v>
      </c>
      <c r="D75" s="18" t="e">
        <f>LOOKUP(F75,BD!C:C,BD!B:B)</f>
        <v>#N/A</v>
      </c>
      <c r="E75" s="18"/>
      <c r="F75" s="18"/>
      <c r="G75" s="18" t="e">
        <f>LOOKUP(F75,BD!C:C,BD!D:D)</f>
        <v>#N/A</v>
      </c>
      <c r="H75" s="19"/>
      <c r="I75" s="19"/>
      <c r="J75" s="19"/>
      <c r="K75" s="19"/>
      <c r="L75" s="20"/>
      <c r="M75" s="20">
        <f t="shared" si="0"/>
        <v>730</v>
      </c>
      <c r="N75" s="21">
        <f t="shared" ca="1" si="1"/>
        <v>-45491.500559837965</v>
      </c>
      <c r="O75" s="22" t="str">
        <f t="shared" ca="1" si="2"/>
        <v>NO CUMPLE</v>
      </c>
      <c r="P75" s="20"/>
      <c r="Q75" s="20">
        <f t="shared" si="3"/>
        <v>730</v>
      </c>
      <c r="R75" s="21">
        <f t="shared" ca="1" si="4"/>
        <v>-45491.500559837965</v>
      </c>
      <c r="S75" s="22" t="str">
        <f t="shared" ca="1" si="5"/>
        <v>NO CUMPLE</v>
      </c>
      <c r="T75" s="20"/>
      <c r="U75" s="20">
        <f t="shared" si="6"/>
        <v>730</v>
      </c>
      <c r="V75" s="21">
        <f t="shared" ca="1" si="7"/>
        <v>-45491.500559837965</v>
      </c>
      <c r="W75" s="22" t="str">
        <f t="shared" ca="1" si="8"/>
        <v>NO CUMPLE</v>
      </c>
      <c r="X75" s="41">
        <v>4</v>
      </c>
      <c r="Y75" s="41">
        <v>3</v>
      </c>
      <c r="Z75" s="41">
        <f t="shared" si="9"/>
        <v>0</v>
      </c>
      <c r="AA75" s="41">
        <f t="shared" ca="1" si="10"/>
        <v>0</v>
      </c>
      <c r="AB75" s="42">
        <f t="shared" ref="AB75:AC75" si="76">Z75/X75</f>
        <v>0</v>
      </c>
      <c r="AC75" s="42">
        <f t="shared" ca="1" si="76"/>
        <v>0</v>
      </c>
      <c r="AD75" s="43">
        <f t="shared" ca="1" si="12"/>
        <v>0</v>
      </c>
      <c r="AE75" s="44"/>
      <c r="AF75" s="44"/>
      <c r="AG75" s="44"/>
      <c r="AH75" s="44"/>
    </row>
    <row r="76" spans="1:34" ht="14.4" x14ac:dyDescent="0.3">
      <c r="A76" s="30"/>
      <c r="B76" s="34"/>
      <c r="C76" s="18" t="e">
        <f>LOOKUP(F76,BD!C:C,BD!A:A)</f>
        <v>#N/A</v>
      </c>
      <c r="D76" s="18" t="e">
        <f>LOOKUP(F76,BD!C:C,BD!B:B)</f>
        <v>#N/A</v>
      </c>
      <c r="E76" s="18"/>
      <c r="F76" s="18"/>
      <c r="G76" s="18" t="e">
        <f>LOOKUP(F76,BD!C:C,BD!D:D)</f>
        <v>#N/A</v>
      </c>
      <c r="H76" s="19"/>
      <c r="I76" s="19"/>
      <c r="J76" s="19"/>
      <c r="K76" s="19"/>
      <c r="L76" s="20"/>
      <c r="M76" s="20">
        <f t="shared" si="0"/>
        <v>730</v>
      </c>
      <c r="N76" s="21">
        <f t="shared" ca="1" si="1"/>
        <v>-45491.500559837965</v>
      </c>
      <c r="O76" s="22" t="str">
        <f t="shared" ca="1" si="2"/>
        <v>NO CUMPLE</v>
      </c>
      <c r="P76" s="20"/>
      <c r="Q76" s="20">
        <f t="shared" si="3"/>
        <v>730</v>
      </c>
      <c r="R76" s="21">
        <f t="shared" ca="1" si="4"/>
        <v>-45491.500559837965</v>
      </c>
      <c r="S76" s="22" t="str">
        <f t="shared" ca="1" si="5"/>
        <v>NO CUMPLE</v>
      </c>
      <c r="T76" s="20"/>
      <c r="U76" s="20">
        <f t="shared" si="6"/>
        <v>730</v>
      </c>
      <c r="V76" s="21">
        <f t="shared" ca="1" si="7"/>
        <v>-45491.500559837965</v>
      </c>
      <c r="W76" s="22" t="str">
        <f t="shared" ca="1" si="8"/>
        <v>NO CUMPLE</v>
      </c>
      <c r="X76" s="41">
        <v>4</v>
      </c>
      <c r="Y76" s="41">
        <v>3</v>
      </c>
      <c r="Z76" s="41">
        <f t="shared" si="9"/>
        <v>0</v>
      </c>
      <c r="AA76" s="41">
        <f t="shared" ca="1" si="10"/>
        <v>0</v>
      </c>
      <c r="AB76" s="42">
        <f t="shared" ref="AB76:AC76" si="77">Z76/X76</f>
        <v>0</v>
      </c>
      <c r="AC76" s="42">
        <f t="shared" ca="1" si="77"/>
        <v>0</v>
      </c>
      <c r="AD76" s="43">
        <f t="shared" ca="1" si="12"/>
        <v>0</v>
      </c>
      <c r="AE76" s="44"/>
      <c r="AF76" s="44"/>
      <c r="AG76" s="44"/>
      <c r="AH76" s="44"/>
    </row>
    <row r="77" spans="1:34" ht="14.4" x14ac:dyDescent="0.3">
      <c r="A77" s="30"/>
      <c r="B77" s="34"/>
      <c r="C77" s="18" t="e">
        <f>LOOKUP(F77,BD!C:C,BD!A:A)</f>
        <v>#N/A</v>
      </c>
      <c r="D77" s="18" t="e">
        <f>LOOKUP(F77,BD!C:C,BD!B:B)</f>
        <v>#N/A</v>
      </c>
      <c r="E77" s="18"/>
      <c r="F77" s="18"/>
      <c r="G77" s="18" t="e">
        <f>LOOKUP(F77,BD!C:C,BD!D:D)</f>
        <v>#N/A</v>
      </c>
      <c r="H77" s="19"/>
      <c r="I77" s="19"/>
      <c r="J77" s="19"/>
      <c r="K77" s="19"/>
      <c r="L77" s="20"/>
      <c r="M77" s="20">
        <f t="shared" si="0"/>
        <v>730</v>
      </c>
      <c r="N77" s="21">
        <f t="shared" ca="1" si="1"/>
        <v>-45491.500559722219</v>
      </c>
      <c r="O77" s="22" t="str">
        <f t="shared" ca="1" si="2"/>
        <v>NO CUMPLE</v>
      </c>
      <c r="P77" s="20"/>
      <c r="Q77" s="20">
        <f t="shared" si="3"/>
        <v>730</v>
      </c>
      <c r="R77" s="21">
        <f t="shared" ca="1" si="4"/>
        <v>-45491.500559837965</v>
      </c>
      <c r="S77" s="22" t="str">
        <f t="shared" ca="1" si="5"/>
        <v>NO CUMPLE</v>
      </c>
      <c r="T77" s="20"/>
      <c r="U77" s="20">
        <f t="shared" si="6"/>
        <v>730</v>
      </c>
      <c r="V77" s="21">
        <f t="shared" ca="1" si="7"/>
        <v>-45491.500559837965</v>
      </c>
      <c r="W77" s="22" t="str">
        <f t="shared" ca="1" si="8"/>
        <v>NO CUMPLE</v>
      </c>
      <c r="X77" s="41">
        <v>4</v>
      </c>
      <c r="Y77" s="41">
        <v>3</v>
      </c>
      <c r="Z77" s="41">
        <f t="shared" si="9"/>
        <v>0</v>
      </c>
      <c r="AA77" s="41">
        <f t="shared" ca="1" si="10"/>
        <v>0</v>
      </c>
      <c r="AB77" s="42">
        <f t="shared" ref="AB77:AC77" si="78">Z77/X77</f>
        <v>0</v>
      </c>
      <c r="AC77" s="42">
        <f t="shared" ca="1" si="78"/>
        <v>0</v>
      </c>
      <c r="AD77" s="43">
        <f t="shared" ca="1" si="12"/>
        <v>0</v>
      </c>
      <c r="AE77" s="44"/>
      <c r="AF77" s="44"/>
      <c r="AG77" s="44"/>
      <c r="AH77" s="44"/>
    </row>
    <row r="78" spans="1:34" ht="14.4" x14ac:dyDescent="0.3">
      <c r="A78" s="30"/>
      <c r="B78" s="34"/>
      <c r="C78" s="18" t="e">
        <f>LOOKUP(F78,BD!C:C,BD!A:A)</f>
        <v>#N/A</v>
      </c>
      <c r="D78" s="18" t="e">
        <f>LOOKUP(F78,BD!C:C,BD!B:B)</f>
        <v>#N/A</v>
      </c>
      <c r="E78" s="18"/>
      <c r="F78" s="18"/>
      <c r="G78" s="18" t="e">
        <f>LOOKUP(F78,BD!C:C,BD!D:D)</f>
        <v>#N/A</v>
      </c>
      <c r="H78" s="19"/>
      <c r="I78" s="19"/>
      <c r="J78" s="19"/>
      <c r="K78" s="19"/>
      <c r="L78" s="20"/>
      <c r="M78" s="20">
        <f t="shared" si="0"/>
        <v>730</v>
      </c>
      <c r="N78" s="21">
        <f t="shared" ca="1" si="1"/>
        <v>-45491.500559837965</v>
      </c>
      <c r="O78" s="22" t="str">
        <f t="shared" ca="1" si="2"/>
        <v>NO CUMPLE</v>
      </c>
      <c r="P78" s="20"/>
      <c r="Q78" s="20">
        <f t="shared" si="3"/>
        <v>730</v>
      </c>
      <c r="R78" s="21">
        <f t="shared" ca="1" si="4"/>
        <v>-45491.500559837965</v>
      </c>
      <c r="S78" s="22" t="str">
        <f t="shared" ca="1" si="5"/>
        <v>NO CUMPLE</v>
      </c>
      <c r="T78" s="20"/>
      <c r="U78" s="20">
        <f t="shared" si="6"/>
        <v>730</v>
      </c>
      <c r="V78" s="21">
        <f t="shared" ca="1" si="7"/>
        <v>-45491.500559837965</v>
      </c>
      <c r="W78" s="22" t="str">
        <f t="shared" ca="1" si="8"/>
        <v>NO CUMPLE</v>
      </c>
      <c r="X78" s="41">
        <v>4</v>
      </c>
      <c r="Y78" s="41">
        <v>3</v>
      </c>
      <c r="Z78" s="41">
        <f t="shared" si="9"/>
        <v>0</v>
      </c>
      <c r="AA78" s="41">
        <f t="shared" ca="1" si="10"/>
        <v>0</v>
      </c>
      <c r="AB78" s="42">
        <f t="shared" ref="AB78:AC78" si="79">Z78/X78</f>
        <v>0</v>
      </c>
      <c r="AC78" s="42">
        <f t="shared" ca="1" si="79"/>
        <v>0</v>
      </c>
      <c r="AD78" s="43">
        <f t="shared" ca="1" si="12"/>
        <v>0</v>
      </c>
      <c r="AE78" s="44"/>
      <c r="AF78" s="44"/>
      <c r="AG78" s="44"/>
      <c r="AH78" s="44"/>
    </row>
    <row r="79" spans="1:34" ht="14.4" x14ac:dyDescent="0.3">
      <c r="A79" s="30"/>
      <c r="B79" s="34"/>
      <c r="C79" s="18" t="e">
        <f>LOOKUP(F79,BD!C:C,BD!A:A)</f>
        <v>#N/A</v>
      </c>
      <c r="D79" s="18" t="e">
        <f>LOOKUP(F79,BD!C:C,BD!B:B)</f>
        <v>#N/A</v>
      </c>
      <c r="E79" s="18"/>
      <c r="F79" s="18"/>
      <c r="G79" s="18" t="e">
        <f>LOOKUP(F79,BD!C:C,BD!D:D)</f>
        <v>#N/A</v>
      </c>
      <c r="H79" s="19"/>
      <c r="I79" s="19"/>
      <c r="J79" s="19"/>
      <c r="K79" s="19"/>
      <c r="L79" s="20"/>
      <c r="M79" s="20">
        <f t="shared" si="0"/>
        <v>730</v>
      </c>
      <c r="N79" s="21">
        <f t="shared" ca="1" si="1"/>
        <v>-45491.500559837965</v>
      </c>
      <c r="O79" s="22" t="str">
        <f t="shared" ca="1" si="2"/>
        <v>NO CUMPLE</v>
      </c>
      <c r="P79" s="20"/>
      <c r="Q79" s="20">
        <f t="shared" si="3"/>
        <v>730</v>
      </c>
      <c r="R79" s="21">
        <f t="shared" ca="1" si="4"/>
        <v>-45491.500559837965</v>
      </c>
      <c r="S79" s="22" t="str">
        <f t="shared" ca="1" si="5"/>
        <v>NO CUMPLE</v>
      </c>
      <c r="T79" s="20"/>
      <c r="U79" s="20">
        <f t="shared" si="6"/>
        <v>730</v>
      </c>
      <c r="V79" s="21">
        <f t="shared" ca="1" si="7"/>
        <v>-45491.500559837965</v>
      </c>
      <c r="W79" s="22" t="str">
        <f t="shared" ca="1" si="8"/>
        <v>NO CUMPLE</v>
      </c>
      <c r="X79" s="41">
        <v>4</v>
      </c>
      <c r="Y79" s="41">
        <v>3</v>
      </c>
      <c r="Z79" s="41">
        <f t="shared" si="9"/>
        <v>0</v>
      </c>
      <c r="AA79" s="41">
        <f t="shared" ca="1" si="10"/>
        <v>0</v>
      </c>
      <c r="AB79" s="42">
        <f t="shared" ref="AB79:AC79" si="80">Z79/X79</f>
        <v>0</v>
      </c>
      <c r="AC79" s="42">
        <f t="shared" ca="1" si="80"/>
        <v>0</v>
      </c>
      <c r="AD79" s="43">
        <f t="shared" ca="1" si="12"/>
        <v>0</v>
      </c>
      <c r="AE79" s="44"/>
      <c r="AF79" s="44"/>
      <c r="AG79" s="44"/>
      <c r="AH79" s="44"/>
    </row>
    <row r="80" spans="1:34" ht="14.4" x14ac:dyDescent="0.3">
      <c r="A80" s="30"/>
      <c r="B80" s="34"/>
      <c r="C80" s="18" t="e">
        <f>LOOKUP(F80,BD!C:C,BD!A:A)</f>
        <v>#N/A</v>
      </c>
      <c r="D80" s="18" t="e">
        <f>LOOKUP(F80,BD!C:C,BD!B:B)</f>
        <v>#N/A</v>
      </c>
      <c r="E80" s="18"/>
      <c r="F80" s="18"/>
      <c r="G80" s="18" t="e">
        <f>LOOKUP(F80,BD!C:C,BD!D:D)</f>
        <v>#N/A</v>
      </c>
      <c r="H80" s="19"/>
      <c r="I80" s="19"/>
      <c r="J80" s="19"/>
      <c r="K80" s="19"/>
      <c r="L80" s="20"/>
      <c r="M80" s="20">
        <f t="shared" si="0"/>
        <v>730</v>
      </c>
      <c r="N80" s="21">
        <f t="shared" ca="1" si="1"/>
        <v>-45491.500559837965</v>
      </c>
      <c r="O80" s="22" t="str">
        <f t="shared" ca="1" si="2"/>
        <v>NO CUMPLE</v>
      </c>
      <c r="P80" s="20"/>
      <c r="Q80" s="20">
        <f t="shared" si="3"/>
        <v>730</v>
      </c>
      <c r="R80" s="21">
        <f t="shared" ca="1" si="4"/>
        <v>-45491.500559837965</v>
      </c>
      <c r="S80" s="22" t="str">
        <f t="shared" ca="1" si="5"/>
        <v>NO CUMPLE</v>
      </c>
      <c r="T80" s="20"/>
      <c r="U80" s="20">
        <f t="shared" si="6"/>
        <v>730</v>
      </c>
      <c r="V80" s="21">
        <f t="shared" ca="1" si="7"/>
        <v>-45491.500559722219</v>
      </c>
      <c r="W80" s="22" t="str">
        <f t="shared" ca="1" si="8"/>
        <v>NO CUMPLE</v>
      </c>
      <c r="X80" s="41">
        <v>4</v>
      </c>
      <c r="Y80" s="41">
        <v>3</v>
      </c>
      <c r="Z80" s="41">
        <f t="shared" si="9"/>
        <v>0</v>
      </c>
      <c r="AA80" s="41">
        <f t="shared" ca="1" si="10"/>
        <v>0</v>
      </c>
      <c r="AB80" s="42">
        <f t="shared" ref="AB80:AC80" si="81">Z80/X80</f>
        <v>0</v>
      </c>
      <c r="AC80" s="42">
        <f t="shared" ca="1" si="81"/>
        <v>0</v>
      </c>
      <c r="AD80" s="43">
        <f t="shared" ca="1" si="12"/>
        <v>0</v>
      </c>
      <c r="AE80" s="44"/>
      <c r="AF80" s="44"/>
      <c r="AG80" s="44"/>
      <c r="AH80" s="44"/>
    </row>
    <row r="81" spans="1:34" ht="14.4" x14ac:dyDescent="0.3">
      <c r="A81" s="30"/>
      <c r="B81" s="34"/>
      <c r="C81" s="18" t="e">
        <f>LOOKUP(F81,BD!C:C,BD!A:A)</f>
        <v>#N/A</v>
      </c>
      <c r="D81" s="18" t="e">
        <f>LOOKUP(F81,BD!C:C,BD!B:B)</f>
        <v>#N/A</v>
      </c>
      <c r="E81" s="18"/>
      <c r="F81" s="18"/>
      <c r="G81" s="18" t="e">
        <f>LOOKUP(F81,BD!C:C,BD!D:D)</f>
        <v>#N/A</v>
      </c>
      <c r="H81" s="19"/>
      <c r="I81" s="19"/>
      <c r="J81" s="19"/>
      <c r="K81" s="19"/>
      <c r="L81" s="20"/>
      <c r="M81" s="20">
        <f t="shared" si="0"/>
        <v>730</v>
      </c>
      <c r="N81" s="21">
        <f t="shared" ca="1" si="1"/>
        <v>-45491.500559837965</v>
      </c>
      <c r="O81" s="22" t="str">
        <f t="shared" ca="1" si="2"/>
        <v>NO CUMPLE</v>
      </c>
      <c r="P81" s="20"/>
      <c r="Q81" s="20">
        <f t="shared" si="3"/>
        <v>730</v>
      </c>
      <c r="R81" s="21">
        <f t="shared" ca="1" si="4"/>
        <v>-45491.500559837965</v>
      </c>
      <c r="S81" s="22" t="str">
        <f t="shared" ca="1" si="5"/>
        <v>NO CUMPLE</v>
      </c>
      <c r="T81" s="20"/>
      <c r="U81" s="20">
        <f t="shared" si="6"/>
        <v>730</v>
      </c>
      <c r="V81" s="21">
        <f t="shared" ca="1" si="7"/>
        <v>-45491.500559837965</v>
      </c>
      <c r="W81" s="22" t="str">
        <f t="shared" ca="1" si="8"/>
        <v>NO CUMPLE</v>
      </c>
      <c r="X81" s="41">
        <v>4</v>
      </c>
      <c r="Y81" s="41">
        <v>3</v>
      </c>
      <c r="Z81" s="41">
        <f t="shared" si="9"/>
        <v>0</v>
      </c>
      <c r="AA81" s="41">
        <f t="shared" ca="1" si="10"/>
        <v>0</v>
      </c>
      <c r="AB81" s="42">
        <f t="shared" ref="AB81:AC81" si="82">Z81/X81</f>
        <v>0</v>
      </c>
      <c r="AC81" s="42">
        <f t="shared" ca="1" si="82"/>
        <v>0</v>
      </c>
      <c r="AD81" s="43">
        <f t="shared" ca="1" si="12"/>
        <v>0</v>
      </c>
      <c r="AE81" s="44"/>
      <c r="AF81" s="44"/>
      <c r="AG81" s="44"/>
      <c r="AH81" s="44"/>
    </row>
    <row r="82" spans="1:34" ht="14.4" x14ac:dyDescent="0.3">
      <c r="A82" s="30"/>
      <c r="B82" s="34"/>
      <c r="C82" s="18" t="e">
        <f>LOOKUP(F82,BD!C:C,BD!A:A)</f>
        <v>#N/A</v>
      </c>
      <c r="D82" s="18" t="e">
        <f>LOOKUP(F82,BD!C:C,BD!B:B)</f>
        <v>#N/A</v>
      </c>
      <c r="E82" s="18"/>
      <c r="F82" s="18"/>
      <c r="G82" s="18" t="e">
        <f>LOOKUP(F82,BD!C:C,BD!D:D)</f>
        <v>#N/A</v>
      </c>
      <c r="H82" s="19"/>
      <c r="I82" s="19"/>
      <c r="J82" s="19"/>
      <c r="K82" s="19"/>
      <c r="L82" s="20"/>
      <c r="M82" s="20">
        <f t="shared" si="0"/>
        <v>730</v>
      </c>
      <c r="N82" s="21">
        <f t="shared" ca="1" si="1"/>
        <v>-45491.500559837965</v>
      </c>
      <c r="O82" s="22" t="str">
        <f t="shared" ca="1" si="2"/>
        <v>NO CUMPLE</v>
      </c>
      <c r="P82" s="20"/>
      <c r="Q82" s="20">
        <f t="shared" si="3"/>
        <v>730</v>
      </c>
      <c r="R82" s="21">
        <f t="shared" ca="1" si="4"/>
        <v>-45491.500559722219</v>
      </c>
      <c r="S82" s="22" t="str">
        <f t="shared" ca="1" si="5"/>
        <v>NO CUMPLE</v>
      </c>
      <c r="T82" s="20"/>
      <c r="U82" s="20">
        <f t="shared" si="6"/>
        <v>730</v>
      </c>
      <c r="V82" s="21">
        <f t="shared" ca="1" si="7"/>
        <v>-45491.500559837965</v>
      </c>
      <c r="W82" s="22" t="str">
        <f t="shared" ca="1" si="8"/>
        <v>NO CUMPLE</v>
      </c>
      <c r="X82" s="41">
        <v>4</v>
      </c>
      <c r="Y82" s="41">
        <v>3</v>
      </c>
      <c r="Z82" s="41">
        <f t="shared" si="9"/>
        <v>0</v>
      </c>
      <c r="AA82" s="41">
        <f t="shared" ca="1" si="10"/>
        <v>0</v>
      </c>
      <c r="AB82" s="42">
        <f t="shared" ref="AB82:AC82" si="83">Z82/X82</f>
        <v>0</v>
      </c>
      <c r="AC82" s="42">
        <f t="shared" ca="1" si="83"/>
        <v>0</v>
      </c>
      <c r="AD82" s="43">
        <f t="shared" ca="1" si="12"/>
        <v>0</v>
      </c>
      <c r="AE82" s="44"/>
      <c r="AF82" s="44"/>
      <c r="AG82" s="44"/>
      <c r="AH82" s="44"/>
    </row>
    <row r="83" spans="1:34" ht="14.4" x14ac:dyDescent="0.3">
      <c r="A83" s="30"/>
      <c r="B83" s="34"/>
      <c r="C83" s="18" t="e">
        <f>LOOKUP(F83,BD!C:C,BD!A:A)</f>
        <v>#N/A</v>
      </c>
      <c r="D83" s="18" t="e">
        <f>LOOKUP(F83,BD!C:C,BD!B:B)</f>
        <v>#N/A</v>
      </c>
      <c r="E83" s="18"/>
      <c r="F83" s="18"/>
      <c r="G83" s="18" t="e">
        <f>LOOKUP(F83,BD!C:C,BD!D:D)</f>
        <v>#N/A</v>
      </c>
      <c r="H83" s="19"/>
      <c r="I83" s="19"/>
      <c r="J83" s="19"/>
      <c r="K83" s="19"/>
      <c r="L83" s="20"/>
      <c r="M83" s="20">
        <f t="shared" si="0"/>
        <v>730</v>
      </c>
      <c r="N83" s="21">
        <f t="shared" ca="1" si="1"/>
        <v>-45491.500559837965</v>
      </c>
      <c r="O83" s="22" t="str">
        <f t="shared" ca="1" si="2"/>
        <v>NO CUMPLE</v>
      </c>
      <c r="P83" s="20"/>
      <c r="Q83" s="20">
        <f t="shared" si="3"/>
        <v>730</v>
      </c>
      <c r="R83" s="21">
        <f t="shared" ca="1" si="4"/>
        <v>-45491.500559837965</v>
      </c>
      <c r="S83" s="22" t="str">
        <f t="shared" ca="1" si="5"/>
        <v>NO CUMPLE</v>
      </c>
      <c r="T83" s="20"/>
      <c r="U83" s="20">
        <f t="shared" si="6"/>
        <v>730</v>
      </c>
      <c r="V83" s="21">
        <f t="shared" ca="1" si="7"/>
        <v>-45491.500559837965</v>
      </c>
      <c r="W83" s="22" t="str">
        <f t="shared" ca="1" si="8"/>
        <v>NO CUMPLE</v>
      </c>
      <c r="X83" s="41">
        <v>4</v>
      </c>
      <c r="Y83" s="41">
        <v>3</v>
      </c>
      <c r="Z83" s="41">
        <f t="shared" si="9"/>
        <v>0</v>
      </c>
      <c r="AA83" s="41">
        <f t="shared" ca="1" si="10"/>
        <v>0</v>
      </c>
      <c r="AB83" s="42">
        <f t="shared" ref="AB83:AC83" si="84">Z83/X83</f>
        <v>0</v>
      </c>
      <c r="AC83" s="42">
        <f t="shared" ca="1" si="84"/>
        <v>0</v>
      </c>
      <c r="AD83" s="43">
        <f t="shared" ca="1" si="12"/>
        <v>0</v>
      </c>
      <c r="AE83" s="44"/>
      <c r="AF83" s="44"/>
      <c r="AG83" s="44"/>
      <c r="AH83" s="44"/>
    </row>
    <row r="84" spans="1:34" ht="14.4" x14ac:dyDescent="0.3">
      <c r="A84" s="30"/>
      <c r="B84" s="34"/>
      <c r="C84" s="18" t="e">
        <f>LOOKUP(F84,BD!C:C,BD!A:A)</f>
        <v>#N/A</v>
      </c>
      <c r="D84" s="18" t="e">
        <f>LOOKUP(F84,BD!C:C,BD!B:B)</f>
        <v>#N/A</v>
      </c>
      <c r="E84" s="18"/>
      <c r="F84" s="18"/>
      <c r="G84" s="18" t="e">
        <f>LOOKUP(F84,BD!C:C,BD!D:D)</f>
        <v>#N/A</v>
      </c>
      <c r="H84" s="19"/>
      <c r="I84" s="19"/>
      <c r="J84" s="19"/>
      <c r="K84" s="19"/>
      <c r="L84" s="20"/>
      <c r="M84" s="20">
        <f t="shared" si="0"/>
        <v>730</v>
      </c>
      <c r="N84" s="21">
        <f t="shared" ca="1" si="1"/>
        <v>-45491.500559722219</v>
      </c>
      <c r="O84" s="22" t="str">
        <f t="shared" ca="1" si="2"/>
        <v>NO CUMPLE</v>
      </c>
      <c r="P84" s="20"/>
      <c r="Q84" s="20">
        <f t="shared" si="3"/>
        <v>730</v>
      </c>
      <c r="R84" s="21">
        <f t="shared" ca="1" si="4"/>
        <v>-45491.500559837965</v>
      </c>
      <c r="S84" s="22" t="str">
        <f t="shared" ca="1" si="5"/>
        <v>NO CUMPLE</v>
      </c>
      <c r="T84" s="20"/>
      <c r="U84" s="20">
        <f t="shared" si="6"/>
        <v>730</v>
      </c>
      <c r="V84" s="21">
        <f t="shared" ca="1" si="7"/>
        <v>-45491.500559837965</v>
      </c>
      <c r="W84" s="22" t="str">
        <f t="shared" ca="1" si="8"/>
        <v>NO CUMPLE</v>
      </c>
      <c r="X84" s="41">
        <v>4</v>
      </c>
      <c r="Y84" s="41">
        <v>3</v>
      </c>
      <c r="Z84" s="41">
        <f t="shared" si="9"/>
        <v>0</v>
      </c>
      <c r="AA84" s="41">
        <f t="shared" ca="1" si="10"/>
        <v>0</v>
      </c>
      <c r="AB84" s="42">
        <f t="shared" ref="AB84:AC84" si="85">Z84/X84</f>
        <v>0</v>
      </c>
      <c r="AC84" s="42">
        <f t="shared" ca="1" si="85"/>
        <v>0</v>
      </c>
      <c r="AD84" s="43">
        <f t="shared" ca="1" si="12"/>
        <v>0</v>
      </c>
      <c r="AE84" s="44"/>
      <c r="AF84" s="44"/>
      <c r="AG84" s="44"/>
      <c r="AH84" s="44"/>
    </row>
    <row r="85" spans="1:34" ht="14.4" x14ac:dyDescent="0.3">
      <c r="A85" s="30"/>
      <c r="B85" s="34"/>
      <c r="C85" s="18" t="e">
        <f>LOOKUP(F85,BD!C:C,BD!A:A)</f>
        <v>#N/A</v>
      </c>
      <c r="D85" s="18" t="e">
        <f>LOOKUP(F85,BD!C:C,BD!B:B)</f>
        <v>#N/A</v>
      </c>
      <c r="E85" s="18"/>
      <c r="F85" s="18"/>
      <c r="G85" s="18" t="e">
        <f>LOOKUP(F85,BD!C:C,BD!D:D)</f>
        <v>#N/A</v>
      </c>
      <c r="H85" s="19"/>
      <c r="I85" s="19"/>
      <c r="J85" s="19"/>
      <c r="K85" s="19"/>
      <c r="L85" s="20"/>
      <c r="M85" s="20">
        <f t="shared" si="0"/>
        <v>730</v>
      </c>
      <c r="N85" s="21">
        <f t="shared" ca="1" si="1"/>
        <v>-45491.500559837965</v>
      </c>
      <c r="O85" s="22" t="str">
        <f t="shared" ca="1" si="2"/>
        <v>NO CUMPLE</v>
      </c>
      <c r="P85" s="20"/>
      <c r="Q85" s="20">
        <f t="shared" si="3"/>
        <v>730</v>
      </c>
      <c r="R85" s="21">
        <f t="shared" ca="1" si="4"/>
        <v>-45491.500559837965</v>
      </c>
      <c r="S85" s="22" t="str">
        <f t="shared" ca="1" si="5"/>
        <v>NO CUMPLE</v>
      </c>
      <c r="T85" s="20"/>
      <c r="U85" s="20">
        <f t="shared" si="6"/>
        <v>730</v>
      </c>
      <c r="V85" s="21">
        <f t="shared" ca="1" si="7"/>
        <v>-45491.500559837965</v>
      </c>
      <c r="W85" s="22" t="str">
        <f t="shared" ca="1" si="8"/>
        <v>NO CUMPLE</v>
      </c>
      <c r="X85" s="41">
        <v>4</v>
      </c>
      <c r="Y85" s="41">
        <v>3</v>
      </c>
      <c r="Z85" s="41">
        <f t="shared" si="9"/>
        <v>0</v>
      </c>
      <c r="AA85" s="41">
        <f t="shared" ca="1" si="10"/>
        <v>0</v>
      </c>
      <c r="AB85" s="42">
        <f t="shared" ref="AB85:AC85" si="86">Z85/X85</f>
        <v>0</v>
      </c>
      <c r="AC85" s="42">
        <f t="shared" ca="1" si="86"/>
        <v>0</v>
      </c>
      <c r="AD85" s="43">
        <f t="shared" ca="1" si="12"/>
        <v>0</v>
      </c>
      <c r="AE85" s="44"/>
      <c r="AF85" s="44"/>
      <c r="AG85" s="44"/>
      <c r="AH85" s="44"/>
    </row>
    <row r="86" spans="1:34" ht="14.4" x14ac:dyDescent="0.3">
      <c r="A86" s="30"/>
      <c r="B86" s="34"/>
      <c r="C86" s="18" t="e">
        <f>LOOKUP(F86,BD!C:C,BD!A:A)</f>
        <v>#N/A</v>
      </c>
      <c r="D86" s="18" t="e">
        <f>LOOKUP(F86,BD!C:C,BD!B:B)</f>
        <v>#N/A</v>
      </c>
      <c r="E86" s="18"/>
      <c r="F86" s="18"/>
      <c r="G86" s="18" t="e">
        <f>LOOKUP(F86,BD!C:C,BD!D:D)</f>
        <v>#N/A</v>
      </c>
      <c r="H86" s="19"/>
      <c r="I86" s="19"/>
      <c r="J86" s="19"/>
      <c r="K86" s="19"/>
      <c r="L86" s="20"/>
      <c r="M86" s="20">
        <f t="shared" si="0"/>
        <v>730</v>
      </c>
      <c r="N86" s="21">
        <f t="shared" ca="1" si="1"/>
        <v>-45491.500559837965</v>
      </c>
      <c r="O86" s="22" t="str">
        <f t="shared" ca="1" si="2"/>
        <v>NO CUMPLE</v>
      </c>
      <c r="P86" s="20"/>
      <c r="Q86" s="20">
        <f t="shared" si="3"/>
        <v>730</v>
      </c>
      <c r="R86" s="21">
        <f t="shared" ca="1" si="4"/>
        <v>-45491.500559837965</v>
      </c>
      <c r="S86" s="22" t="str">
        <f t="shared" ca="1" si="5"/>
        <v>NO CUMPLE</v>
      </c>
      <c r="T86" s="20"/>
      <c r="U86" s="20">
        <f t="shared" si="6"/>
        <v>730</v>
      </c>
      <c r="V86" s="21">
        <f t="shared" ca="1" si="7"/>
        <v>-45491.500559837965</v>
      </c>
      <c r="W86" s="22" t="str">
        <f t="shared" ca="1" si="8"/>
        <v>NO CUMPLE</v>
      </c>
      <c r="X86" s="41">
        <v>4</v>
      </c>
      <c r="Y86" s="41">
        <v>3</v>
      </c>
      <c r="Z86" s="41">
        <f t="shared" si="9"/>
        <v>0</v>
      </c>
      <c r="AA86" s="41">
        <f t="shared" ca="1" si="10"/>
        <v>0</v>
      </c>
      <c r="AB86" s="42">
        <f t="shared" ref="AB86:AC86" si="87">Z86/X86</f>
        <v>0</v>
      </c>
      <c r="AC86" s="42">
        <f t="shared" ca="1" si="87"/>
        <v>0</v>
      </c>
      <c r="AD86" s="43">
        <f t="shared" ca="1" si="12"/>
        <v>0</v>
      </c>
      <c r="AE86" s="44"/>
      <c r="AF86" s="44"/>
      <c r="AG86" s="44"/>
      <c r="AH86" s="44"/>
    </row>
    <row r="87" spans="1:34" ht="14.4" x14ac:dyDescent="0.3">
      <c r="A87" s="30"/>
      <c r="B87" s="34"/>
      <c r="C87" s="18" t="e">
        <f>LOOKUP(F87,BD!C:C,BD!A:A)</f>
        <v>#N/A</v>
      </c>
      <c r="D87" s="18" t="e">
        <f>LOOKUP(F87,BD!C:C,BD!B:B)</f>
        <v>#N/A</v>
      </c>
      <c r="E87" s="18"/>
      <c r="F87" s="18"/>
      <c r="G87" s="18" t="e">
        <f>LOOKUP(F87,BD!C:C,BD!D:D)</f>
        <v>#N/A</v>
      </c>
      <c r="H87" s="19"/>
      <c r="I87" s="19"/>
      <c r="J87" s="19"/>
      <c r="K87" s="19"/>
      <c r="L87" s="20"/>
      <c r="M87" s="20">
        <f t="shared" si="0"/>
        <v>730</v>
      </c>
      <c r="N87" s="21">
        <f t="shared" ca="1" si="1"/>
        <v>-45491.500559837965</v>
      </c>
      <c r="O87" s="22" t="str">
        <f t="shared" ca="1" si="2"/>
        <v>NO CUMPLE</v>
      </c>
      <c r="P87" s="20"/>
      <c r="Q87" s="20">
        <f t="shared" si="3"/>
        <v>730</v>
      </c>
      <c r="R87" s="21">
        <f t="shared" ca="1" si="4"/>
        <v>-45491.500559837965</v>
      </c>
      <c r="S87" s="22" t="str">
        <f t="shared" ca="1" si="5"/>
        <v>NO CUMPLE</v>
      </c>
      <c r="T87" s="20"/>
      <c r="U87" s="20">
        <f t="shared" si="6"/>
        <v>730</v>
      </c>
      <c r="V87" s="21">
        <f t="shared" ca="1" si="7"/>
        <v>-45491.500559837965</v>
      </c>
      <c r="W87" s="22" t="str">
        <f t="shared" ca="1" si="8"/>
        <v>NO CUMPLE</v>
      </c>
      <c r="X87" s="41">
        <v>4</v>
      </c>
      <c r="Y87" s="41">
        <v>3</v>
      </c>
      <c r="Z87" s="41">
        <f t="shared" si="9"/>
        <v>0</v>
      </c>
      <c r="AA87" s="41">
        <f t="shared" ca="1" si="10"/>
        <v>0</v>
      </c>
      <c r="AB87" s="42">
        <f t="shared" ref="AB87:AC87" si="88">Z87/X87</f>
        <v>0</v>
      </c>
      <c r="AC87" s="42">
        <f t="shared" ca="1" si="88"/>
        <v>0</v>
      </c>
      <c r="AD87" s="43">
        <f t="shared" ca="1" si="12"/>
        <v>0</v>
      </c>
      <c r="AE87" s="44"/>
      <c r="AF87" s="44"/>
      <c r="AG87" s="44"/>
      <c r="AH87" s="44"/>
    </row>
    <row r="88" spans="1:34" ht="14.4" x14ac:dyDescent="0.3">
      <c r="A88" s="30"/>
      <c r="B88" s="34"/>
      <c r="C88" s="18" t="e">
        <f>LOOKUP(F88,BD!C:C,BD!A:A)</f>
        <v>#N/A</v>
      </c>
      <c r="D88" s="18" t="e">
        <f>LOOKUP(F88,BD!C:C,BD!B:B)</f>
        <v>#N/A</v>
      </c>
      <c r="E88" s="18"/>
      <c r="F88" s="18"/>
      <c r="G88" s="18" t="e">
        <f>LOOKUP(F88,BD!C:C,BD!D:D)</f>
        <v>#N/A</v>
      </c>
      <c r="H88" s="19"/>
      <c r="I88" s="19"/>
      <c r="J88" s="19"/>
      <c r="K88" s="19"/>
      <c r="L88" s="20"/>
      <c r="M88" s="20">
        <f t="shared" si="0"/>
        <v>730</v>
      </c>
      <c r="N88" s="21">
        <f t="shared" ca="1" si="1"/>
        <v>-45491.500559837965</v>
      </c>
      <c r="O88" s="22" t="str">
        <f t="shared" ca="1" si="2"/>
        <v>NO CUMPLE</v>
      </c>
      <c r="P88" s="20"/>
      <c r="Q88" s="20">
        <f t="shared" si="3"/>
        <v>730</v>
      </c>
      <c r="R88" s="21">
        <f t="shared" ca="1" si="4"/>
        <v>-45491.500559837965</v>
      </c>
      <c r="S88" s="22" t="str">
        <f t="shared" ca="1" si="5"/>
        <v>NO CUMPLE</v>
      </c>
      <c r="T88" s="20"/>
      <c r="U88" s="20">
        <f t="shared" si="6"/>
        <v>730</v>
      </c>
      <c r="V88" s="21">
        <f t="shared" ca="1" si="7"/>
        <v>-45491.500559837965</v>
      </c>
      <c r="W88" s="22" t="str">
        <f t="shared" ca="1" si="8"/>
        <v>NO CUMPLE</v>
      </c>
      <c r="X88" s="41">
        <v>4</v>
      </c>
      <c r="Y88" s="41">
        <v>3</v>
      </c>
      <c r="Z88" s="41">
        <f t="shared" si="9"/>
        <v>0</v>
      </c>
      <c r="AA88" s="41">
        <f t="shared" ca="1" si="10"/>
        <v>0</v>
      </c>
      <c r="AB88" s="42">
        <f t="shared" ref="AB88:AC88" si="89">Z88/X88</f>
        <v>0</v>
      </c>
      <c r="AC88" s="42">
        <f t="shared" ca="1" si="89"/>
        <v>0</v>
      </c>
      <c r="AD88" s="43">
        <f t="shared" ca="1" si="12"/>
        <v>0</v>
      </c>
      <c r="AE88" s="44"/>
      <c r="AF88" s="44"/>
      <c r="AG88" s="44"/>
      <c r="AH88" s="44"/>
    </row>
    <row r="89" spans="1:34" ht="14.4" x14ac:dyDescent="0.3">
      <c r="A89" s="30"/>
      <c r="B89" s="34"/>
      <c r="C89" s="18" t="e">
        <f>LOOKUP(F89,BD!C:C,BD!A:A)</f>
        <v>#N/A</v>
      </c>
      <c r="D89" s="18" t="e">
        <f>LOOKUP(F89,BD!C:C,BD!B:B)</f>
        <v>#N/A</v>
      </c>
      <c r="E89" s="18"/>
      <c r="F89" s="18"/>
      <c r="G89" s="18" t="e">
        <f>LOOKUP(F89,BD!C:C,BD!D:D)</f>
        <v>#N/A</v>
      </c>
      <c r="H89" s="19"/>
      <c r="I89" s="19"/>
      <c r="J89" s="19"/>
      <c r="K89" s="19"/>
      <c r="L89" s="20"/>
      <c r="M89" s="20">
        <f t="shared" si="0"/>
        <v>730</v>
      </c>
      <c r="N89" s="21">
        <f t="shared" ca="1" si="1"/>
        <v>-45491.500559837965</v>
      </c>
      <c r="O89" s="22" t="str">
        <f t="shared" ca="1" si="2"/>
        <v>NO CUMPLE</v>
      </c>
      <c r="P89" s="20"/>
      <c r="Q89" s="20">
        <f t="shared" si="3"/>
        <v>730</v>
      </c>
      <c r="R89" s="21">
        <f t="shared" ca="1" si="4"/>
        <v>-45491.500559722219</v>
      </c>
      <c r="S89" s="22" t="str">
        <f t="shared" ca="1" si="5"/>
        <v>NO CUMPLE</v>
      </c>
      <c r="T89" s="20"/>
      <c r="U89" s="20">
        <f t="shared" si="6"/>
        <v>730</v>
      </c>
      <c r="V89" s="21">
        <f t="shared" ca="1" si="7"/>
        <v>-45491.500559837965</v>
      </c>
      <c r="W89" s="22" t="str">
        <f t="shared" ca="1" si="8"/>
        <v>NO CUMPLE</v>
      </c>
      <c r="X89" s="41">
        <v>4</v>
      </c>
      <c r="Y89" s="41">
        <v>3</v>
      </c>
      <c r="Z89" s="41">
        <f t="shared" si="9"/>
        <v>0</v>
      </c>
      <c r="AA89" s="41">
        <f t="shared" ca="1" si="10"/>
        <v>0</v>
      </c>
      <c r="AB89" s="42">
        <f t="shared" ref="AB89:AC89" si="90">Z89/X89</f>
        <v>0</v>
      </c>
      <c r="AC89" s="42">
        <f t="shared" ca="1" si="90"/>
        <v>0</v>
      </c>
      <c r="AD89" s="43">
        <f t="shared" ca="1" si="12"/>
        <v>0</v>
      </c>
      <c r="AE89" s="44"/>
      <c r="AF89" s="44"/>
      <c r="AG89" s="44"/>
      <c r="AH89" s="44"/>
    </row>
    <row r="90" spans="1:34" ht="14.4" x14ac:dyDescent="0.3">
      <c r="A90" s="30"/>
      <c r="B90" s="34"/>
      <c r="C90" s="18" t="e">
        <f>LOOKUP(F90,BD!C:C,BD!A:A)</f>
        <v>#N/A</v>
      </c>
      <c r="D90" s="18" t="e">
        <f>LOOKUP(F90,BD!C:C,BD!B:B)</f>
        <v>#N/A</v>
      </c>
      <c r="E90" s="18"/>
      <c r="F90" s="18"/>
      <c r="G90" s="18" t="e">
        <f>LOOKUP(F90,BD!C:C,BD!D:D)</f>
        <v>#N/A</v>
      </c>
      <c r="H90" s="19"/>
      <c r="I90" s="19"/>
      <c r="J90" s="19"/>
      <c r="K90" s="19"/>
      <c r="L90" s="20"/>
      <c r="M90" s="20">
        <f t="shared" si="0"/>
        <v>730</v>
      </c>
      <c r="N90" s="21">
        <f t="shared" ca="1" si="1"/>
        <v>-45491.500559837965</v>
      </c>
      <c r="O90" s="22" t="str">
        <f t="shared" ca="1" si="2"/>
        <v>NO CUMPLE</v>
      </c>
      <c r="P90" s="20"/>
      <c r="Q90" s="20">
        <f t="shared" si="3"/>
        <v>730</v>
      </c>
      <c r="R90" s="21">
        <f t="shared" ca="1" si="4"/>
        <v>-45491.500559837965</v>
      </c>
      <c r="S90" s="22" t="str">
        <f t="shared" ca="1" si="5"/>
        <v>NO CUMPLE</v>
      </c>
      <c r="T90" s="20"/>
      <c r="U90" s="20">
        <f t="shared" si="6"/>
        <v>730</v>
      </c>
      <c r="V90" s="21">
        <f t="shared" ca="1" si="7"/>
        <v>-45491.500559837965</v>
      </c>
      <c r="W90" s="22" t="str">
        <f t="shared" ca="1" si="8"/>
        <v>NO CUMPLE</v>
      </c>
      <c r="X90" s="41">
        <v>4</v>
      </c>
      <c r="Y90" s="41">
        <v>3</v>
      </c>
      <c r="Z90" s="41">
        <f t="shared" si="9"/>
        <v>0</v>
      </c>
      <c r="AA90" s="41">
        <f t="shared" ca="1" si="10"/>
        <v>0</v>
      </c>
      <c r="AB90" s="42">
        <f t="shared" ref="AB90:AC90" si="91">Z90/X90</f>
        <v>0</v>
      </c>
      <c r="AC90" s="42">
        <f t="shared" ca="1" si="91"/>
        <v>0</v>
      </c>
      <c r="AD90" s="43">
        <f t="shared" ca="1" si="12"/>
        <v>0</v>
      </c>
      <c r="AE90" s="44"/>
      <c r="AF90" s="44"/>
      <c r="AG90" s="44"/>
      <c r="AH90" s="44"/>
    </row>
    <row r="91" spans="1:34" ht="14.4" x14ac:dyDescent="0.3">
      <c r="A91" s="30"/>
      <c r="B91" s="34"/>
      <c r="C91" s="18" t="e">
        <f>LOOKUP(F91,BD!C:C,BD!A:A)</f>
        <v>#N/A</v>
      </c>
      <c r="D91" s="18" t="e">
        <f>LOOKUP(F91,BD!C:C,BD!B:B)</f>
        <v>#N/A</v>
      </c>
      <c r="E91" s="18"/>
      <c r="F91" s="18"/>
      <c r="G91" s="18" t="e">
        <f>LOOKUP(F91,BD!C:C,BD!D:D)</f>
        <v>#N/A</v>
      </c>
      <c r="H91" s="19"/>
      <c r="I91" s="19"/>
      <c r="J91" s="19"/>
      <c r="K91" s="19"/>
      <c r="L91" s="20"/>
      <c r="M91" s="20">
        <f t="shared" si="0"/>
        <v>730</v>
      </c>
      <c r="N91" s="21">
        <f t="shared" ca="1" si="1"/>
        <v>-45491.500559837965</v>
      </c>
      <c r="O91" s="22" t="str">
        <f t="shared" ca="1" si="2"/>
        <v>NO CUMPLE</v>
      </c>
      <c r="P91" s="20"/>
      <c r="Q91" s="20">
        <f t="shared" si="3"/>
        <v>730</v>
      </c>
      <c r="R91" s="21">
        <f t="shared" ca="1" si="4"/>
        <v>-45491.500559722219</v>
      </c>
      <c r="S91" s="22" t="str">
        <f t="shared" ca="1" si="5"/>
        <v>NO CUMPLE</v>
      </c>
      <c r="T91" s="20"/>
      <c r="U91" s="20">
        <f t="shared" si="6"/>
        <v>730</v>
      </c>
      <c r="V91" s="21">
        <f t="shared" ca="1" si="7"/>
        <v>-45491.500559837965</v>
      </c>
      <c r="W91" s="22" t="str">
        <f t="shared" ca="1" si="8"/>
        <v>NO CUMPLE</v>
      </c>
      <c r="X91" s="41">
        <v>4</v>
      </c>
      <c r="Y91" s="41">
        <v>3</v>
      </c>
      <c r="Z91" s="41">
        <f t="shared" si="9"/>
        <v>0</v>
      </c>
      <c r="AA91" s="41">
        <f t="shared" ca="1" si="10"/>
        <v>0</v>
      </c>
      <c r="AB91" s="42">
        <f t="shared" ref="AB91:AC91" si="92">Z91/X91</f>
        <v>0</v>
      </c>
      <c r="AC91" s="42">
        <f t="shared" ca="1" si="92"/>
        <v>0</v>
      </c>
      <c r="AD91" s="43">
        <f t="shared" ca="1" si="12"/>
        <v>0</v>
      </c>
      <c r="AE91" s="44"/>
      <c r="AF91" s="44"/>
      <c r="AG91" s="44"/>
      <c r="AH91" s="44"/>
    </row>
    <row r="92" spans="1:34" ht="14.4" x14ac:dyDescent="0.3">
      <c r="A92" s="30"/>
      <c r="B92" s="34"/>
      <c r="C92" s="18" t="e">
        <f>LOOKUP(F92,BD!C:C,BD!A:A)</f>
        <v>#N/A</v>
      </c>
      <c r="D92" s="18" t="e">
        <f>LOOKUP(F92,BD!C:C,BD!B:B)</f>
        <v>#N/A</v>
      </c>
      <c r="E92" s="18"/>
      <c r="F92" s="18"/>
      <c r="G92" s="18" t="e">
        <f>LOOKUP(F92,BD!C:C,BD!D:D)</f>
        <v>#N/A</v>
      </c>
      <c r="H92" s="19"/>
      <c r="I92" s="19"/>
      <c r="J92" s="19"/>
      <c r="K92" s="19"/>
      <c r="L92" s="45"/>
      <c r="M92" s="20">
        <f t="shared" si="0"/>
        <v>730</v>
      </c>
      <c r="N92" s="21">
        <f t="shared" ca="1" si="1"/>
        <v>-45491.500559837965</v>
      </c>
      <c r="O92" s="22" t="str">
        <f t="shared" ca="1" si="2"/>
        <v>NO CUMPLE</v>
      </c>
      <c r="P92" s="20"/>
      <c r="Q92" s="20">
        <f t="shared" si="3"/>
        <v>730</v>
      </c>
      <c r="R92" s="21">
        <f t="shared" ca="1" si="4"/>
        <v>-45491.500559837965</v>
      </c>
      <c r="S92" s="22" t="str">
        <f t="shared" ca="1" si="5"/>
        <v>NO CUMPLE</v>
      </c>
      <c r="T92" s="20"/>
      <c r="U92" s="20">
        <f t="shared" si="6"/>
        <v>730</v>
      </c>
      <c r="V92" s="21">
        <f t="shared" ca="1" si="7"/>
        <v>-45491.500559837965</v>
      </c>
      <c r="W92" s="22" t="str">
        <f t="shared" ca="1" si="8"/>
        <v>NO CUMPLE</v>
      </c>
      <c r="X92" s="41">
        <v>4</v>
      </c>
      <c r="Y92" s="41">
        <v>3</v>
      </c>
      <c r="Z92" s="41">
        <f t="shared" si="9"/>
        <v>0</v>
      </c>
      <c r="AA92" s="41">
        <f t="shared" ca="1" si="10"/>
        <v>0</v>
      </c>
      <c r="AB92" s="42">
        <f t="shared" ref="AB92:AC92" si="93">Z92/X92</f>
        <v>0</v>
      </c>
      <c r="AC92" s="42">
        <f t="shared" ca="1" si="93"/>
        <v>0</v>
      </c>
      <c r="AD92" s="43">
        <f t="shared" ca="1" si="12"/>
        <v>0</v>
      </c>
      <c r="AE92" s="44"/>
      <c r="AF92" s="44"/>
      <c r="AG92" s="44"/>
      <c r="AH92" s="44"/>
    </row>
    <row r="93" spans="1:34" ht="14.4" x14ac:dyDescent="0.3">
      <c r="A93" s="30"/>
      <c r="B93" s="34"/>
      <c r="C93" s="18" t="e">
        <f>LOOKUP(F93,BD!C:C,BD!A:A)</f>
        <v>#N/A</v>
      </c>
      <c r="D93" s="18" t="e">
        <f>LOOKUP(F93,BD!C:C,BD!B:B)</f>
        <v>#N/A</v>
      </c>
      <c r="E93" s="18"/>
      <c r="F93" s="18"/>
      <c r="G93" s="18" t="e">
        <f>LOOKUP(F93,BD!C:C,BD!D:D)</f>
        <v>#N/A</v>
      </c>
      <c r="H93" s="19"/>
      <c r="I93" s="19"/>
      <c r="J93" s="19"/>
      <c r="K93" s="19"/>
      <c r="L93" s="20"/>
      <c r="M93" s="20">
        <f t="shared" si="0"/>
        <v>730</v>
      </c>
      <c r="N93" s="21">
        <f t="shared" ca="1" si="1"/>
        <v>-45491.500559722219</v>
      </c>
      <c r="O93" s="22" t="str">
        <f t="shared" ca="1" si="2"/>
        <v>NO CUMPLE</v>
      </c>
      <c r="P93" s="20"/>
      <c r="Q93" s="20">
        <f t="shared" si="3"/>
        <v>730</v>
      </c>
      <c r="R93" s="21">
        <f t="shared" ca="1" si="4"/>
        <v>-45491.500559837965</v>
      </c>
      <c r="S93" s="22" t="str">
        <f t="shared" ca="1" si="5"/>
        <v>NO CUMPLE</v>
      </c>
      <c r="T93" s="20"/>
      <c r="U93" s="20">
        <f t="shared" si="6"/>
        <v>730</v>
      </c>
      <c r="V93" s="21">
        <f t="shared" ca="1" si="7"/>
        <v>-45491.500559837965</v>
      </c>
      <c r="W93" s="22" t="str">
        <f t="shared" ca="1" si="8"/>
        <v>NO CUMPLE</v>
      </c>
      <c r="X93" s="41">
        <v>4</v>
      </c>
      <c r="Y93" s="41">
        <v>3</v>
      </c>
      <c r="Z93" s="41">
        <f t="shared" si="9"/>
        <v>0</v>
      </c>
      <c r="AA93" s="41">
        <f t="shared" ca="1" si="10"/>
        <v>0</v>
      </c>
      <c r="AB93" s="42">
        <f t="shared" ref="AB93:AC93" si="94">Z93/X93</f>
        <v>0</v>
      </c>
      <c r="AC93" s="42">
        <f t="shared" ca="1" si="94"/>
        <v>0</v>
      </c>
      <c r="AD93" s="43">
        <f t="shared" ca="1" si="12"/>
        <v>0</v>
      </c>
      <c r="AE93" s="44"/>
      <c r="AF93" s="44"/>
      <c r="AG93" s="44"/>
      <c r="AH93" s="44"/>
    </row>
    <row r="94" spans="1:34" ht="14.4" x14ac:dyDescent="0.3">
      <c r="A94" s="30"/>
      <c r="B94" s="34"/>
      <c r="C94" s="18" t="e">
        <f>LOOKUP(F94,BD!C:C,BD!A:A)</f>
        <v>#N/A</v>
      </c>
      <c r="D94" s="18" t="e">
        <f>LOOKUP(F94,BD!C:C,BD!B:B)</f>
        <v>#N/A</v>
      </c>
      <c r="E94" s="18"/>
      <c r="F94" s="18"/>
      <c r="G94" s="18" t="e">
        <f>LOOKUP(F94,BD!C:C,BD!D:D)</f>
        <v>#N/A</v>
      </c>
      <c r="H94" s="19"/>
      <c r="I94" s="19"/>
      <c r="J94" s="19"/>
      <c r="K94" s="19"/>
      <c r="L94" s="20"/>
      <c r="M94" s="20">
        <f t="shared" si="0"/>
        <v>730</v>
      </c>
      <c r="N94" s="21">
        <f t="shared" ca="1" si="1"/>
        <v>-45491.500559837965</v>
      </c>
      <c r="O94" s="22" t="str">
        <f t="shared" ca="1" si="2"/>
        <v>NO CUMPLE</v>
      </c>
      <c r="P94" s="20"/>
      <c r="Q94" s="20">
        <f t="shared" si="3"/>
        <v>730</v>
      </c>
      <c r="R94" s="21">
        <f t="shared" ca="1" si="4"/>
        <v>-45491.500559837965</v>
      </c>
      <c r="S94" s="22" t="str">
        <f t="shared" ca="1" si="5"/>
        <v>NO CUMPLE</v>
      </c>
      <c r="T94" s="20"/>
      <c r="U94" s="20">
        <f t="shared" si="6"/>
        <v>730</v>
      </c>
      <c r="V94" s="21">
        <f t="shared" ca="1" si="7"/>
        <v>-45491.500559837965</v>
      </c>
      <c r="W94" s="22" t="str">
        <f t="shared" ca="1" si="8"/>
        <v>NO CUMPLE</v>
      </c>
      <c r="X94" s="41">
        <v>4</v>
      </c>
      <c r="Y94" s="41">
        <v>3</v>
      </c>
      <c r="Z94" s="41">
        <f t="shared" si="9"/>
        <v>0</v>
      </c>
      <c r="AA94" s="41">
        <f t="shared" ca="1" si="10"/>
        <v>0</v>
      </c>
      <c r="AB94" s="42">
        <f t="shared" ref="AB94:AC94" si="95">Z94/X94</f>
        <v>0</v>
      </c>
      <c r="AC94" s="42">
        <f t="shared" ca="1" si="95"/>
        <v>0</v>
      </c>
      <c r="AD94" s="43">
        <f t="shared" ca="1" si="12"/>
        <v>0</v>
      </c>
      <c r="AE94" s="44"/>
      <c r="AF94" s="44"/>
      <c r="AG94" s="44"/>
      <c r="AH94" s="44"/>
    </row>
    <row r="95" spans="1:34" ht="14.4" x14ac:dyDescent="0.3">
      <c r="A95" s="30"/>
      <c r="B95" s="34"/>
      <c r="C95" s="18" t="e">
        <f>LOOKUP(F95,BD!C:C,BD!A:A)</f>
        <v>#N/A</v>
      </c>
      <c r="D95" s="18" t="e">
        <f>LOOKUP(F95,BD!C:C,BD!B:B)</f>
        <v>#N/A</v>
      </c>
      <c r="E95" s="18"/>
      <c r="F95" s="18"/>
      <c r="G95" s="18" t="e">
        <f>LOOKUP(F95,BD!C:C,BD!D:D)</f>
        <v>#N/A</v>
      </c>
      <c r="H95" s="19"/>
      <c r="I95" s="19"/>
      <c r="J95" s="19"/>
      <c r="K95" s="19"/>
      <c r="L95" s="20"/>
      <c r="M95" s="20">
        <f t="shared" si="0"/>
        <v>730</v>
      </c>
      <c r="N95" s="21">
        <f t="shared" ca="1" si="1"/>
        <v>-45491.500559837965</v>
      </c>
      <c r="O95" s="22" t="str">
        <f t="shared" ca="1" si="2"/>
        <v>NO CUMPLE</v>
      </c>
      <c r="P95" s="20"/>
      <c r="Q95" s="20">
        <f t="shared" si="3"/>
        <v>730</v>
      </c>
      <c r="R95" s="21">
        <f t="shared" ca="1" si="4"/>
        <v>-45491.500559837965</v>
      </c>
      <c r="S95" s="22" t="str">
        <f t="shared" ca="1" si="5"/>
        <v>NO CUMPLE</v>
      </c>
      <c r="T95" s="20"/>
      <c r="U95" s="20">
        <f t="shared" si="6"/>
        <v>730</v>
      </c>
      <c r="V95" s="21">
        <f t="shared" ca="1" si="7"/>
        <v>-45491.500559837965</v>
      </c>
      <c r="W95" s="22" t="str">
        <f t="shared" ca="1" si="8"/>
        <v>NO CUMPLE</v>
      </c>
      <c r="X95" s="41">
        <v>4</v>
      </c>
      <c r="Y95" s="41">
        <v>3</v>
      </c>
      <c r="Z95" s="41">
        <f t="shared" si="9"/>
        <v>0</v>
      </c>
      <c r="AA95" s="41">
        <f t="shared" ca="1" si="10"/>
        <v>0</v>
      </c>
      <c r="AB95" s="42">
        <f t="shared" ref="AB95:AC95" si="96">Z95/X95</f>
        <v>0</v>
      </c>
      <c r="AC95" s="42">
        <f t="shared" ca="1" si="96"/>
        <v>0</v>
      </c>
      <c r="AD95" s="43">
        <f t="shared" ca="1" si="12"/>
        <v>0</v>
      </c>
      <c r="AE95" s="44"/>
      <c r="AF95" s="44"/>
      <c r="AG95" s="44"/>
      <c r="AH95" s="44"/>
    </row>
    <row r="96" spans="1:34" ht="14.4" x14ac:dyDescent="0.3">
      <c r="A96" s="30"/>
      <c r="B96" s="34"/>
      <c r="C96" s="18" t="e">
        <f>LOOKUP(F96,BD!C:C,BD!A:A)</f>
        <v>#N/A</v>
      </c>
      <c r="D96" s="18" t="e">
        <f>LOOKUP(F96,BD!C:C,BD!B:B)</f>
        <v>#N/A</v>
      </c>
      <c r="E96" s="18"/>
      <c r="F96" s="18"/>
      <c r="G96" s="18" t="e">
        <f>LOOKUP(F96,BD!C:C,BD!D:D)</f>
        <v>#N/A</v>
      </c>
      <c r="H96" s="19"/>
      <c r="I96" s="19"/>
      <c r="J96" s="19"/>
      <c r="K96" s="19"/>
      <c r="L96" s="20"/>
      <c r="M96" s="20">
        <f t="shared" si="0"/>
        <v>730</v>
      </c>
      <c r="N96" s="21">
        <f t="shared" ca="1" si="1"/>
        <v>-45491.500559837965</v>
      </c>
      <c r="O96" s="22" t="str">
        <f t="shared" ca="1" si="2"/>
        <v>NO CUMPLE</v>
      </c>
      <c r="P96" s="20"/>
      <c r="Q96" s="20">
        <f t="shared" si="3"/>
        <v>730</v>
      </c>
      <c r="R96" s="21">
        <f t="shared" ca="1" si="4"/>
        <v>-45491.500559837965</v>
      </c>
      <c r="S96" s="22" t="str">
        <f t="shared" ca="1" si="5"/>
        <v>NO CUMPLE</v>
      </c>
      <c r="T96" s="20"/>
      <c r="U96" s="20">
        <f t="shared" si="6"/>
        <v>730</v>
      </c>
      <c r="V96" s="21">
        <f t="shared" ca="1" si="7"/>
        <v>-45491.500559837965</v>
      </c>
      <c r="W96" s="22" t="str">
        <f t="shared" ca="1" si="8"/>
        <v>NO CUMPLE</v>
      </c>
      <c r="X96" s="41">
        <v>4</v>
      </c>
      <c r="Y96" s="41">
        <v>3</v>
      </c>
      <c r="Z96" s="41">
        <f t="shared" si="9"/>
        <v>0</v>
      </c>
      <c r="AA96" s="41">
        <f t="shared" ca="1" si="10"/>
        <v>0</v>
      </c>
      <c r="AB96" s="42">
        <f t="shared" ref="AB96:AC96" si="97">Z96/X96</f>
        <v>0</v>
      </c>
      <c r="AC96" s="42">
        <f t="shared" ca="1" si="97"/>
        <v>0</v>
      </c>
      <c r="AD96" s="43">
        <f t="shared" ca="1" si="12"/>
        <v>0</v>
      </c>
      <c r="AE96" s="44"/>
      <c r="AF96" s="44"/>
      <c r="AG96" s="44"/>
      <c r="AH96" s="44"/>
    </row>
    <row r="97" spans="1:34" ht="14.4" x14ac:dyDescent="0.3">
      <c r="A97" s="30"/>
      <c r="B97" s="34"/>
      <c r="C97" s="18" t="e">
        <f>LOOKUP(F97,BD!C:C,BD!A:A)</f>
        <v>#N/A</v>
      </c>
      <c r="D97" s="18" t="e">
        <f>LOOKUP(F97,BD!C:C,BD!B:B)</f>
        <v>#N/A</v>
      </c>
      <c r="E97" s="18"/>
      <c r="F97" s="18"/>
      <c r="G97" s="18" t="e">
        <f>LOOKUP(F97,BD!C:C,BD!D:D)</f>
        <v>#N/A</v>
      </c>
      <c r="H97" s="19"/>
      <c r="I97" s="19"/>
      <c r="J97" s="19"/>
      <c r="K97" s="19"/>
      <c r="L97" s="20"/>
      <c r="M97" s="20">
        <f t="shared" si="0"/>
        <v>730</v>
      </c>
      <c r="N97" s="21">
        <f t="shared" ca="1" si="1"/>
        <v>-45491.500559837965</v>
      </c>
      <c r="O97" s="22" t="str">
        <f t="shared" ca="1" si="2"/>
        <v>NO CUMPLE</v>
      </c>
      <c r="P97" s="20"/>
      <c r="Q97" s="20">
        <f t="shared" si="3"/>
        <v>730</v>
      </c>
      <c r="R97" s="21">
        <f t="shared" ca="1" si="4"/>
        <v>-45491.500559837965</v>
      </c>
      <c r="S97" s="22" t="str">
        <f t="shared" ca="1" si="5"/>
        <v>NO CUMPLE</v>
      </c>
      <c r="T97" s="20"/>
      <c r="U97" s="20">
        <f t="shared" si="6"/>
        <v>730</v>
      </c>
      <c r="V97" s="21">
        <f t="shared" ca="1" si="7"/>
        <v>-45491.500559837965</v>
      </c>
      <c r="W97" s="22" t="str">
        <f t="shared" ca="1" si="8"/>
        <v>NO CUMPLE</v>
      </c>
      <c r="X97" s="41">
        <v>4</v>
      </c>
      <c r="Y97" s="41">
        <v>3</v>
      </c>
      <c r="Z97" s="41">
        <f t="shared" si="9"/>
        <v>0</v>
      </c>
      <c r="AA97" s="41">
        <f t="shared" ca="1" si="10"/>
        <v>0</v>
      </c>
      <c r="AB97" s="42">
        <f t="shared" ref="AB97:AC97" si="98">Z97/X97</f>
        <v>0</v>
      </c>
      <c r="AC97" s="42">
        <f t="shared" ca="1" si="98"/>
        <v>0</v>
      </c>
      <c r="AD97" s="43">
        <f t="shared" ca="1" si="12"/>
        <v>0</v>
      </c>
      <c r="AE97" s="44"/>
      <c r="AF97" s="44"/>
      <c r="AG97" s="44"/>
      <c r="AH97" s="44"/>
    </row>
    <row r="98" spans="1:34" ht="14.4" x14ac:dyDescent="0.3">
      <c r="A98" s="30"/>
      <c r="B98" s="34"/>
      <c r="C98" s="18" t="e">
        <f>LOOKUP(F98,BD!C:C,BD!A:A)</f>
        <v>#N/A</v>
      </c>
      <c r="D98" s="18" t="e">
        <f>LOOKUP(F98,BD!C:C,BD!B:B)</f>
        <v>#N/A</v>
      </c>
      <c r="E98" s="18"/>
      <c r="F98" s="18"/>
      <c r="G98" s="18" t="e">
        <f>LOOKUP(F98,BD!C:C,BD!D:D)</f>
        <v>#N/A</v>
      </c>
      <c r="H98" s="19"/>
      <c r="I98" s="19"/>
      <c r="J98" s="19"/>
      <c r="K98" s="19"/>
      <c r="L98" s="20"/>
      <c r="M98" s="20">
        <f t="shared" si="0"/>
        <v>730</v>
      </c>
      <c r="N98" s="21">
        <f t="shared" ca="1" si="1"/>
        <v>-45491.500559722219</v>
      </c>
      <c r="O98" s="22" t="str">
        <f t="shared" ca="1" si="2"/>
        <v>NO CUMPLE</v>
      </c>
      <c r="P98" s="20"/>
      <c r="Q98" s="20">
        <f t="shared" si="3"/>
        <v>730</v>
      </c>
      <c r="R98" s="21">
        <f t="shared" ca="1" si="4"/>
        <v>-45491.500559837965</v>
      </c>
      <c r="S98" s="22" t="str">
        <f t="shared" ca="1" si="5"/>
        <v>NO CUMPLE</v>
      </c>
      <c r="T98" s="20"/>
      <c r="U98" s="20">
        <f t="shared" si="6"/>
        <v>730</v>
      </c>
      <c r="V98" s="21">
        <f t="shared" ca="1" si="7"/>
        <v>-45491.500559722219</v>
      </c>
      <c r="W98" s="22" t="str">
        <f t="shared" ca="1" si="8"/>
        <v>NO CUMPLE</v>
      </c>
      <c r="X98" s="41">
        <v>4</v>
      </c>
      <c r="Y98" s="41">
        <v>3</v>
      </c>
      <c r="Z98" s="41">
        <f t="shared" si="9"/>
        <v>0</v>
      </c>
      <c r="AA98" s="41">
        <f t="shared" ca="1" si="10"/>
        <v>0</v>
      </c>
      <c r="AB98" s="42">
        <f t="shared" ref="AB98:AC98" si="99">Z98/X98</f>
        <v>0</v>
      </c>
      <c r="AC98" s="42">
        <f t="shared" ca="1" si="99"/>
        <v>0</v>
      </c>
      <c r="AD98" s="43">
        <f t="shared" ca="1" si="12"/>
        <v>0</v>
      </c>
      <c r="AE98" s="44"/>
      <c r="AF98" s="44"/>
      <c r="AG98" s="44"/>
      <c r="AH98" s="44"/>
    </row>
    <row r="99" spans="1:34" ht="14.4" x14ac:dyDescent="0.3">
      <c r="A99" s="30"/>
      <c r="B99" s="34"/>
      <c r="C99" s="18" t="e">
        <f>LOOKUP(F99,BD!C:C,BD!A:A)</f>
        <v>#N/A</v>
      </c>
      <c r="D99" s="18" t="e">
        <f>LOOKUP(F99,BD!C:C,BD!B:B)</f>
        <v>#N/A</v>
      </c>
      <c r="E99" s="18"/>
      <c r="F99" s="18"/>
      <c r="G99" s="18" t="e">
        <f>LOOKUP(F99,BD!C:C,BD!D:D)</f>
        <v>#N/A</v>
      </c>
      <c r="H99" s="19"/>
      <c r="I99" s="19"/>
      <c r="J99" s="19"/>
      <c r="K99" s="19"/>
      <c r="L99" s="20"/>
      <c r="M99" s="20">
        <f t="shared" si="0"/>
        <v>730</v>
      </c>
      <c r="N99" s="21">
        <f t="shared" ca="1" si="1"/>
        <v>-45491.500559837965</v>
      </c>
      <c r="O99" s="22" t="str">
        <f t="shared" ca="1" si="2"/>
        <v>NO CUMPLE</v>
      </c>
      <c r="P99" s="20"/>
      <c r="Q99" s="20">
        <f t="shared" si="3"/>
        <v>730</v>
      </c>
      <c r="R99" s="21">
        <f t="shared" ca="1" si="4"/>
        <v>-45491.500559837965</v>
      </c>
      <c r="S99" s="22" t="str">
        <f t="shared" ca="1" si="5"/>
        <v>NO CUMPLE</v>
      </c>
      <c r="T99" s="20"/>
      <c r="U99" s="20">
        <f t="shared" si="6"/>
        <v>730</v>
      </c>
      <c r="V99" s="21">
        <f t="shared" ca="1" si="7"/>
        <v>-45491.500559837965</v>
      </c>
      <c r="W99" s="22" t="str">
        <f t="shared" ca="1" si="8"/>
        <v>NO CUMPLE</v>
      </c>
      <c r="X99" s="41">
        <v>4</v>
      </c>
      <c r="Y99" s="41">
        <v>3</v>
      </c>
      <c r="Z99" s="41">
        <f t="shared" si="9"/>
        <v>0</v>
      </c>
      <c r="AA99" s="41">
        <f t="shared" ca="1" si="10"/>
        <v>0</v>
      </c>
      <c r="AB99" s="42">
        <f t="shared" ref="AB99:AC99" si="100">Z99/X99</f>
        <v>0</v>
      </c>
      <c r="AC99" s="42">
        <f t="shared" ca="1" si="100"/>
        <v>0</v>
      </c>
      <c r="AD99" s="43">
        <f t="shared" ca="1" si="12"/>
        <v>0</v>
      </c>
      <c r="AE99" s="44"/>
      <c r="AF99" s="44"/>
      <c r="AG99" s="44"/>
      <c r="AH99" s="44"/>
    </row>
    <row r="100" spans="1:34" ht="14.4" x14ac:dyDescent="0.3">
      <c r="A100" s="30"/>
      <c r="B100" s="34"/>
      <c r="C100" s="18" t="e">
        <f>LOOKUP(F100,BD!C:C,BD!A:A)</f>
        <v>#N/A</v>
      </c>
      <c r="D100" s="18" t="e">
        <f>LOOKUP(F100,BD!C:C,BD!B:B)</f>
        <v>#N/A</v>
      </c>
      <c r="E100" s="18"/>
      <c r="F100" s="18"/>
      <c r="G100" s="18" t="e">
        <f>LOOKUP(F100,BD!C:C,BD!D:D)</f>
        <v>#N/A</v>
      </c>
      <c r="H100" s="19"/>
      <c r="I100" s="19"/>
      <c r="J100" s="19"/>
      <c r="K100" s="19"/>
      <c r="L100" s="20"/>
      <c r="M100" s="20">
        <f t="shared" si="0"/>
        <v>730</v>
      </c>
      <c r="N100" s="21">
        <f t="shared" ca="1" si="1"/>
        <v>-45491.500559837965</v>
      </c>
      <c r="O100" s="22" t="str">
        <f t="shared" ca="1" si="2"/>
        <v>NO CUMPLE</v>
      </c>
      <c r="P100" s="20"/>
      <c r="Q100" s="20">
        <f t="shared" si="3"/>
        <v>730</v>
      </c>
      <c r="R100" s="21">
        <f t="shared" ca="1" si="4"/>
        <v>-45491.500559722219</v>
      </c>
      <c r="S100" s="22" t="str">
        <f t="shared" ca="1" si="5"/>
        <v>NO CUMPLE</v>
      </c>
      <c r="T100" s="20"/>
      <c r="U100" s="20">
        <f t="shared" si="6"/>
        <v>730</v>
      </c>
      <c r="V100" s="21">
        <f t="shared" ca="1" si="7"/>
        <v>-45491.500559837965</v>
      </c>
      <c r="W100" s="22" t="str">
        <f t="shared" ca="1" si="8"/>
        <v>NO CUMPLE</v>
      </c>
      <c r="X100" s="41">
        <v>4</v>
      </c>
      <c r="Y100" s="41">
        <v>3</v>
      </c>
      <c r="Z100" s="41">
        <f t="shared" si="9"/>
        <v>0</v>
      </c>
      <c r="AA100" s="41">
        <f t="shared" ca="1" si="10"/>
        <v>0</v>
      </c>
      <c r="AB100" s="42">
        <f t="shared" ref="AB100:AC100" si="101">Z100/X100</f>
        <v>0</v>
      </c>
      <c r="AC100" s="42">
        <f t="shared" ca="1" si="101"/>
        <v>0</v>
      </c>
      <c r="AD100" s="43">
        <f t="shared" ca="1" si="12"/>
        <v>0</v>
      </c>
      <c r="AE100" s="44"/>
      <c r="AF100" s="44"/>
      <c r="AG100" s="44"/>
      <c r="AH100" s="44"/>
    </row>
    <row r="101" spans="1:34" ht="14.4" x14ac:dyDescent="0.3">
      <c r="A101" s="30"/>
      <c r="B101" s="34"/>
      <c r="C101" s="18" t="e">
        <f>LOOKUP(F101,BD!C:C,BD!A:A)</f>
        <v>#N/A</v>
      </c>
      <c r="D101" s="18" t="e">
        <f>LOOKUP(F101,BD!C:C,BD!B:B)</f>
        <v>#N/A</v>
      </c>
      <c r="E101" s="18"/>
      <c r="F101" s="18"/>
      <c r="G101" s="18" t="e">
        <f>LOOKUP(F101,BD!C:C,BD!D:D)</f>
        <v>#N/A</v>
      </c>
      <c r="H101" s="19"/>
      <c r="I101" s="19"/>
      <c r="J101" s="19"/>
      <c r="K101" s="19"/>
      <c r="L101" s="20"/>
      <c r="M101" s="20">
        <f t="shared" si="0"/>
        <v>730</v>
      </c>
      <c r="N101" s="21">
        <f t="shared" ca="1" si="1"/>
        <v>-45491.500559837965</v>
      </c>
      <c r="O101" s="22" t="str">
        <f t="shared" ca="1" si="2"/>
        <v>NO CUMPLE</v>
      </c>
      <c r="P101" s="20"/>
      <c r="Q101" s="20">
        <f t="shared" si="3"/>
        <v>730</v>
      </c>
      <c r="R101" s="21">
        <f t="shared" ca="1" si="4"/>
        <v>-45491.500559837965</v>
      </c>
      <c r="S101" s="22" t="str">
        <f t="shared" ca="1" si="5"/>
        <v>NO CUMPLE</v>
      </c>
      <c r="T101" s="20"/>
      <c r="U101" s="20">
        <f t="shared" si="6"/>
        <v>730</v>
      </c>
      <c r="V101" s="21">
        <f t="shared" ca="1" si="7"/>
        <v>-45491.500559837965</v>
      </c>
      <c r="W101" s="22" t="str">
        <f t="shared" ca="1" si="8"/>
        <v>NO CUMPLE</v>
      </c>
      <c r="X101" s="41">
        <v>4</v>
      </c>
      <c r="Y101" s="41">
        <v>3</v>
      </c>
      <c r="Z101" s="41">
        <f t="shared" si="9"/>
        <v>0</v>
      </c>
      <c r="AA101" s="41">
        <f t="shared" ca="1" si="10"/>
        <v>0</v>
      </c>
      <c r="AB101" s="42">
        <f t="shared" ref="AB101:AC101" si="102">Z101/X101</f>
        <v>0</v>
      </c>
      <c r="AC101" s="42">
        <f t="shared" ca="1" si="102"/>
        <v>0</v>
      </c>
      <c r="AD101" s="43">
        <f t="shared" ca="1" si="12"/>
        <v>0</v>
      </c>
      <c r="AE101" s="44"/>
      <c r="AF101" s="44"/>
      <c r="AG101" s="44"/>
      <c r="AH101" s="44"/>
    </row>
    <row r="102" spans="1:34" ht="14.4" x14ac:dyDescent="0.3">
      <c r="A102" s="30"/>
      <c r="B102" s="34"/>
      <c r="C102" s="18" t="e">
        <f>LOOKUP(F102,BD!C:C,BD!A:A)</f>
        <v>#N/A</v>
      </c>
      <c r="D102" s="18" t="e">
        <f>LOOKUP(F102,BD!C:C,BD!B:B)</f>
        <v>#N/A</v>
      </c>
      <c r="E102" s="18"/>
      <c r="F102" s="18"/>
      <c r="G102" s="18" t="e">
        <f>LOOKUP(F102,BD!C:C,BD!D:D)</f>
        <v>#N/A</v>
      </c>
      <c r="H102" s="19"/>
      <c r="I102" s="19"/>
      <c r="J102" s="19"/>
      <c r="K102" s="19"/>
      <c r="L102" s="20"/>
      <c r="M102" s="20">
        <f t="shared" si="0"/>
        <v>730</v>
      </c>
      <c r="N102" s="21">
        <f t="shared" ca="1" si="1"/>
        <v>-45491.500559837965</v>
      </c>
      <c r="O102" s="22" t="str">
        <f t="shared" ca="1" si="2"/>
        <v>NO CUMPLE</v>
      </c>
      <c r="P102" s="20"/>
      <c r="Q102" s="20">
        <f t="shared" si="3"/>
        <v>730</v>
      </c>
      <c r="R102" s="21">
        <f t="shared" ca="1" si="4"/>
        <v>-45491.500559837965</v>
      </c>
      <c r="S102" s="22" t="str">
        <f t="shared" ca="1" si="5"/>
        <v>NO CUMPLE</v>
      </c>
      <c r="T102" s="20"/>
      <c r="U102" s="20">
        <f t="shared" si="6"/>
        <v>730</v>
      </c>
      <c r="V102" s="21">
        <f t="shared" ca="1" si="7"/>
        <v>-45491.500559837965</v>
      </c>
      <c r="W102" s="22" t="str">
        <f t="shared" ca="1" si="8"/>
        <v>NO CUMPLE</v>
      </c>
      <c r="X102" s="41">
        <v>4</v>
      </c>
      <c r="Y102" s="41">
        <v>3</v>
      </c>
      <c r="Z102" s="41">
        <f t="shared" si="9"/>
        <v>0</v>
      </c>
      <c r="AA102" s="41">
        <f t="shared" ca="1" si="10"/>
        <v>0</v>
      </c>
      <c r="AB102" s="42">
        <f t="shared" ref="AB102:AC102" si="103">Z102/X102</f>
        <v>0</v>
      </c>
      <c r="AC102" s="42">
        <f t="shared" ca="1" si="103"/>
        <v>0</v>
      </c>
      <c r="AD102" s="43">
        <f t="shared" ca="1" si="12"/>
        <v>0</v>
      </c>
      <c r="AE102" s="44"/>
      <c r="AF102" s="44"/>
      <c r="AG102" s="44"/>
      <c r="AH102" s="44"/>
    </row>
    <row r="103" spans="1:34" ht="14.4" x14ac:dyDescent="0.3">
      <c r="A103" s="30"/>
      <c r="B103" s="34"/>
      <c r="C103" s="18" t="e">
        <f>LOOKUP(F103,BD!C:C,BD!A:A)</f>
        <v>#N/A</v>
      </c>
      <c r="D103" s="18" t="e">
        <f>LOOKUP(F103,BD!C:C,BD!B:B)</f>
        <v>#N/A</v>
      </c>
      <c r="E103" s="18"/>
      <c r="F103" s="18"/>
      <c r="G103" s="18" t="e">
        <f>LOOKUP(F103,BD!C:C,BD!D:D)</f>
        <v>#N/A</v>
      </c>
      <c r="H103" s="19"/>
      <c r="I103" s="19"/>
      <c r="J103" s="19"/>
      <c r="K103" s="19"/>
      <c r="L103" s="20"/>
      <c r="M103" s="20">
        <f t="shared" si="0"/>
        <v>730</v>
      </c>
      <c r="N103" s="21">
        <f t="shared" ca="1" si="1"/>
        <v>-45491.500559837965</v>
      </c>
      <c r="O103" s="22" t="str">
        <f t="shared" ca="1" si="2"/>
        <v>NO CUMPLE</v>
      </c>
      <c r="P103" s="20"/>
      <c r="Q103" s="20">
        <f t="shared" si="3"/>
        <v>730</v>
      </c>
      <c r="R103" s="21">
        <f t="shared" ca="1" si="4"/>
        <v>-45491.500559837965</v>
      </c>
      <c r="S103" s="22" t="str">
        <f t="shared" ca="1" si="5"/>
        <v>NO CUMPLE</v>
      </c>
      <c r="T103" s="20"/>
      <c r="U103" s="20">
        <f t="shared" si="6"/>
        <v>730</v>
      </c>
      <c r="V103" s="21">
        <f t="shared" ca="1" si="7"/>
        <v>-45491.500559722219</v>
      </c>
      <c r="W103" s="22" t="str">
        <f t="shared" ca="1" si="8"/>
        <v>NO CUMPLE</v>
      </c>
      <c r="X103" s="41">
        <v>4</v>
      </c>
      <c r="Y103" s="41">
        <v>3</v>
      </c>
      <c r="Z103" s="41">
        <f t="shared" si="9"/>
        <v>0</v>
      </c>
      <c r="AA103" s="41">
        <f t="shared" ca="1" si="10"/>
        <v>0</v>
      </c>
      <c r="AB103" s="42">
        <f t="shared" ref="AB103:AC103" si="104">Z103/X103</f>
        <v>0</v>
      </c>
      <c r="AC103" s="42">
        <f t="shared" ca="1" si="104"/>
        <v>0</v>
      </c>
      <c r="AD103" s="43">
        <f t="shared" ca="1" si="12"/>
        <v>0</v>
      </c>
      <c r="AE103" s="44"/>
      <c r="AF103" s="44"/>
      <c r="AG103" s="44"/>
      <c r="AH103" s="44"/>
    </row>
    <row r="104" spans="1:34" ht="14.4" x14ac:dyDescent="0.3">
      <c r="A104" s="30"/>
      <c r="B104" s="34"/>
      <c r="C104" s="18" t="e">
        <f>LOOKUP(F104,BD!C:C,BD!A:A)</f>
        <v>#N/A</v>
      </c>
      <c r="D104" s="18" t="e">
        <f>LOOKUP(F104,BD!C:C,BD!B:B)</f>
        <v>#N/A</v>
      </c>
      <c r="E104" s="18"/>
      <c r="F104" s="18"/>
      <c r="G104" s="18" t="e">
        <f>LOOKUP(F104,BD!C:C,BD!D:D)</f>
        <v>#N/A</v>
      </c>
      <c r="H104" s="19"/>
      <c r="I104" s="19"/>
      <c r="J104" s="19"/>
      <c r="K104" s="19"/>
      <c r="L104" s="20"/>
      <c r="M104" s="20">
        <f t="shared" si="0"/>
        <v>730</v>
      </c>
      <c r="N104" s="21">
        <f t="shared" ca="1" si="1"/>
        <v>-45491.500559837965</v>
      </c>
      <c r="O104" s="22" t="str">
        <f t="shared" ca="1" si="2"/>
        <v>NO CUMPLE</v>
      </c>
      <c r="P104" s="20"/>
      <c r="Q104" s="20">
        <f t="shared" si="3"/>
        <v>730</v>
      </c>
      <c r="R104" s="21">
        <f t="shared" ca="1" si="4"/>
        <v>-45491.500559837965</v>
      </c>
      <c r="S104" s="22" t="str">
        <f t="shared" ca="1" si="5"/>
        <v>NO CUMPLE</v>
      </c>
      <c r="T104" s="20"/>
      <c r="U104" s="20">
        <f t="shared" si="6"/>
        <v>730</v>
      </c>
      <c r="V104" s="21">
        <f t="shared" ca="1" si="7"/>
        <v>-45491.500559837965</v>
      </c>
      <c r="W104" s="22" t="str">
        <f t="shared" ca="1" si="8"/>
        <v>NO CUMPLE</v>
      </c>
      <c r="X104" s="41">
        <v>4</v>
      </c>
      <c r="Y104" s="41">
        <v>3</v>
      </c>
      <c r="Z104" s="41">
        <f t="shared" si="9"/>
        <v>0</v>
      </c>
      <c r="AA104" s="41">
        <f t="shared" ca="1" si="10"/>
        <v>0</v>
      </c>
      <c r="AB104" s="42">
        <f t="shared" ref="AB104:AC104" si="105">Z104/X104</f>
        <v>0</v>
      </c>
      <c r="AC104" s="42">
        <f t="shared" ca="1" si="105"/>
        <v>0</v>
      </c>
      <c r="AD104" s="43">
        <f t="shared" ca="1" si="12"/>
        <v>0</v>
      </c>
      <c r="AE104" s="44"/>
      <c r="AF104" s="44"/>
      <c r="AG104" s="44"/>
      <c r="AH104" s="44"/>
    </row>
    <row r="105" spans="1:34" ht="14.4" x14ac:dyDescent="0.3">
      <c r="A105" s="30"/>
      <c r="B105" s="34"/>
      <c r="C105" s="18" t="e">
        <f>LOOKUP(F105,BD!C:C,BD!A:A)</f>
        <v>#N/A</v>
      </c>
      <c r="D105" s="18" t="e">
        <f>LOOKUP(F105,BD!C:C,BD!B:B)</f>
        <v>#N/A</v>
      </c>
      <c r="E105" s="18"/>
      <c r="F105" s="18"/>
      <c r="G105" s="18" t="e">
        <f>LOOKUP(F105,BD!C:C,BD!D:D)</f>
        <v>#N/A</v>
      </c>
      <c r="H105" s="19"/>
      <c r="I105" s="19"/>
      <c r="J105" s="19"/>
      <c r="K105" s="19"/>
      <c r="L105" s="20"/>
      <c r="M105" s="20">
        <f t="shared" si="0"/>
        <v>730</v>
      </c>
      <c r="N105" s="21">
        <f t="shared" ca="1" si="1"/>
        <v>-45491.500559722219</v>
      </c>
      <c r="O105" s="22" t="str">
        <f t="shared" ca="1" si="2"/>
        <v>NO CUMPLE</v>
      </c>
      <c r="P105" s="20"/>
      <c r="Q105" s="20">
        <f t="shared" si="3"/>
        <v>730</v>
      </c>
      <c r="R105" s="21">
        <f t="shared" ca="1" si="4"/>
        <v>-45491.500559837965</v>
      </c>
      <c r="S105" s="22" t="str">
        <f t="shared" ca="1" si="5"/>
        <v>NO CUMPLE</v>
      </c>
      <c r="T105" s="20"/>
      <c r="U105" s="20">
        <f t="shared" si="6"/>
        <v>730</v>
      </c>
      <c r="V105" s="21">
        <f t="shared" ca="1" si="7"/>
        <v>-45491.500559837965</v>
      </c>
      <c r="W105" s="22" t="str">
        <f t="shared" ca="1" si="8"/>
        <v>NO CUMPLE</v>
      </c>
      <c r="X105" s="41">
        <v>4</v>
      </c>
      <c r="Y105" s="41">
        <v>3</v>
      </c>
      <c r="Z105" s="41">
        <f t="shared" si="9"/>
        <v>0</v>
      </c>
      <c r="AA105" s="41">
        <f t="shared" ca="1" si="10"/>
        <v>0</v>
      </c>
      <c r="AB105" s="42">
        <f t="shared" ref="AB105:AC105" si="106">Z105/X105</f>
        <v>0</v>
      </c>
      <c r="AC105" s="42">
        <f t="shared" ca="1" si="106"/>
        <v>0</v>
      </c>
      <c r="AD105" s="43">
        <f t="shared" ca="1" si="12"/>
        <v>0</v>
      </c>
      <c r="AE105" s="44"/>
      <c r="AF105" s="44"/>
      <c r="AG105" s="44"/>
      <c r="AH105" s="44"/>
    </row>
    <row r="106" spans="1:34" ht="14.4" x14ac:dyDescent="0.3">
      <c r="A106" s="30"/>
      <c r="B106" s="34"/>
      <c r="C106" s="18" t="e">
        <f>LOOKUP(F106,BD!C:C,BD!A:A)</f>
        <v>#N/A</v>
      </c>
      <c r="D106" s="18" t="e">
        <f>LOOKUP(F106,BD!C:C,BD!B:B)</f>
        <v>#N/A</v>
      </c>
      <c r="E106" s="18"/>
      <c r="F106" s="18"/>
      <c r="G106" s="18" t="e">
        <f>LOOKUP(F106,BD!C:C,BD!D:D)</f>
        <v>#N/A</v>
      </c>
      <c r="H106" s="19"/>
      <c r="I106" s="19"/>
      <c r="J106" s="19"/>
      <c r="K106" s="19"/>
      <c r="L106" s="20"/>
      <c r="M106" s="20">
        <f t="shared" si="0"/>
        <v>730</v>
      </c>
      <c r="N106" s="21">
        <f t="shared" ca="1" si="1"/>
        <v>-45491.500559837965</v>
      </c>
      <c r="O106" s="22" t="str">
        <f t="shared" ca="1" si="2"/>
        <v>NO CUMPLE</v>
      </c>
      <c r="P106" s="20"/>
      <c r="Q106" s="20">
        <f t="shared" si="3"/>
        <v>730</v>
      </c>
      <c r="R106" s="21">
        <f t="shared" ca="1" si="4"/>
        <v>-45491.500559837965</v>
      </c>
      <c r="S106" s="22" t="str">
        <f t="shared" ca="1" si="5"/>
        <v>NO CUMPLE</v>
      </c>
      <c r="T106" s="20"/>
      <c r="U106" s="20">
        <f t="shared" si="6"/>
        <v>730</v>
      </c>
      <c r="V106" s="21">
        <f t="shared" ca="1" si="7"/>
        <v>-45491.500559837965</v>
      </c>
      <c r="W106" s="22" t="str">
        <f t="shared" ca="1" si="8"/>
        <v>NO CUMPLE</v>
      </c>
      <c r="X106" s="41">
        <v>4</v>
      </c>
      <c r="Y106" s="41">
        <v>3</v>
      </c>
      <c r="Z106" s="41">
        <f t="shared" si="9"/>
        <v>0</v>
      </c>
      <c r="AA106" s="41">
        <f t="shared" ca="1" si="10"/>
        <v>0</v>
      </c>
      <c r="AB106" s="42">
        <f t="shared" ref="AB106:AC106" si="107">Z106/X106</f>
        <v>0</v>
      </c>
      <c r="AC106" s="42">
        <f t="shared" ca="1" si="107"/>
        <v>0</v>
      </c>
      <c r="AD106" s="43">
        <f t="shared" ca="1" si="12"/>
        <v>0</v>
      </c>
      <c r="AE106" s="44"/>
      <c r="AF106" s="44"/>
      <c r="AG106" s="44"/>
      <c r="AH106" s="44"/>
    </row>
    <row r="107" spans="1:34" ht="14.4" x14ac:dyDescent="0.3">
      <c r="A107" s="30"/>
      <c r="B107" s="34"/>
      <c r="C107" s="18" t="e">
        <f>LOOKUP(F107,BD!C:C,BD!A:A)</f>
        <v>#N/A</v>
      </c>
      <c r="D107" s="18" t="e">
        <f>LOOKUP(F107,BD!C:C,BD!B:B)</f>
        <v>#N/A</v>
      </c>
      <c r="E107" s="18"/>
      <c r="F107" s="18"/>
      <c r="G107" s="18" t="e">
        <f>LOOKUP(F107,BD!C:C,BD!D:D)</f>
        <v>#N/A</v>
      </c>
      <c r="H107" s="19"/>
      <c r="I107" s="19"/>
      <c r="J107" s="19"/>
      <c r="K107" s="19"/>
      <c r="L107" s="20"/>
      <c r="M107" s="20">
        <f t="shared" si="0"/>
        <v>730</v>
      </c>
      <c r="N107" s="21">
        <f t="shared" ca="1" si="1"/>
        <v>-45491.500559837965</v>
      </c>
      <c r="O107" s="22" t="str">
        <f t="shared" ca="1" si="2"/>
        <v>NO CUMPLE</v>
      </c>
      <c r="P107" s="20"/>
      <c r="Q107" s="20">
        <f t="shared" si="3"/>
        <v>730</v>
      </c>
      <c r="R107" s="21">
        <f t="shared" ca="1" si="4"/>
        <v>-45491.500559837965</v>
      </c>
      <c r="S107" s="22" t="str">
        <f t="shared" ca="1" si="5"/>
        <v>NO CUMPLE</v>
      </c>
      <c r="T107" s="20"/>
      <c r="U107" s="20">
        <f t="shared" si="6"/>
        <v>730</v>
      </c>
      <c r="V107" s="21">
        <f t="shared" ca="1" si="7"/>
        <v>-45491.500559722219</v>
      </c>
      <c r="W107" s="22" t="str">
        <f t="shared" ca="1" si="8"/>
        <v>NO CUMPLE</v>
      </c>
      <c r="X107" s="41">
        <v>4</v>
      </c>
      <c r="Y107" s="41">
        <v>3</v>
      </c>
      <c r="Z107" s="41">
        <f t="shared" si="9"/>
        <v>0</v>
      </c>
      <c r="AA107" s="41">
        <f t="shared" ca="1" si="10"/>
        <v>0</v>
      </c>
      <c r="AB107" s="42">
        <f t="shared" ref="AB107:AC107" si="108">Z107/X107</f>
        <v>0</v>
      </c>
      <c r="AC107" s="42">
        <f t="shared" ca="1" si="108"/>
        <v>0</v>
      </c>
      <c r="AD107" s="43">
        <f t="shared" ca="1" si="12"/>
        <v>0</v>
      </c>
      <c r="AE107" s="44"/>
      <c r="AF107" s="44"/>
      <c r="AG107" s="44"/>
      <c r="AH107" s="44"/>
    </row>
    <row r="108" spans="1:34" ht="14.4" x14ac:dyDescent="0.3">
      <c r="A108" s="30"/>
      <c r="B108" s="34"/>
      <c r="C108" s="18" t="e">
        <f>LOOKUP(F108,BD!C:C,BD!A:A)</f>
        <v>#N/A</v>
      </c>
      <c r="D108" s="18" t="e">
        <f>LOOKUP(F108,BD!C:C,BD!B:B)</f>
        <v>#N/A</v>
      </c>
      <c r="E108" s="18"/>
      <c r="F108" s="18"/>
      <c r="G108" s="18" t="e">
        <f>LOOKUP(F108,BD!C:C,BD!D:D)</f>
        <v>#N/A</v>
      </c>
      <c r="H108" s="19"/>
      <c r="I108" s="19"/>
      <c r="J108" s="19"/>
      <c r="K108" s="19"/>
      <c r="L108" s="20"/>
      <c r="M108" s="20">
        <f t="shared" si="0"/>
        <v>730</v>
      </c>
      <c r="N108" s="21">
        <f t="shared" ca="1" si="1"/>
        <v>-45491.500559837965</v>
      </c>
      <c r="O108" s="22" t="str">
        <f t="shared" ca="1" si="2"/>
        <v>NO CUMPLE</v>
      </c>
      <c r="P108" s="20"/>
      <c r="Q108" s="20">
        <f t="shared" si="3"/>
        <v>730</v>
      </c>
      <c r="R108" s="21">
        <f t="shared" ca="1" si="4"/>
        <v>-45491.500559837965</v>
      </c>
      <c r="S108" s="22" t="str">
        <f t="shared" ca="1" si="5"/>
        <v>NO CUMPLE</v>
      </c>
      <c r="T108" s="20"/>
      <c r="U108" s="20">
        <f t="shared" si="6"/>
        <v>730</v>
      </c>
      <c r="V108" s="21">
        <f t="shared" ca="1" si="7"/>
        <v>-45491.500559837965</v>
      </c>
      <c r="W108" s="22" t="str">
        <f t="shared" ca="1" si="8"/>
        <v>NO CUMPLE</v>
      </c>
      <c r="X108" s="41">
        <v>4</v>
      </c>
      <c r="Y108" s="41">
        <v>3</v>
      </c>
      <c r="Z108" s="41">
        <f t="shared" si="9"/>
        <v>0</v>
      </c>
      <c r="AA108" s="41">
        <f t="shared" ca="1" si="10"/>
        <v>0</v>
      </c>
      <c r="AB108" s="42">
        <f t="shared" ref="AB108:AC108" si="109">Z108/X108</f>
        <v>0</v>
      </c>
      <c r="AC108" s="42">
        <f t="shared" ca="1" si="109"/>
        <v>0</v>
      </c>
      <c r="AD108" s="43">
        <f t="shared" ca="1" si="12"/>
        <v>0</v>
      </c>
      <c r="AE108" s="44"/>
      <c r="AF108" s="44"/>
      <c r="AG108" s="44"/>
      <c r="AH108" s="44"/>
    </row>
    <row r="109" spans="1:34" ht="14.4" x14ac:dyDescent="0.3">
      <c r="A109" s="30"/>
      <c r="B109" s="34"/>
      <c r="C109" s="18" t="e">
        <f>LOOKUP(F109,BD!C:C,BD!A:A)</f>
        <v>#N/A</v>
      </c>
      <c r="D109" s="18" t="e">
        <f>LOOKUP(F109,BD!C:C,BD!B:B)</f>
        <v>#N/A</v>
      </c>
      <c r="E109" s="18"/>
      <c r="F109" s="18"/>
      <c r="G109" s="18" t="e">
        <f>LOOKUP(F109,BD!C:C,BD!D:D)</f>
        <v>#N/A</v>
      </c>
      <c r="H109" s="19"/>
      <c r="I109" s="19"/>
      <c r="J109" s="19"/>
      <c r="K109" s="19"/>
      <c r="L109" s="20"/>
      <c r="M109" s="20">
        <f t="shared" si="0"/>
        <v>730</v>
      </c>
      <c r="N109" s="21">
        <f t="shared" ca="1" si="1"/>
        <v>-45491.500559837965</v>
      </c>
      <c r="O109" s="22" t="str">
        <f t="shared" ca="1" si="2"/>
        <v>NO CUMPLE</v>
      </c>
      <c r="P109" s="20"/>
      <c r="Q109" s="20">
        <f t="shared" si="3"/>
        <v>730</v>
      </c>
      <c r="R109" s="21">
        <f t="shared" ca="1" si="4"/>
        <v>-45491.500559837965</v>
      </c>
      <c r="S109" s="22" t="str">
        <f t="shared" ca="1" si="5"/>
        <v>NO CUMPLE</v>
      </c>
      <c r="T109" s="20"/>
      <c r="U109" s="20">
        <f t="shared" si="6"/>
        <v>730</v>
      </c>
      <c r="V109" s="21">
        <f t="shared" ca="1" si="7"/>
        <v>-45491.500559837965</v>
      </c>
      <c r="W109" s="22" t="str">
        <f t="shared" ca="1" si="8"/>
        <v>NO CUMPLE</v>
      </c>
      <c r="X109" s="41">
        <v>4</v>
      </c>
      <c r="Y109" s="41">
        <v>3</v>
      </c>
      <c r="Z109" s="41">
        <f t="shared" si="9"/>
        <v>0</v>
      </c>
      <c r="AA109" s="41">
        <f t="shared" ca="1" si="10"/>
        <v>0</v>
      </c>
      <c r="AB109" s="42">
        <f t="shared" ref="AB109:AC109" si="110">Z109/X109</f>
        <v>0</v>
      </c>
      <c r="AC109" s="42">
        <f t="shared" ca="1" si="110"/>
        <v>0</v>
      </c>
      <c r="AD109" s="43">
        <f t="shared" ca="1" si="12"/>
        <v>0</v>
      </c>
      <c r="AE109" s="44"/>
      <c r="AF109" s="44"/>
      <c r="AG109" s="44"/>
      <c r="AH109" s="44"/>
    </row>
    <row r="110" spans="1:34" ht="14.4" x14ac:dyDescent="0.3">
      <c r="A110" s="30"/>
      <c r="B110" s="34"/>
      <c r="C110" s="18" t="e">
        <f>LOOKUP(F110,BD!C:C,BD!A:A)</f>
        <v>#N/A</v>
      </c>
      <c r="D110" s="18" t="e">
        <f>LOOKUP(F110,BD!C:C,BD!B:B)</f>
        <v>#N/A</v>
      </c>
      <c r="E110" s="18"/>
      <c r="F110" s="18"/>
      <c r="G110" s="18" t="e">
        <f>LOOKUP(F110,BD!C:C,BD!D:D)</f>
        <v>#N/A</v>
      </c>
      <c r="H110" s="19"/>
      <c r="I110" s="19"/>
      <c r="J110" s="19"/>
      <c r="K110" s="19"/>
      <c r="L110" s="20"/>
      <c r="M110" s="20">
        <f t="shared" si="0"/>
        <v>730</v>
      </c>
      <c r="N110" s="21">
        <f t="shared" ca="1" si="1"/>
        <v>-45491.500559837965</v>
      </c>
      <c r="O110" s="22" t="str">
        <f t="shared" ca="1" si="2"/>
        <v>NO CUMPLE</v>
      </c>
      <c r="P110" s="20"/>
      <c r="Q110" s="20">
        <f t="shared" si="3"/>
        <v>730</v>
      </c>
      <c r="R110" s="21">
        <f t="shared" ca="1" si="4"/>
        <v>-45491.500559837965</v>
      </c>
      <c r="S110" s="22" t="str">
        <f t="shared" ca="1" si="5"/>
        <v>NO CUMPLE</v>
      </c>
      <c r="T110" s="20"/>
      <c r="U110" s="20">
        <f t="shared" si="6"/>
        <v>730</v>
      </c>
      <c r="V110" s="21">
        <f t="shared" ca="1" si="7"/>
        <v>-45491.500559837965</v>
      </c>
      <c r="W110" s="22" t="str">
        <f t="shared" ca="1" si="8"/>
        <v>NO CUMPLE</v>
      </c>
      <c r="X110" s="41">
        <v>4</v>
      </c>
      <c r="Y110" s="41">
        <v>3</v>
      </c>
      <c r="Z110" s="41">
        <f t="shared" si="9"/>
        <v>0</v>
      </c>
      <c r="AA110" s="41">
        <f t="shared" ca="1" si="10"/>
        <v>0</v>
      </c>
      <c r="AB110" s="42">
        <f t="shared" ref="AB110:AC110" si="111">Z110/X110</f>
        <v>0</v>
      </c>
      <c r="AC110" s="42">
        <f t="shared" ca="1" si="111"/>
        <v>0</v>
      </c>
      <c r="AD110" s="43">
        <f t="shared" ca="1" si="12"/>
        <v>0</v>
      </c>
      <c r="AE110" s="44"/>
      <c r="AF110" s="44"/>
      <c r="AG110" s="44"/>
      <c r="AH110" s="44"/>
    </row>
    <row r="111" spans="1:34" ht="14.4" x14ac:dyDescent="0.3">
      <c r="A111" s="30"/>
      <c r="B111" s="34"/>
      <c r="C111" s="18" t="e">
        <f>LOOKUP(F111,BD!C:C,BD!A:A)</f>
        <v>#N/A</v>
      </c>
      <c r="D111" s="18" t="e">
        <f>LOOKUP(F111,BD!C:C,BD!B:B)</f>
        <v>#N/A</v>
      </c>
      <c r="E111" s="18"/>
      <c r="F111" s="18"/>
      <c r="G111" s="18" t="e">
        <f>LOOKUP(F111,BD!C:C,BD!D:D)</f>
        <v>#N/A</v>
      </c>
      <c r="H111" s="19"/>
      <c r="I111" s="19"/>
      <c r="J111" s="19"/>
      <c r="K111" s="19"/>
      <c r="L111" s="20"/>
      <c r="M111" s="20">
        <f t="shared" ref="M111:M117" si="112">L111+730</f>
        <v>730</v>
      </c>
      <c r="N111" s="21">
        <f t="shared" ca="1" si="1"/>
        <v>-45491.500559837965</v>
      </c>
      <c r="O111" s="22" t="str">
        <f t="shared" ref="O111:O117" ca="1" si="113">IF(N111&lt;=16,"NO CUMPLE",IF(N111&gt;=16,"VIGENTE"))</f>
        <v>NO CUMPLE</v>
      </c>
      <c r="P111" s="20"/>
      <c r="Q111" s="20">
        <f t="shared" ref="Q111:Q117" si="114">P111+730</f>
        <v>730</v>
      </c>
      <c r="R111" s="21">
        <f t="shared" ca="1" si="4"/>
        <v>-45491.500559837965</v>
      </c>
      <c r="S111" s="22" t="str">
        <f t="shared" ref="S111:S117" ca="1" si="115">IF(R111&lt;=16,"NO CUMPLE",IF(R111&gt;=16,"VIGENTE"))</f>
        <v>NO CUMPLE</v>
      </c>
      <c r="T111" s="20"/>
      <c r="U111" s="20">
        <f t="shared" ref="U111:U117" si="116">T111+730</f>
        <v>730</v>
      </c>
      <c r="V111" s="21">
        <f t="shared" ca="1" si="7"/>
        <v>-45491.500559837965</v>
      </c>
      <c r="W111" s="22" t="str">
        <f t="shared" ref="W111:W117" ca="1" si="117">IF(V111&lt;=16,"NO CUMPLE",IF(V111&gt;=16,"VIGENTE"))</f>
        <v>NO CUMPLE</v>
      </c>
      <c r="X111" s="41">
        <v>4</v>
      </c>
      <c r="Y111" s="41">
        <v>3</v>
      </c>
      <c r="Z111" s="41">
        <f t="shared" si="9"/>
        <v>0</v>
      </c>
      <c r="AA111" s="41">
        <f t="shared" ca="1" si="10"/>
        <v>0</v>
      </c>
      <c r="AB111" s="42">
        <f t="shared" ref="AB111:AC111" si="118">Z111/X111</f>
        <v>0</v>
      </c>
      <c r="AC111" s="42">
        <f t="shared" ca="1" si="118"/>
        <v>0</v>
      </c>
      <c r="AD111" s="43">
        <f t="shared" ref="AD111:AD117" ca="1" si="119">(Z111+AA111)/7</f>
        <v>0</v>
      </c>
      <c r="AE111" s="44"/>
      <c r="AF111" s="44"/>
      <c r="AG111" s="44"/>
      <c r="AH111" s="44"/>
    </row>
    <row r="112" spans="1:34" ht="14.4" x14ac:dyDescent="0.3">
      <c r="A112" s="30"/>
      <c r="B112" s="34"/>
      <c r="C112" s="18" t="e">
        <f>LOOKUP(F112,BD!C:C,BD!A:A)</f>
        <v>#N/A</v>
      </c>
      <c r="D112" s="18" t="e">
        <f>LOOKUP(F112,BD!C:C,BD!B:B)</f>
        <v>#N/A</v>
      </c>
      <c r="E112" s="18"/>
      <c r="F112" s="18"/>
      <c r="G112" s="18" t="e">
        <f>LOOKUP(F112,BD!C:C,BD!D:D)</f>
        <v>#N/A</v>
      </c>
      <c r="H112" s="19"/>
      <c r="I112" s="19"/>
      <c r="J112" s="19"/>
      <c r="K112" s="19"/>
      <c r="L112" s="20"/>
      <c r="M112" s="20">
        <f t="shared" si="112"/>
        <v>730</v>
      </c>
      <c r="N112" s="21">
        <f t="shared" ca="1" si="1"/>
        <v>-45491.500559837965</v>
      </c>
      <c r="O112" s="22" t="str">
        <f t="shared" ca="1" si="113"/>
        <v>NO CUMPLE</v>
      </c>
      <c r="P112" s="20"/>
      <c r="Q112" s="20">
        <f t="shared" si="114"/>
        <v>730</v>
      </c>
      <c r="R112" s="21">
        <f t="shared" ca="1" si="4"/>
        <v>-45491.500559837965</v>
      </c>
      <c r="S112" s="22" t="str">
        <f t="shared" ca="1" si="115"/>
        <v>NO CUMPLE</v>
      </c>
      <c r="T112" s="20"/>
      <c r="U112" s="20">
        <f t="shared" si="116"/>
        <v>730</v>
      </c>
      <c r="V112" s="21">
        <f t="shared" ca="1" si="7"/>
        <v>-45491.500559837965</v>
      </c>
      <c r="W112" s="22" t="str">
        <f t="shared" ca="1" si="117"/>
        <v>NO CUMPLE</v>
      </c>
      <c r="X112" s="41">
        <v>4</v>
      </c>
      <c r="Y112" s="41">
        <v>3</v>
      </c>
      <c r="Z112" s="41">
        <f t="shared" si="9"/>
        <v>0</v>
      </c>
      <c r="AA112" s="41">
        <f t="shared" ca="1" si="10"/>
        <v>0</v>
      </c>
      <c r="AB112" s="42">
        <f t="shared" ref="AB112:AC112" si="120">Z112/X112</f>
        <v>0</v>
      </c>
      <c r="AC112" s="42">
        <f t="shared" ca="1" si="120"/>
        <v>0</v>
      </c>
      <c r="AD112" s="43">
        <f t="shared" ca="1" si="119"/>
        <v>0</v>
      </c>
      <c r="AE112" s="44"/>
      <c r="AF112" s="44"/>
      <c r="AG112" s="44"/>
      <c r="AH112" s="44"/>
    </row>
    <row r="113" spans="1:34" ht="14.4" x14ac:dyDescent="0.3">
      <c r="A113" s="30"/>
      <c r="B113" s="34"/>
      <c r="C113" s="18" t="e">
        <f>LOOKUP(F113,BD!C:C,BD!A:A)</f>
        <v>#N/A</v>
      </c>
      <c r="D113" s="18" t="e">
        <f>LOOKUP(F113,BD!C:C,BD!B:B)</f>
        <v>#N/A</v>
      </c>
      <c r="E113" s="18"/>
      <c r="F113" s="18"/>
      <c r="G113" s="18" t="e">
        <f>LOOKUP(F113,BD!C:C,BD!D:D)</f>
        <v>#N/A</v>
      </c>
      <c r="H113" s="19"/>
      <c r="I113" s="19"/>
      <c r="J113" s="19"/>
      <c r="K113" s="19"/>
      <c r="L113" s="20"/>
      <c r="M113" s="20">
        <f t="shared" si="112"/>
        <v>730</v>
      </c>
      <c r="N113" s="21">
        <f t="shared" ca="1" si="1"/>
        <v>-45491.500559837965</v>
      </c>
      <c r="O113" s="22" t="str">
        <f t="shared" ca="1" si="113"/>
        <v>NO CUMPLE</v>
      </c>
      <c r="P113" s="20"/>
      <c r="Q113" s="20">
        <f t="shared" si="114"/>
        <v>730</v>
      </c>
      <c r="R113" s="21">
        <f t="shared" ca="1" si="4"/>
        <v>-45491.500559837965</v>
      </c>
      <c r="S113" s="22" t="str">
        <f t="shared" ca="1" si="115"/>
        <v>NO CUMPLE</v>
      </c>
      <c r="T113" s="20"/>
      <c r="U113" s="20">
        <f t="shared" si="116"/>
        <v>730</v>
      </c>
      <c r="V113" s="21">
        <f t="shared" ca="1" si="7"/>
        <v>-45491.500559837965</v>
      </c>
      <c r="W113" s="22" t="str">
        <f t="shared" ca="1" si="117"/>
        <v>NO CUMPLE</v>
      </c>
      <c r="X113" s="41">
        <v>4</v>
      </c>
      <c r="Y113" s="41">
        <v>3</v>
      </c>
      <c r="Z113" s="41">
        <f t="shared" si="9"/>
        <v>0</v>
      </c>
      <c r="AA113" s="41">
        <f t="shared" ca="1" si="10"/>
        <v>0</v>
      </c>
      <c r="AB113" s="42">
        <f t="shared" ref="AB113:AC113" si="121">Z113/X113</f>
        <v>0</v>
      </c>
      <c r="AC113" s="42">
        <f t="shared" ca="1" si="121"/>
        <v>0</v>
      </c>
      <c r="AD113" s="43">
        <f t="shared" ca="1" si="119"/>
        <v>0</v>
      </c>
      <c r="AE113" s="44"/>
      <c r="AF113" s="44"/>
      <c r="AG113" s="44"/>
      <c r="AH113" s="44"/>
    </row>
    <row r="114" spans="1:34" ht="14.4" x14ac:dyDescent="0.3">
      <c r="A114" s="30"/>
      <c r="B114" s="34"/>
      <c r="C114" s="18" t="e">
        <f>LOOKUP(F114,BD!C:C,BD!A:A)</f>
        <v>#N/A</v>
      </c>
      <c r="D114" s="18" t="e">
        <f>LOOKUP(F114,BD!C:C,BD!B:B)</f>
        <v>#N/A</v>
      </c>
      <c r="E114" s="18"/>
      <c r="F114" s="18"/>
      <c r="G114" s="18" t="e">
        <f>LOOKUP(F114,BD!C:C,BD!D:D)</f>
        <v>#N/A</v>
      </c>
      <c r="H114" s="19"/>
      <c r="I114" s="19"/>
      <c r="J114" s="19"/>
      <c r="K114" s="19"/>
      <c r="L114" s="20"/>
      <c r="M114" s="20">
        <f t="shared" si="112"/>
        <v>730</v>
      </c>
      <c r="N114" s="21">
        <f t="shared" ca="1" si="1"/>
        <v>-45491.500559837965</v>
      </c>
      <c r="O114" s="22" t="str">
        <f t="shared" ca="1" si="113"/>
        <v>NO CUMPLE</v>
      </c>
      <c r="P114" s="20"/>
      <c r="Q114" s="20">
        <f t="shared" si="114"/>
        <v>730</v>
      </c>
      <c r="R114" s="21">
        <f t="shared" ca="1" si="4"/>
        <v>-45491.500559722219</v>
      </c>
      <c r="S114" s="22" t="str">
        <f t="shared" ca="1" si="115"/>
        <v>NO CUMPLE</v>
      </c>
      <c r="T114" s="20"/>
      <c r="U114" s="20">
        <f t="shared" si="116"/>
        <v>730</v>
      </c>
      <c r="V114" s="21">
        <f t="shared" ca="1" si="7"/>
        <v>-45491.500559837965</v>
      </c>
      <c r="W114" s="22" t="str">
        <f t="shared" ca="1" si="117"/>
        <v>NO CUMPLE</v>
      </c>
      <c r="X114" s="41">
        <v>4</v>
      </c>
      <c r="Y114" s="41">
        <v>3</v>
      </c>
      <c r="Z114" s="41">
        <f t="shared" si="9"/>
        <v>0</v>
      </c>
      <c r="AA114" s="41">
        <f t="shared" ca="1" si="10"/>
        <v>0</v>
      </c>
      <c r="AB114" s="42">
        <f t="shared" ref="AB114:AC114" si="122">Z114/X114</f>
        <v>0</v>
      </c>
      <c r="AC114" s="42">
        <f t="shared" ca="1" si="122"/>
        <v>0</v>
      </c>
      <c r="AD114" s="43">
        <f t="shared" ca="1" si="119"/>
        <v>0</v>
      </c>
      <c r="AE114" s="44"/>
      <c r="AF114" s="44"/>
      <c r="AG114" s="44"/>
      <c r="AH114" s="44"/>
    </row>
    <row r="115" spans="1:34" ht="14.4" x14ac:dyDescent="0.3">
      <c r="A115" s="30"/>
      <c r="B115" s="34"/>
      <c r="C115" s="18" t="e">
        <f>LOOKUP(F115,BD!C:C,BD!A:A)</f>
        <v>#N/A</v>
      </c>
      <c r="D115" s="18" t="e">
        <f>LOOKUP(F115,BD!C:C,BD!B:B)</f>
        <v>#N/A</v>
      </c>
      <c r="E115" s="18"/>
      <c r="F115" s="18"/>
      <c r="G115" s="18" t="e">
        <f>LOOKUP(F115,BD!C:C,BD!D:D)</f>
        <v>#N/A</v>
      </c>
      <c r="H115" s="19"/>
      <c r="I115" s="19"/>
      <c r="J115" s="19"/>
      <c r="K115" s="19"/>
      <c r="L115" s="20"/>
      <c r="M115" s="20">
        <f t="shared" si="112"/>
        <v>730</v>
      </c>
      <c r="N115" s="21">
        <f t="shared" ca="1" si="1"/>
        <v>-45491.500559837965</v>
      </c>
      <c r="O115" s="22" t="str">
        <f t="shared" ca="1" si="113"/>
        <v>NO CUMPLE</v>
      </c>
      <c r="P115" s="20"/>
      <c r="Q115" s="20">
        <f t="shared" si="114"/>
        <v>730</v>
      </c>
      <c r="R115" s="21">
        <f t="shared" ca="1" si="4"/>
        <v>-45491.500559837965</v>
      </c>
      <c r="S115" s="22" t="str">
        <f t="shared" ca="1" si="115"/>
        <v>NO CUMPLE</v>
      </c>
      <c r="T115" s="20"/>
      <c r="U115" s="20">
        <f t="shared" si="116"/>
        <v>730</v>
      </c>
      <c r="V115" s="21">
        <f t="shared" ca="1" si="7"/>
        <v>-45491.500559837965</v>
      </c>
      <c r="W115" s="22" t="str">
        <f t="shared" ca="1" si="117"/>
        <v>NO CUMPLE</v>
      </c>
      <c r="X115" s="41">
        <v>4</v>
      </c>
      <c r="Y115" s="41">
        <v>3</v>
      </c>
      <c r="Z115" s="41">
        <f t="shared" si="9"/>
        <v>0</v>
      </c>
      <c r="AA115" s="41">
        <f t="shared" ca="1" si="10"/>
        <v>0</v>
      </c>
      <c r="AB115" s="42">
        <f t="shared" ref="AB115:AC115" si="123">Z115/X115</f>
        <v>0</v>
      </c>
      <c r="AC115" s="42">
        <f t="shared" ca="1" si="123"/>
        <v>0</v>
      </c>
      <c r="AD115" s="43">
        <f t="shared" ca="1" si="119"/>
        <v>0</v>
      </c>
      <c r="AE115" s="44"/>
      <c r="AF115" s="44"/>
      <c r="AG115" s="44"/>
      <c r="AH115" s="44"/>
    </row>
    <row r="116" spans="1:34" ht="14.4" x14ac:dyDescent="0.3">
      <c r="A116" s="30"/>
      <c r="B116" s="34"/>
      <c r="C116" s="18" t="e">
        <f>LOOKUP(F116,BD!C:C,BD!A:A)</f>
        <v>#N/A</v>
      </c>
      <c r="D116" s="18" t="e">
        <f>LOOKUP(F116,BD!C:C,BD!B:B)</f>
        <v>#N/A</v>
      </c>
      <c r="E116" s="18"/>
      <c r="F116" s="18"/>
      <c r="G116" s="18" t="e">
        <f>LOOKUP(F116,BD!C:C,BD!D:D)</f>
        <v>#N/A</v>
      </c>
      <c r="H116" s="19"/>
      <c r="I116" s="19"/>
      <c r="J116" s="19"/>
      <c r="K116" s="19"/>
      <c r="L116" s="20"/>
      <c r="M116" s="20">
        <f t="shared" si="112"/>
        <v>730</v>
      </c>
      <c r="N116" s="21">
        <f t="shared" ca="1" si="1"/>
        <v>-45491.500559837965</v>
      </c>
      <c r="O116" s="22" t="str">
        <f t="shared" ca="1" si="113"/>
        <v>NO CUMPLE</v>
      </c>
      <c r="P116" s="20"/>
      <c r="Q116" s="20">
        <f t="shared" si="114"/>
        <v>730</v>
      </c>
      <c r="R116" s="21">
        <f t="shared" ca="1" si="4"/>
        <v>-45491.500559837965</v>
      </c>
      <c r="S116" s="22" t="str">
        <f t="shared" ca="1" si="115"/>
        <v>NO CUMPLE</v>
      </c>
      <c r="T116" s="20"/>
      <c r="U116" s="20">
        <f t="shared" si="116"/>
        <v>730</v>
      </c>
      <c r="V116" s="21">
        <f t="shared" ca="1" si="7"/>
        <v>-45491.500559837965</v>
      </c>
      <c r="W116" s="22" t="str">
        <f t="shared" ca="1" si="117"/>
        <v>NO CUMPLE</v>
      </c>
      <c r="X116" s="41">
        <v>4</v>
      </c>
      <c r="Y116" s="41">
        <v>3</v>
      </c>
      <c r="Z116" s="41">
        <f t="shared" si="9"/>
        <v>0</v>
      </c>
      <c r="AA116" s="41">
        <f t="shared" ca="1" si="10"/>
        <v>0</v>
      </c>
      <c r="AB116" s="42">
        <f t="shared" ref="AB116:AC116" si="124">Z116/X116</f>
        <v>0</v>
      </c>
      <c r="AC116" s="42">
        <f t="shared" ca="1" si="124"/>
        <v>0</v>
      </c>
      <c r="AD116" s="43">
        <f t="shared" ca="1" si="119"/>
        <v>0</v>
      </c>
      <c r="AE116" s="44"/>
      <c r="AF116" s="44"/>
      <c r="AG116" s="44"/>
      <c r="AH116" s="44"/>
    </row>
    <row r="117" spans="1:34" ht="14.4" x14ac:dyDescent="0.3">
      <c r="A117" s="30"/>
      <c r="B117" s="34"/>
      <c r="C117" s="18" t="e">
        <f>LOOKUP(F117,BD!C:C,BD!A:A)</f>
        <v>#N/A</v>
      </c>
      <c r="D117" s="18" t="e">
        <f>LOOKUP(F117,BD!C:C,BD!B:B)</f>
        <v>#N/A</v>
      </c>
      <c r="E117" s="18"/>
      <c r="F117" s="18"/>
      <c r="G117" s="18" t="e">
        <f>LOOKUP(F117,BD!C:C,BD!D:D)</f>
        <v>#N/A</v>
      </c>
      <c r="H117" s="19"/>
      <c r="I117" s="19"/>
      <c r="J117" s="19"/>
      <c r="K117" s="19"/>
      <c r="L117" s="20"/>
      <c r="M117" s="20">
        <f t="shared" si="112"/>
        <v>730</v>
      </c>
      <c r="N117" s="21">
        <f t="shared" ca="1" si="1"/>
        <v>-45491.500559837965</v>
      </c>
      <c r="O117" s="22" t="str">
        <f t="shared" ca="1" si="113"/>
        <v>NO CUMPLE</v>
      </c>
      <c r="P117" s="20"/>
      <c r="Q117" s="20">
        <f t="shared" si="114"/>
        <v>730</v>
      </c>
      <c r="R117" s="21">
        <f t="shared" ca="1" si="4"/>
        <v>-45491.500559837965</v>
      </c>
      <c r="S117" s="22" t="str">
        <f t="shared" ca="1" si="115"/>
        <v>NO CUMPLE</v>
      </c>
      <c r="T117" s="20"/>
      <c r="U117" s="20">
        <f t="shared" si="116"/>
        <v>730</v>
      </c>
      <c r="V117" s="21">
        <f t="shared" ca="1" si="7"/>
        <v>-45491.500559837965</v>
      </c>
      <c r="W117" s="22" t="str">
        <f t="shared" ca="1" si="117"/>
        <v>NO CUMPLE</v>
      </c>
      <c r="X117" s="41">
        <v>4</v>
      </c>
      <c r="Y117" s="41">
        <v>3</v>
      </c>
      <c r="Z117" s="41">
        <f t="shared" si="9"/>
        <v>0</v>
      </c>
      <c r="AA117" s="41">
        <f t="shared" ca="1" si="10"/>
        <v>0</v>
      </c>
      <c r="AB117" s="42">
        <f t="shared" ref="AB117:AC117" si="125">Z117/X117</f>
        <v>0</v>
      </c>
      <c r="AC117" s="42">
        <f t="shared" ca="1" si="125"/>
        <v>0</v>
      </c>
      <c r="AD117" s="43">
        <f t="shared" ca="1" si="119"/>
        <v>0</v>
      </c>
      <c r="AE117" s="44"/>
      <c r="AF117" s="44"/>
      <c r="AG117" s="44"/>
      <c r="AH117" s="44"/>
    </row>
    <row r="118" spans="1:34" ht="14.4" x14ac:dyDescent="0.3">
      <c r="A118" s="26"/>
      <c r="B118" s="17"/>
      <c r="C118" s="18" t="e">
        <f>LOOKUP(F118,BD!C:C,BD!A:A)</f>
        <v>#N/A</v>
      </c>
      <c r="D118" s="18" t="e">
        <f>LOOKUP(F118,BD!C:C,BD!B:B)</f>
        <v>#N/A</v>
      </c>
      <c r="E118" s="18"/>
      <c r="F118" s="18"/>
      <c r="G118" s="18" t="e">
        <f>LOOKUP(F118,BD!C:C,BD!D:D)</f>
        <v>#N/A</v>
      </c>
      <c r="H118" s="19"/>
      <c r="I118" s="19"/>
      <c r="J118" s="19"/>
      <c r="K118" s="19"/>
      <c r="L118" s="20"/>
      <c r="M118" s="20">
        <f>L118+730</f>
        <v>730</v>
      </c>
      <c r="N118" s="21">
        <f t="shared" ca="1" si="1"/>
        <v>-45491.500559837965</v>
      </c>
      <c r="O118" s="22" t="str">
        <f ca="1">IF(N118&lt;=16,"NO CUMPLE",IF(N118&gt;=16,"VIGENTE"))</f>
        <v>NO CUMPLE</v>
      </c>
      <c r="P118" s="20"/>
      <c r="Q118" s="20">
        <f>P118+730</f>
        <v>730</v>
      </c>
      <c r="R118" s="21">
        <f t="shared" ca="1" si="4"/>
        <v>-45491.500559837965</v>
      </c>
      <c r="S118" s="22" t="str">
        <f ca="1">IF(R118&lt;=16,"NO CUMPLE",IF(R118&gt;=16,"VIGENTE"))</f>
        <v>NO CUMPLE</v>
      </c>
      <c r="T118" s="20"/>
      <c r="U118" s="20">
        <f>T118+730</f>
        <v>730</v>
      </c>
      <c r="V118" s="21">
        <f t="shared" ca="1" si="7"/>
        <v>-45491.500559837965</v>
      </c>
      <c r="W118" s="22" t="str">
        <f ca="1">IF(V118&lt;=16,"NO CUMPLE",IF(V118&gt;=16,"VIGENTE"))</f>
        <v>NO CUMPLE</v>
      </c>
      <c r="X118" s="41">
        <v>4</v>
      </c>
      <c r="Y118" s="41">
        <v>3</v>
      </c>
      <c r="Z118" s="41">
        <f t="shared" si="9"/>
        <v>0</v>
      </c>
      <c r="AA118" s="41">
        <f t="shared" ca="1" si="10"/>
        <v>0</v>
      </c>
      <c r="AB118" s="42">
        <f t="shared" ref="AB118:AC118" si="126">Z118/X118</f>
        <v>0</v>
      </c>
      <c r="AC118" s="42">
        <f t="shared" ca="1" si="126"/>
        <v>0</v>
      </c>
      <c r="AD118" s="43">
        <f ca="1">(Z118+AA118)/7</f>
        <v>0</v>
      </c>
      <c r="AE118" s="44"/>
      <c r="AF118" s="44"/>
      <c r="AG118" s="44"/>
      <c r="AH118" s="44"/>
    </row>
    <row r="119" spans="1:34" ht="14.4" x14ac:dyDescent="0.3">
      <c r="A119" s="30"/>
      <c r="B119" s="34"/>
      <c r="C119" s="18" t="e">
        <f>LOOKUP(F119,BD!C:C,BD!A:A)</f>
        <v>#N/A</v>
      </c>
      <c r="D119" s="18" t="e">
        <f>LOOKUP(F119,BD!C:C,BD!B:B)</f>
        <v>#N/A</v>
      </c>
      <c r="E119" s="18"/>
      <c r="F119" s="18"/>
      <c r="G119" s="18" t="e">
        <f>LOOKUP(F119,BD!C:C,BD!D:D)</f>
        <v>#N/A</v>
      </c>
      <c r="H119" s="19"/>
      <c r="I119" s="19"/>
      <c r="J119" s="19"/>
      <c r="K119" s="19"/>
      <c r="L119" s="20"/>
      <c r="M119" s="20">
        <f t="shared" ref="M119:M120" si="127">L119+730</f>
        <v>730</v>
      </c>
      <c r="N119" s="21">
        <f t="shared" ca="1" si="1"/>
        <v>-45491.500559837965</v>
      </c>
      <c r="O119" s="22" t="str">
        <f t="shared" ref="O119:O120" ca="1" si="128">IF(N119&lt;=16,"NO CUMPLE",IF(N119&gt;=16,"VIGENTE"))</f>
        <v>NO CUMPLE</v>
      </c>
      <c r="P119" s="20"/>
      <c r="Q119" s="20">
        <f t="shared" ref="Q119:Q120" si="129">P119+730</f>
        <v>730</v>
      </c>
      <c r="R119" s="21">
        <f t="shared" ca="1" si="4"/>
        <v>-45491.500559837965</v>
      </c>
      <c r="S119" s="22" t="str">
        <f t="shared" ref="S119:S120" ca="1" si="130">IF(R119&lt;=16,"NO CUMPLE",IF(R119&gt;=16,"VIGENTE"))</f>
        <v>NO CUMPLE</v>
      </c>
      <c r="T119" s="20"/>
      <c r="U119" s="20">
        <f t="shared" ref="U119:U120" si="131">T119+730</f>
        <v>730</v>
      </c>
      <c r="V119" s="21">
        <f t="shared" ca="1" si="7"/>
        <v>-45491.500559722219</v>
      </c>
      <c r="W119" s="22" t="str">
        <f t="shared" ref="W119:W120" ca="1" si="132">IF(V119&lt;=16,"NO CUMPLE",IF(V119&gt;=16,"VIGENTE"))</f>
        <v>NO CUMPLE</v>
      </c>
      <c r="X119" s="41">
        <v>4</v>
      </c>
      <c r="Y119" s="41">
        <v>3</v>
      </c>
      <c r="Z119" s="41">
        <f t="shared" si="9"/>
        <v>0</v>
      </c>
      <c r="AA119" s="41">
        <f t="shared" ca="1" si="10"/>
        <v>0</v>
      </c>
      <c r="AB119" s="42">
        <f t="shared" ref="AB119:AC119" si="133">Z119/X119</f>
        <v>0</v>
      </c>
      <c r="AC119" s="42">
        <f t="shared" ca="1" si="133"/>
        <v>0</v>
      </c>
      <c r="AD119" s="43">
        <f t="shared" ref="AD119:AD120" ca="1" si="134">(Z119+AA119)/7</f>
        <v>0</v>
      </c>
      <c r="AE119" s="44"/>
      <c r="AF119" s="44"/>
      <c r="AG119" s="44"/>
      <c r="AH119" s="44"/>
    </row>
    <row r="120" spans="1:34" ht="14.4" x14ac:dyDescent="0.3">
      <c r="A120" s="30"/>
      <c r="B120" s="34"/>
      <c r="C120" s="18" t="e">
        <f>LOOKUP(F120,BD!C:C,BD!A:A)</f>
        <v>#N/A</v>
      </c>
      <c r="D120" s="18" t="e">
        <f>LOOKUP(F120,BD!C:C,BD!B:B)</f>
        <v>#N/A</v>
      </c>
      <c r="E120" s="18"/>
      <c r="F120" s="18"/>
      <c r="G120" s="18" t="e">
        <f>LOOKUP(F120,BD!C:C,BD!D:D)</f>
        <v>#N/A</v>
      </c>
      <c r="H120" s="19"/>
      <c r="I120" s="19"/>
      <c r="J120" s="19"/>
      <c r="K120" s="19"/>
      <c r="L120" s="20"/>
      <c r="M120" s="20">
        <f t="shared" si="127"/>
        <v>730</v>
      </c>
      <c r="N120" s="21">
        <f t="shared" ca="1" si="1"/>
        <v>-45491.500559837965</v>
      </c>
      <c r="O120" s="22" t="str">
        <f t="shared" ca="1" si="128"/>
        <v>NO CUMPLE</v>
      </c>
      <c r="P120" s="20"/>
      <c r="Q120" s="20">
        <f t="shared" si="129"/>
        <v>730</v>
      </c>
      <c r="R120" s="21">
        <f t="shared" ca="1" si="4"/>
        <v>-45491.500559837965</v>
      </c>
      <c r="S120" s="22" t="str">
        <f t="shared" ca="1" si="130"/>
        <v>NO CUMPLE</v>
      </c>
      <c r="T120" s="20"/>
      <c r="U120" s="20">
        <f t="shared" si="131"/>
        <v>730</v>
      </c>
      <c r="V120" s="21">
        <f t="shared" ca="1" si="7"/>
        <v>-45491.500559837965</v>
      </c>
      <c r="W120" s="22" t="str">
        <f t="shared" ca="1" si="132"/>
        <v>NO CUMPLE</v>
      </c>
      <c r="X120" s="41">
        <v>4</v>
      </c>
      <c r="Y120" s="41">
        <v>3</v>
      </c>
      <c r="Z120" s="41">
        <f t="shared" si="9"/>
        <v>0</v>
      </c>
      <c r="AA120" s="41">
        <f t="shared" ca="1" si="10"/>
        <v>0</v>
      </c>
      <c r="AB120" s="42">
        <f t="shared" ref="AB120:AC120" si="135">Z120/X120</f>
        <v>0</v>
      </c>
      <c r="AC120" s="42">
        <f t="shared" ca="1" si="135"/>
        <v>0</v>
      </c>
      <c r="AD120" s="43">
        <f t="shared" ca="1" si="134"/>
        <v>0</v>
      </c>
      <c r="AE120" s="44"/>
      <c r="AF120" s="44"/>
      <c r="AG120" s="44"/>
      <c r="AH120" s="44"/>
    </row>
    <row r="121" spans="1:34" ht="14.4" x14ac:dyDescent="0.3">
      <c r="A121" s="30"/>
      <c r="B121" s="34"/>
      <c r="C121" s="18" t="e">
        <f>LOOKUP(F121,BD!C:C,BD!A:A)</f>
        <v>#N/A</v>
      </c>
      <c r="D121" s="18" t="e">
        <f>LOOKUP(F121,BD!C:C,BD!B:B)</f>
        <v>#N/A</v>
      </c>
      <c r="E121" s="18"/>
      <c r="F121" s="18"/>
      <c r="G121" s="18" t="e">
        <f>LOOKUP(F121,BD!C:C,BD!D:D)</f>
        <v>#N/A</v>
      </c>
      <c r="H121" s="19"/>
      <c r="I121" s="19"/>
      <c r="J121" s="19"/>
      <c r="K121" s="19"/>
      <c r="L121" s="20"/>
      <c r="M121" s="20">
        <f t="shared" ref="M121:M156" si="136">L121+730</f>
        <v>730</v>
      </c>
      <c r="N121" s="21">
        <f t="shared" ca="1" si="1"/>
        <v>-45491.500559837965</v>
      </c>
      <c r="O121" s="22" t="str">
        <f t="shared" ref="O121:O156" ca="1" si="137">IF(N121&lt;=16,"NO CUMPLE",IF(N121&gt;=16,"VIGENTE"))</f>
        <v>NO CUMPLE</v>
      </c>
      <c r="P121" s="20"/>
      <c r="Q121" s="20">
        <f t="shared" ref="Q121:Q156" si="138">P121+730</f>
        <v>730</v>
      </c>
      <c r="R121" s="21">
        <f t="shared" ca="1" si="4"/>
        <v>-45491.500559722219</v>
      </c>
      <c r="S121" s="22" t="str">
        <f t="shared" ref="S121:S156" ca="1" si="139">IF(R121&lt;=16,"NO CUMPLE",IF(R121&gt;=16,"VIGENTE"))</f>
        <v>NO CUMPLE</v>
      </c>
      <c r="T121" s="20"/>
      <c r="U121" s="20">
        <f t="shared" ref="U121:U156" si="140">T121+730</f>
        <v>730</v>
      </c>
      <c r="V121" s="21">
        <f t="shared" ca="1" si="7"/>
        <v>-45491.500559837965</v>
      </c>
      <c r="W121" s="22" t="str">
        <f t="shared" ref="W121:W156" ca="1" si="141">IF(V121&lt;=16,"NO CUMPLE",IF(V121&gt;=16,"VIGENTE"))</f>
        <v>NO CUMPLE</v>
      </c>
      <c r="X121" s="41">
        <v>4</v>
      </c>
      <c r="Y121" s="41">
        <v>3</v>
      </c>
      <c r="Z121" s="41">
        <f t="shared" si="9"/>
        <v>0</v>
      </c>
      <c r="AA121" s="41">
        <f t="shared" ca="1" si="10"/>
        <v>0</v>
      </c>
      <c r="AB121" s="42">
        <f t="shared" ref="AB121:AC121" si="142">Z121/X121</f>
        <v>0</v>
      </c>
      <c r="AC121" s="42">
        <f t="shared" ca="1" si="142"/>
        <v>0</v>
      </c>
      <c r="AD121" s="43">
        <f t="shared" ref="AD121:AD156" ca="1" si="143">(Z121+AA121)/7</f>
        <v>0</v>
      </c>
      <c r="AE121" s="44"/>
      <c r="AF121" s="44"/>
      <c r="AG121" s="44"/>
      <c r="AH121" s="44"/>
    </row>
    <row r="122" spans="1:34" ht="14.4" x14ac:dyDescent="0.3">
      <c r="A122" s="30"/>
      <c r="B122" s="34"/>
      <c r="C122" s="18" t="e">
        <f>LOOKUP(F122,BD!C:C,BD!A:A)</f>
        <v>#N/A</v>
      </c>
      <c r="D122" s="18" t="e">
        <f>LOOKUP(F122,BD!C:C,BD!B:B)</f>
        <v>#N/A</v>
      </c>
      <c r="E122" s="18"/>
      <c r="F122" s="18"/>
      <c r="G122" s="18" t="e">
        <f>LOOKUP(F122,BD!C:C,BD!D:D)</f>
        <v>#N/A</v>
      </c>
      <c r="H122" s="19"/>
      <c r="I122" s="19"/>
      <c r="J122" s="19"/>
      <c r="K122" s="19"/>
      <c r="L122" s="20"/>
      <c r="M122" s="20">
        <f t="shared" si="136"/>
        <v>730</v>
      </c>
      <c r="N122" s="21">
        <f t="shared" ca="1" si="1"/>
        <v>-45491.500559837965</v>
      </c>
      <c r="O122" s="22" t="str">
        <f t="shared" ca="1" si="137"/>
        <v>NO CUMPLE</v>
      </c>
      <c r="P122" s="20"/>
      <c r="Q122" s="20">
        <f t="shared" si="138"/>
        <v>730</v>
      </c>
      <c r="R122" s="21">
        <f t="shared" ca="1" si="4"/>
        <v>-45491.500559837965</v>
      </c>
      <c r="S122" s="22" t="str">
        <f t="shared" ca="1" si="139"/>
        <v>NO CUMPLE</v>
      </c>
      <c r="T122" s="20"/>
      <c r="U122" s="20">
        <f t="shared" si="140"/>
        <v>730</v>
      </c>
      <c r="V122" s="21">
        <f t="shared" ca="1" si="7"/>
        <v>-45491.500559837965</v>
      </c>
      <c r="W122" s="22" t="str">
        <f t="shared" ca="1" si="141"/>
        <v>NO CUMPLE</v>
      </c>
      <c r="X122" s="41">
        <v>4</v>
      </c>
      <c r="Y122" s="41">
        <v>3</v>
      </c>
      <c r="Z122" s="41">
        <f t="shared" si="9"/>
        <v>0</v>
      </c>
      <c r="AA122" s="41">
        <f t="shared" ca="1" si="10"/>
        <v>0</v>
      </c>
      <c r="AB122" s="42">
        <f t="shared" ref="AB122:AC122" si="144">Z122/X122</f>
        <v>0</v>
      </c>
      <c r="AC122" s="42">
        <f t="shared" ca="1" si="144"/>
        <v>0</v>
      </c>
      <c r="AD122" s="43">
        <f t="shared" ca="1" si="143"/>
        <v>0</v>
      </c>
      <c r="AE122" s="44"/>
      <c r="AF122" s="44"/>
      <c r="AG122" s="44"/>
      <c r="AH122" s="44"/>
    </row>
    <row r="123" spans="1:34" ht="14.4" x14ac:dyDescent="0.3">
      <c r="A123" s="2"/>
      <c r="B123" s="46"/>
      <c r="C123" s="18" t="e">
        <f>LOOKUP(F123,BD!C:C,BD!A:A)</f>
        <v>#N/A</v>
      </c>
      <c r="D123" s="18" t="e">
        <f>LOOKUP(F123,BD!C:C,BD!B:B)</f>
        <v>#N/A</v>
      </c>
      <c r="E123" s="18"/>
      <c r="F123" s="18"/>
      <c r="G123" s="18" t="e">
        <f>LOOKUP(F123,BD!C:C,BD!D:D)</f>
        <v>#N/A</v>
      </c>
      <c r="H123" s="19"/>
      <c r="I123" s="19"/>
      <c r="J123" s="19"/>
      <c r="K123" s="19"/>
      <c r="L123" s="20"/>
      <c r="M123" s="20">
        <f t="shared" si="136"/>
        <v>730</v>
      </c>
      <c r="N123" s="21">
        <f t="shared" ca="1" si="1"/>
        <v>-45491.500559722219</v>
      </c>
      <c r="O123" s="22" t="str">
        <f t="shared" ca="1" si="137"/>
        <v>NO CUMPLE</v>
      </c>
      <c r="P123" s="20"/>
      <c r="Q123" s="20">
        <f t="shared" si="138"/>
        <v>730</v>
      </c>
      <c r="R123" s="21">
        <f t="shared" ca="1" si="4"/>
        <v>-45491.500559837965</v>
      </c>
      <c r="S123" s="22" t="str">
        <f t="shared" ca="1" si="139"/>
        <v>NO CUMPLE</v>
      </c>
      <c r="T123" s="20"/>
      <c r="U123" s="20">
        <f t="shared" si="140"/>
        <v>730</v>
      </c>
      <c r="V123" s="21">
        <f t="shared" ca="1" si="7"/>
        <v>-45491.500559722219</v>
      </c>
      <c r="W123" s="22" t="str">
        <f t="shared" ca="1" si="141"/>
        <v>NO CUMPLE</v>
      </c>
      <c r="X123" s="4">
        <v>4</v>
      </c>
      <c r="Y123" s="4">
        <v>3</v>
      </c>
      <c r="Z123" s="4">
        <f t="shared" si="9"/>
        <v>0</v>
      </c>
      <c r="AA123" s="4">
        <f t="shared" ca="1" si="10"/>
        <v>0</v>
      </c>
      <c r="AB123" s="47">
        <f t="shared" ref="AB123:AC123" si="145">Z123/X123</f>
        <v>0</v>
      </c>
      <c r="AC123" s="47">
        <f t="shared" ca="1" si="145"/>
        <v>0</v>
      </c>
      <c r="AD123" s="48">
        <f t="shared" ca="1" si="143"/>
        <v>0</v>
      </c>
      <c r="AE123" s="6"/>
      <c r="AF123" s="6"/>
      <c r="AG123" s="6"/>
      <c r="AH123" s="6"/>
    </row>
    <row r="124" spans="1:34" ht="14.4" x14ac:dyDescent="0.3">
      <c r="A124" s="2"/>
      <c r="B124" s="46"/>
      <c r="C124" s="18" t="e">
        <f>LOOKUP(F124,BD!C:C,BD!A:A)</f>
        <v>#N/A</v>
      </c>
      <c r="D124" s="18" t="e">
        <f>LOOKUP(F124,BD!C:C,BD!B:B)</f>
        <v>#N/A</v>
      </c>
      <c r="E124" s="18"/>
      <c r="F124" s="18"/>
      <c r="G124" s="18" t="e">
        <f>LOOKUP(F124,BD!C:C,BD!D:D)</f>
        <v>#N/A</v>
      </c>
      <c r="H124" s="19"/>
      <c r="I124" s="19"/>
      <c r="J124" s="19"/>
      <c r="K124" s="19"/>
      <c r="L124" s="20"/>
      <c r="M124" s="20">
        <f t="shared" si="136"/>
        <v>730</v>
      </c>
      <c r="N124" s="21">
        <f t="shared" ca="1" si="1"/>
        <v>-45491.500559837965</v>
      </c>
      <c r="O124" s="22" t="str">
        <f t="shared" ca="1" si="137"/>
        <v>NO CUMPLE</v>
      </c>
      <c r="P124" s="20"/>
      <c r="Q124" s="20">
        <f t="shared" si="138"/>
        <v>730</v>
      </c>
      <c r="R124" s="21">
        <f t="shared" ca="1" si="4"/>
        <v>-45491.500559837965</v>
      </c>
      <c r="S124" s="22" t="str">
        <f t="shared" ca="1" si="139"/>
        <v>NO CUMPLE</v>
      </c>
      <c r="T124" s="20"/>
      <c r="U124" s="20">
        <f t="shared" si="140"/>
        <v>730</v>
      </c>
      <c r="V124" s="21">
        <f t="shared" ca="1" si="7"/>
        <v>-45491.500559837965</v>
      </c>
      <c r="W124" s="22" t="str">
        <f t="shared" ca="1" si="141"/>
        <v>NO CUMPLE</v>
      </c>
      <c r="X124" s="4">
        <v>4</v>
      </c>
      <c r="Y124" s="4">
        <v>3</v>
      </c>
      <c r="Z124" s="4">
        <f t="shared" si="9"/>
        <v>0</v>
      </c>
      <c r="AA124" s="4">
        <f t="shared" ca="1" si="10"/>
        <v>0</v>
      </c>
      <c r="AB124" s="47">
        <f t="shared" ref="AB124:AC124" si="146">Z124/X124</f>
        <v>0</v>
      </c>
      <c r="AC124" s="47">
        <f t="shared" ca="1" si="146"/>
        <v>0</v>
      </c>
      <c r="AD124" s="48">
        <f t="shared" ca="1" si="143"/>
        <v>0</v>
      </c>
      <c r="AE124" s="6"/>
      <c r="AF124" s="6"/>
      <c r="AG124" s="6"/>
      <c r="AH124" s="6"/>
    </row>
    <row r="125" spans="1:34" ht="14.4" x14ac:dyDescent="0.3">
      <c r="A125" s="2"/>
      <c r="B125" s="46"/>
      <c r="C125" s="18" t="e">
        <f>LOOKUP(F125,BD!C:C,BD!A:A)</f>
        <v>#N/A</v>
      </c>
      <c r="D125" s="18" t="e">
        <f>LOOKUP(F125,BD!C:C,BD!B:B)</f>
        <v>#N/A</v>
      </c>
      <c r="E125" s="18"/>
      <c r="F125" s="18"/>
      <c r="G125" s="18" t="e">
        <f>LOOKUP(F125,BD!C:C,BD!D:D)</f>
        <v>#N/A</v>
      </c>
      <c r="H125" s="19"/>
      <c r="I125" s="19"/>
      <c r="J125" s="19"/>
      <c r="K125" s="19"/>
      <c r="L125" s="20"/>
      <c r="M125" s="20">
        <f t="shared" si="136"/>
        <v>730</v>
      </c>
      <c r="N125" s="21">
        <f t="shared" ca="1" si="1"/>
        <v>-45491.500559722219</v>
      </c>
      <c r="O125" s="22" t="str">
        <f t="shared" ca="1" si="137"/>
        <v>NO CUMPLE</v>
      </c>
      <c r="P125" s="20"/>
      <c r="Q125" s="20">
        <f t="shared" si="138"/>
        <v>730</v>
      </c>
      <c r="R125" s="21">
        <f t="shared" ca="1" si="4"/>
        <v>-45491.500559837965</v>
      </c>
      <c r="S125" s="22" t="str">
        <f t="shared" ca="1" si="139"/>
        <v>NO CUMPLE</v>
      </c>
      <c r="T125" s="20"/>
      <c r="U125" s="20">
        <f t="shared" si="140"/>
        <v>730</v>
      </c>
      <c r="V125" s="21">
        <f t="shared" ca="1" si="7"/>
        <v>-45491.500559837965</v>
      </c>
      <c r="W125" s="22" t="str">
        <f t="shared" ca="1" si="141"/>
        <v>NO CUMPLE</v>
      </c>
      <c r="X125" s="4">
        <v>4</v>
      </c>
      <c r="Y125" s="4">
        <v>3</v>
      </c>
      <c r="Z125" s="4">
        <f t="shared" si="9"/>
        <v>0</v>
      </c>
      <c r="AA125" s="4">
        <f t="shared" ca="1" si="10"/>
        <v>0</v>
      </c>
      <c r="AB125" s="47">
        <f t="shared" ref="AB125:AC125" si="147">Z125/X125</f>
        <v>0</v>
      </c>
      <c r="AC125" s="47">
        <f t="shared" ca="1" si="147"/>
        <v>0</v>
      </c>
      <c r="AD125" s="48">
        <f t="shared" ca="1" si="143"/>
        <v>0</v>
      </c>
      <c r="AE125" s="6"/>
      <c r="AF125" s="6"/>
      <c r="AG125" s="6"/>
      <c r="AH125" s="6"/>
    </row>
    <row r="126" spans="1:34" ht="14.4" x14ac:dyDescent="0.3">
      <c r="A126" s="2"/>
      <c r="B126" s="46"/>
      <c r="C126" s="18" t="e">
        <f>LOOKUP(F126,BD!C:C,BD!A:A)</f>
        <v>#N/A</v>
      </c>
      <c r="D126" s="18" t="e">
        <f>LOOKUP(F126,BD!C:C,BD!B:B)</f>
        <v>#N/A</v>
      </c>
      <c r="E126" s="18"/>
      <c r="F126" s="18"/>
      <c r="G126" s="18" t="e">
        <f>LOOKUP(F126,BD!C:C,BD!D:D)</f>
        <v>#N/A</v>
      </c>
      <c r="H126" s="19"/>
      <c r="I126" s="19"/>
      <c r="J126" s="19"/>
      <c r="K126" s="19"/>
      <c r="L126" s="20"/>
      <c r="M126" s="20">
        <f t="shared" si="136"/>
        <v>730</v>
      </c>
      <c r="N126" s="21">
        <f t="shared" ca="1" si="1"/>
        <v>-45491.500559837965</v>
      </c>
      <c r="O126" s="22" t="str">
        <f t="shared" ca="1" si="137"/>
        <v>NO CUMPLE</v>
      </c>
      <c r="P126" s="20"/>
      <c r="Q126" s="20">
        <f t="shared" si="138"/>
        <v>730</v>
      </c>
      <c r="R126" s="21">
        <f t="shared" ca="1" si="4"/>
        <v>-45491.500559837965</v>
      </c>
      <c r="S126" s="22" t="str">
        <f t="shared" ca="1" si="139"/>
        <v>NO CUMPLE</v>
      </c>
      <c r="T126" s="20"/>
      <c r="U126" s="20">
        <f t="shared" si="140"/>
        <v>730</v>
      </c>
      <c r="V126" s="21">
        <f t="shared" ca="1" si="7"/>
        <v>-45491.500559722219</v>
      </c>
      <c r="W126" s="22" t="str">
        <f t="shared" ca="1" si="141"/>
        <v>NO CUMPLE</v>
      </c>
      <c r="X126" s="4">
        <v>4</v>
      </c>
      <c r="Y126" s="4">
        <v>3</v>
      </c>
      <c r="Z126" s="4">
        <f t="shared" si="9"/>
        <v>0</v>
      </c>
      <c r="AA126" s="4">
        <f t="shared" ca="1" si="10"/>
        <v>0</v>
      </c>
      <c r="AB126" s="47">
        <f t="shared" ref="AB126:AC126" si="148">Z126/X126</f>
        <v>0</v>
      </c>
      <c r="AC126" s="47">
        <f t="shared" ca="1" si="148"/>
        <v>0</v>
      </c>
      <c r="AD126" s="48">
        <f t="shared" ca="1" si="143"/>
        <v>0</v>
      </c>
      <c r="AE126" s="6"/>
      <c r="AF126" s="6"/>
      <c r="AG126" s="6"/>
      <c r="AH126" s="6"/>
    </row>
    <row r="127" spans="1:34" ht="14.4" x14ac:dyDescent="0.3">
      <c r="A127" s="2"/>
      <c r="B127" s="46"/>
      <c r="C127" s="18" t="e">
        <f>LOOKUP(F127,BD!C:C,BD!A:A)</f>
        <v>#N/A</v>
      </c>
      <c r="D127" s="18" t="e">
        <f>LOOKUP(F127,BD!C:C,BD!B:B)</f>
        <v>#N/A</v>
      </c>
      <c r="E127" s="18"/>
      <c r="F127" s="18"/>
      <c r="G127" s="18" t="e">
        <f>LOOKUP(F127,BD!C:C,BD!D:D)</f>
        <v>#N/A</v>
      </c>
      <c r="H127" s="19"/>
      <c r="I127" s="19"/>
      <c r="J127" s="19"/>
      <c r="K127" s="19"/>
      <c r="L127" s="20"/>
      <c r="M127" s="20">
        <f t="shared" si="136"/>
        <v>730</v>
      </c>
      <c r="N127" s="21">
        <f t="shared" ca="1" si="1"/>
        <v>-45491.500559837965</v>
      </c>
      <c r="O127" s="22" t="str">
        <f t="shared" ca="1" si="137"/>
        <v>NO CUMPLE</v>
      </c>
      <c r="P127" s="20"/>
      <c r="Q127" s="20">
        <f t="shared" si="138"/>
        <v>730</v>
      </c>
      <c r="R127" s="21">
        <f t="shared" ca="1" si="4"/>
        <v>-45491.500559837965</v>
      </c>
      <c r="S127" s="22" t="str">
        <f t="shared" ca="1" si="139"/>
        <v>NO CUMPLE</v>
      </c>
      <c r="T127" s="20"/>
      <c r="U127" s="20">
        <f t="shared" si="140"/>
        <v>730</v>
      </c>
      <c r="V127" s="21">
        <f t="shared" ca="1" si="7"/>
        <v>-45491.500559837965</v>
      </c>
      <c r="W127" s="22" t="str">
        <f t="shared" ca="1" si="141"/>
        <v>NO CUMPLE</v>
      </c>
      <c r="X127" s="4">
        <v>4</v>
      </c>
      <c r="Y127" s="4">
        <v>3</v>
      </c>
      <c r="Z127" s="4">
        <f t="shared" si="9"/>
        <v>0</v>
      </c>
      <c r="AA127" s="4">
        <f t="shared" ca="1" si="10"/>
        <v>0</v>
      </c>
      <c r="AB127" s="47">
        <f t="shared" ref="AB127:AC127" si="149">Z127/X127</f>
        <v>0</v>
      </c>
      <c r="AC127" s="47">
        <f t="shared" ca="1" si="149"/>
        <v>0</v>
      </c>
      <c r="AD127" s="48">
        <f t="shared" ca="1" si="143"/>
        <v>0</v>
      </c>
      <c r="AE127" s="6"/>
      <c r="AF127" s="6"/>
      <c r="AG127" s="6"/>
      <c r="AH127" s="6"/>
    </row>
    <row r="128" spans="1:34" ht="14.4" x14ac:dyDescent="0.3">
      <c r="A128" s="2"/>
      <c r="B128" s="46"/>
      <c r="C128" s="18" t="e">
        <f>LOOKUP(F128,BD!C:C,BD!A:A)</f>
        <v>#N/A</v>
      </c>
      <c r="D128" s="18" t="e">
        <f>LOOKUP(F128,BD!C:C,BD!B:B)</f>
        <v>#N/A</v>
      </c>
      <c r="E128" s="18"/>
      <c r="F128" s="18"/>
      <c r="G128" s="18" t="e">
        <f>LOOKUP(F128,BD!C:C,BD!D:D)</f>
        <v>#N/A</v>
      </c>
      <c r="H128" s="19"/>
      <c r="I128" s="19"/>
      <c r="J128" s="19"/>
      <c r="K128" s="19"/>
      <c r="L128" s="20"/>
      <c r="M128" s="20">
        <f t="shared" si="136"/>
        <v>730</v>
      </c>
      <c r="N128" s="21">
        <f t="shared" ca="1" si="1"/>
        <v>-45491.500559837965</v>
      </c>
      <c r="O128" s="22" t="str">
        <f t="shared" ca="1" si="137"/>
        <v>NO CUMPLE</v>
      </c>
      <c r="P128" s="20"/>
      <c r="Q128" s="20">
        <f t="shared" si="138"/>
        <v>730</v>
      </c>
      <c r="R128" s="21">
        <f t="shared" ca="1" si="4"/>
        <v>-45491.500559837965</v>
      </c>
      <c r="S128" s="22" t="str">
        <f t="shared" ca="1" si="139"/>
        <v>NO CUMPLE</v>
      </c>
      <c r="T128" s="20"/>
      <c r="U128" s="20">
        <f t="shared" si="140"/>
        <v>730</v>
      </c>
      <c r="V128" s="21">
        <f t="shared" ca="1" si="7"/>
        <v>-45491.500559722219</v>
      </c>
      <c r="W128" s="22" t="str">
        <f t="shared" ca="1" si="141"/>
        <v>NO CUMPLE</v>
      </c>
      <c r="X128" s="4">
        <v>4</v>
      </c>
      <c r="Y128" s="4">
        <v>3</v>
      </c>
      <c r="Z128" s="4">
        <f t="shared" si="9"/>
        <v>0</v>
      </c>
      <c r="AA128" s="4">
        <f t="shared" ca="1" si="10"/>
        <v>0</v>
      </c>
      <c r="AB128" s="47">
        <f t="shared" ref="AB128:AC128" si="150">Z128/X128</f>
        <v>0</v>
      </c>
      <c r="AC128" s="47">
        <f t="shared" ca="1" si="150"/>
        <v>0</v>
      </c>
      <c r="AD128" s="48">
        <f t="shared" ca="1" si="143"/>
        <v>0</v>
      </c>
      <c r="AE128" s="6"/>
      <c r="AF128" s="6"/>
      <c r="AG128" s="6"/>
      <c r="AH128" s="6"/>
    </row>
    <row r="129" spans="1:34" ht="14.4" x14ac:dyDescent="0.3">
      <c r="A129" s="2"/>
      <c r="B129" s="46"/>
      <c r="C129" s="18" t="e">
        <f>LOOKUP(F129,BD!C:C,BD!A:A)</f>
        <v>#N/A</v>
      </c>
      <c r="D129" s="18" t="e">
        <f>LOOKUP(F129,BD!C:C,BD!B:B)</f>
        <v>#N/A</v>
      </c>
      <c r="E129" s="18"/>
      <c r="F129" s="18"/>
      <c r="G129" s="18" t="e">
        <f>LOOKUP(F129,BD!C:C,BD!D:D)</f>
        <v>#N/A</v>
      </c>
      <c r="H129" s="19"/>
      <c r="I129" s="19"/>
      <c r="J129" s="19"/>
      <c r="K129" s="19"/>
      <c r="L129" s="20"/>
      <c r="M129" s="20">
        <f t="shared" si="136"/>
        <v>730</v>
      </c>
      <c r="N129" s="21">
        <f t="shared" ca="1" si="1"/>
        <v>-45491.500559837965</v>
      </c>
      <c r="O129" s="22" t="str">
        <f t="shared" ca="1" si="137"/>
        <v>NO CUMPLE</v>
      </c>
      <c r="P129" s="20"/>
      <c r="Q129" s="20">
        <f t="shared" si="138"/>
        <v>730</v>
      </c>
      <c r="R129" s="21">
        <f t="shared" ca="1" si="4"/>
        <v>-45491.500559837965</v>
      </c>
      <c r="S129" s="22" t="str">
        <f t="shared" ca="1" si="139"/>
        <v>NO CUMPLE</v>
      </c>
      <c r="T129" s="20"/>
      <c r="U129" s="20">
        <f t="shared" si="140"/>
        <v>730</v>
      </c>
      <c r="V129" s="21">
        <f t="shared" ca="1" si="7"/>
        <v>-45491.500559837965</v>
      </c>
      <c r="W129" s="22" t="str">
        <f t="shared" ca="1" si="141"/>
        <v>NO CUMPLE</v>
      </c>
      <c r="X129" s="4">
        <v>4</v>
      </c>
      <c r="Y129" s="4">
        <v>3</v>
      </c>
      <c r="Z129" s="4">
        <f t="shared" si="9"/>
        <v>0</v>
      </c>
      <c r="AA129" s="4">
        <f t="shared" ca="1" si="10"/>
        <v>0</v>
      </c>
      <c r="AB129" s="47">
        <f t="shared" ref="AB129:AC129" si="151">Z129/X129</f>
        <v>0</v>
      </c>
      <c r="AC129" s="47">
        <f t="shared" ca="1" si="151"/>
        <v>0</v>
      </c>
      <c r="AD129" s="48">
        <f t="shared" ca="1" si="143"/>
        <v>0</v>
      </c>
      <c r="AE129" s="6"/>
      <c r="AF129" s="6"/>
      <c r="AG129" s="6"/>
      <c r="AH129" s="6"/>
    </row>
    <row r="130" spans="1:34" ht="14.4" x14ac:dyDescent="0.3">
      <c r="A130" s="2"/>
      <c r="B130" s="46"/>
      <c r="C130" s="18" t="e">
        <f>LOOKUP(F130,BD!C:C,BD!A:A)</f>
        <v>#N/A</v>
      </c>
      <c r="D130" s="18" t="e">
        <f>LOOKUP(F130,BD!C:C,BD!B:B)</f>
        <v>#N/A</v>
      </c>
      <c r="E130" s="18"/>
      <c r="F130" s="18"/>
      <c r="G130" s="18" t="e">
        <f>LOOKUP(F130,BD!C:C,BD!D:D)</f>
        <v>#N/A</v>
      </c>
      <c r="H130" s="19"/>
      <c r="I130" s="19"/>
      <c r="J130" s="19"/>
      <c r="K130" s="19"/>
      <c r="L130" s="20"/>
      <c r="M130" s="20">
        <f t="shared" si="136"/>
        <v>730</v>
      </c>
      <c r="N130" s="21">
        <f t="shared" ca="1" si="1"/>
        <v>-45491.500559837965</v>
      </c>
      <c r="O130" s="22" t="str">
        <f t="shared" ca="1" si="137"/>
        <v>NO CUMPLE</v>
      </c>
      <c r="P130" s="20"/>
      <c r="Q130" s="20">
        <f t="shared" si="138"/>
        <v>730</v>
      </c>
      <c r="R130" s="21">
        <f t="shared" ca="1" si="4"/>
        <v>-45491.500559837965</v>
      </c>
      <c r="S130" s="22" t="str">
        <f t="shared" ca="1" si="139"/>
        <v>NO CUMPLE</v>
      </c>
      <c r="T130" s="20"/>
      <c r="U130" s="20">
        <f t="shared" si="140"/>
        <v>730</v>
      </c>
      <c r="V130" s="21">
        <f t="shared" ca="1" si="7"/>
        <v>-45491.500559837965</v>
      </c>
      <c r="W130" s="22" t="str">
        <f t="shared" ca="1" si="141"/>
        <v>NO CUMPLE</v>
      </c>
      <c r="X130" s="4">
        <v>4</v>
      </c>
      <c r="Y130" s="4">
        <v>3</v>
      </c>
      <c r="Z130" s="4">
        <f t="shared" si="9"/>
        <v>0</v>
      </c>
      <c r="AA130" s="4">
        <f t="shared" ca="1" si="10"/>
        <v>0</v>
      </c>
      <c r="AB130" s="47">
        <f t="shared" ref="AB130:AC130" si="152">Z130/X130</f>
        <v>0</v>
      </c>
      <c r="AC130" s="47">
        <f t="shared" ca="1" si="152"/>
        <v>0</v>
      </c>
      <c r="AD130" s="48">
        <f t="shared" ca="1" si="143"/>
        <v>0</v>
      </c>
      <c r="AE130" s="6"/>
      <c r="AF130" s="6"/>
      <c r="AG130" s="6"/>
      <c r="AH130" s="6"/>
    </row>
    <row r="131" spans="1:34" ht="14.4" x14ac:dyDescent="0.3">
      <c r="A131" s="2"/>
      <c r="B131" s="46"/>
      <c r="C131" s="18" t="e">
        <f>LOOKUP(F131,BD!C:C,BD!A:A)</f>
        <v>#N/A</v>
      </c>
      <c r="D131" s="18" t="e">
        <f>LOOKUP(F131,BD!C:C,BD!B:B)</f>
        <v>#N/A</v>
      </c>
      <c r="E131" s="18"/>
      <c r="F131" s="18"/>
      <c r="G131" s="18" t="e">
        <f>LOOKUP(F131,BD!C:C,BD!D:D)</f>
        <v>#N/A</v>
      </c>
      <c r="H131" s="19"/>
      <c r="I131" s="19"/>
      <c r="J131" s="19"/>
      <c r="K131" s="19"/>
      <c r="L131" s="20"/>
      <c r="M131" s="20">
        <f t="shared" si="136"/>
        <v>730</v>
      </c>
      <c r="N131" s="21">
        <f t="shared" ca="1" si="1"/>
        <v>-45491.500559837965</v>
      </c>
      <c r="O131" s="22" t="str">
        <f t="shared" ca="1" si="137"/>
        <v>NO CUMPLE</v>
      </c>
      <c r="P131" s="20"/>
      <c r="Q131" s="20">
        <f t="shared" si="138"/>
        <v>730</v>
      </c>
      <c r="R131" s="21">
        <f t="shared" ca="1" si="4"/>
        <v>-45491.500559837965</v>
      </c>
      <c r="S131" s="22" t="str">
        <f t="shared" ca="1" si="139"/>
        <v>NO CUMPLE</v>
      </c>
      <c r="T131" s="20"/>
      <c r="U131" s="20">
        <f t="shared" si="140"/>
        <v>730</v>
      </c>
      <c r="V131" s="21">
        <f t="shared" ca="1" si="7"/>
        <v>-45491.500559837965</v>
      </c>
      <c r="W131" s="22" t="str">
        <f t="shared" ca="1" si="141"/>
        <v>NO CUMPLE</v>
      </c>
      <c r="X131" s="4">
        <v>4</v>
      </c>
      <c r="Y131" s="4">
        <v>3</v>
      </c>
      <c r="Z131" s="4">
        <f t="shared" si="9"/>
        <v>0</v>
      </c>
      <c r="AA131" s="4">
        <f t="shared" ca="1" si="10"/>
        <v>0</v>
      </c>
      <c r="AB131" s="47">
        <f t="shared" ref="AB131:AC131" si="153">Z131/X131</f>
        <v>0</v>
      </c>
      <c r="AC131" s="47">
        <f t="shared" ca="1" si="153"/>
        <v>0</v>
      </c>
      <c r="AD131" s="48">
        <f t="shared" ca="1" si="143"/>
        <v>0</v>
      </c>
      <c r="AE131" s="6"/>
      <c r="AF131" s="6"/>
      <c r="AG131" s="6"/>
      <c r="AH131" s="6"/>
    </row>
    <row r="132" spans="1:34" ht="14.4" x14ac:dyDescent="0.3">
      <c r="A132" s="2"/>
      <c r="B132" s="46"/>
      <c r="C132" s="18" t="e">
        <f>LOOKUP(F132,BD!C:C,BD!A:A)</f>
        <v>#N/A</v>
      </c>
      <c r="D132" s="18" t="e">
        <f>LOOKUP(F132,BD!C:C,BD!B:B)</f>
        <v>#N/A</v>
      </c>
      <c r="E132" s="18"/>
      <c r="F132" s="18"/>
      <c r="G132" s="18" t="e">
        <f>LOOKUP(F132,BD!C:C,BD!D:D)</f>
        <v>#N/A</v>
      </c>
      <c r="H132" s="19"/>
      <c r="I132" s="19"/>
      <c r="J132" s="19"/>
      <c r="K132" s="19"/>
      <c r="L132" s="20"/>
      <c r="M132" s="20">
        <f t="shared" si="136"/>
        <v>730</v>
      </c>
      <c r="N132" s="21">
        <f t="shared" ca="1" si="1"/>
        <v>-45491.500559837965</v>
      </c>
      <c r="O132" s="22" t="str">
        <f t="shared" ca="1" si="137"/>
        <v>NO CUMPLE</v>
      </c>
      <c r="P132" s="20"/>
      <c r="Q132" s="20">
        <f t="shared" si="138"/>
        <v>730</v>
      </c>
      <c r="R132" s="21">
        <f t="shared" ca="1" si="4"/>
        <v>-45491.500559837965</v>
      </c>
      <c r="S132" s="22" t="str">
        <f t="shared" ca="1" si="139"/>
        <v>NO CUMPLE</v>
      </c>
      <c r="T132" s="20"/>
      <c r="U132" s="20">
        <f t="shared" si="140"/>
        <v>730</v>
      </c>
      <c r="V132" s="21">
        <f t="shared" ca="1" si="7"/>
        <v>-45491.500559722219</v>
      </c>
      <c r="W132" s="22" t="str">
        <f t="shared" ca="1" si="141"/>
        <v>NO CUMPLE</v>
      </c>
      <c r="X132" s="4">
        <v>4</v>
      </c>
      <c r="Y132" s="4">
        <v>3</v>
      </c>
      <c r="Z132" s="4">
        <f t="shared" si="9"/>
        <v>0</v>
      </c>
      <c r="AA132" s="4">
        <f t="shared" ca="1" si="10"/>
        <v>0</v>
      </c>
      <c r="AB132" s="47">
        <f t="shared" ref="AB132:AC132" si="154">Z132/X132</f>
        <v>0</v>
      </c>
      <c r="AC132" s="47">
        <f t="shared" ca="1" si="154"/>
        <v>0</v>
      </c>
      <c r="AD132" s="48">
        <f t="shared" ca="1" si="143"/>
        <v>0</v>
      </c>
      <c r="AE132" s="6"/>
      <c r="AF132" s="6"/>
      <c r="AG132" s="6"/>
      <c r="AH132" s="6"/>
    </row>
    <row r="133" spans="1:34" ht="14.4" x14ac:dyDescent="0.3">
      <c r="A133" s="2"/>
      <c r="B133" s="46"/>
      <c r="C133" s="18" t="e">
        <f>LOOKUP(F133,BD!C:C,BD!A:A)</f>
        <v>#N/A</v>
      </c>
      <c r="D133" s="18" t="e">
        <f>LOOKUP(F133,BD!C:C,BD!B:B)</f>
        <v>#N/A</v>
      </c>
      <c r="E133" s="18"/>
      <c r="F133" s="18"/>
      <c r="G133" s="18" t="e">
        <f>LOOKUP(F133,BD!C:C,BD!D:D)</f>
        <v>#N/A</v>
      </c>
      <c r="H133" s="19"/>
      <c r="I133" s="19"/>
      <c r="J133" s="19"/>
      <c r="K133" s="19"/>
      <c r="L133" s="20"/>
      <c r="M133" s="20">
        <f t="shared" si="136"/>
        <v>730</v>
      </c>
      <c r="N133" s="21">
        <f t="shared" ca="1" si="1"/>
        <v>-45491.500559837965</v>
      </c>
      <c r="O133" s="22" t="str">
        <f t="shared" ca="1" si="137"/>
        <v>NO CUMPLE</v>
      </c>
      <c r="P133" s="20"/>
      <c r="Q133" s="20">
        <f t="shared" si="138"/>
        <v>730</v>
      </c>
      <c r="R133" s="21">
        <f t="shared" ca="1" si="4"/>
        <v>-45491.500559837965</v>
      </c>
      <c r="S133" s="22" t="str">
        <f t="shared" ca="1" si="139"/>
        <v>NO CUMPLE</v>
      </c>
      <c r="T133" s="20"/>
      <c r="U133" s="20">
        <f t="shared" si="140"/>
        <v>730</v>
      </c>
      <c r="V133" s="21">
        <f t="shared" ca="1" si="7"/>
        <v>-45491.500559837965</v>
      </c>
      <c r="W133" s="22" t="str">
        <f t="shared" ca="1" si="141"/>
        <v>NO CUMPLE</v>
      </c>
      <c r="X133" s="4">
        <v>4</v>
      </c>
      <c r="Y133" s="4">
        <v>3</v>
      </c>
      <c r="Z133" s="4">
        <f t="shared" si="9"/>
        <v>0</v>
      </c>
      <c r="AA133" s="4">
        <f t="shared" ca="1" si="10"/>
        <v>0</v>
      </c>
      <c r="AB133" s="47">
        <f t="shared" ref="AB133:AC133" si="155">Z133/X133</f>
        <v>0</v>
      </c>
      <c r="AC133" s="47">
        <f t="shared" ca="1" si="155"/>
        <v>0</v>
      </c>
      <c r="AD133" s="48">
        <f t="shared" ca="1" si="143"/>
        <v>0</v>
      </c>
      <c r="AE133" s="6"/>
      <c r="AF133" s="6"/>
      <c r="AG133" s="6"/>
      <c r="AH133" s="6"/>
    </row>
    <row r="134" spans="1:34" ht="14.4" x14ac:dyDescent="0.3">
      <c r="A134" s="2"/>
      <c r="B134" s="46"/>
      <c r="C134" s="18" t="e">
        <f>LOOKUP(F134,BD!C:C,BD!A:A)</f>
        <v>#N/A</v>
      </c>
      <c r="D134" s="18" t="e">
        <f>LOOKUP(F134,BD!C:C,BD!B:B)</f>
        <v>#N/A</v>
      </c>
      <c r="E134" s="18"/>
      <c r="F134" s="18"/>
      <c r="G134" s="18" t="e">
        <f>LOOKUP(F134,BD!C:C,BD!D:D)</f>
        <v>#N/A</v>
      </c>
      <c r="H134" s="19"/>
      <c r="I134" s="19"/>
      <c r="J134" s="19"/>
      <c r="K134" s="19"/>
      <c r="L134" s="20"/>
      <c r="M134" s="20">
        <f t="shared" si="136"/>
        <v>730</v>
      </c>
      <c r="N134" s="21">
        <f t="shared" ca="1" si="1"/>
        <v>-45491.500559837965</v>
      </c>
      <c r="O134" s="22" t="str">
        <f t="shared" ca="1" si="137"/>
        <v>NO CUMPLE</v>
      </c>
      <c r="P134" s="20"/>
      <c r="Q134" s="20">
        <f t="shared" si="138"/>
        <v>730</v>
      </c>
      <c r="R134" s="21">
        <f t="shared" ca="1" si="4"/>
        <v>-45491.500559837965</v>
      </c>
      <c r="S134" s="22" t="str">
        <f t="shared" ca="1" si="139"/>
        <v>NO CUMPLE</v>
      </c>
      <c r="T134" s="20"/>
      <c r="U134" s="20">
        <f t="shared" si="140"/>
        <v>730</v>
      </c>
      <c r="V134" s="21">
        <f t="shared" ca="1" si="7"/>
        <v>-45491.500559837965</v>
      </c>
      <c r="W134" s="22" t="str">
        <f t="shared" ca="1" si="141"/>
        <v>NO CUMPLE</v>
      </c>
      <c r="X134" s="4">
        <v>4</v>
      </c>
      <c r="Y134" s="4">
        <v>3</v>
      </c>
      <c r="Z134" s="4">
        <f t="shared" si="9"/>
        <v>0</v>
      </c>
      <c r="AA134" s="4">
        <f t="shared" ca="1" si="10"/>
        <v>0</v>
      </c>
      <c r="AB134" s="47">
        <f t="shared" ref="AB134:AC134" si="156">Z134/X134</f>
        <v>0</v>
      </c>
      <c r="AC134" s="47">
        <f t="shared" ca="1" si="156"/>
        <v>0</v>
      </c>
      <c r="AD134" s="48">
        <f t="shared" ca="1" si="143"/>
        <v>0</v>
      </c>
      <c r="AE134" s="6"/>
      <c r="AF134" s="6"/>
      <c r="AG134" s="6"/>
      <c r="AH134" s="6"/>
    </row>
    <row r="135" spans="1:34" ht="14.4" x14ac:dyDescent="0.3">
      <c r="A135" s="2"/>
      <c r="B135" s="46"/>
      <c r="C135" s="18" t="e">
        <f>LOOKUP(F135,BD!C:C,BD!A:A)</f>
        <v>#N/A</v>
      </c>
      <c r="D135" s="18" t="e">
        <f>LOOKUP(F135,BD!C:C,BD!B:B)</f>
        <v>#N/A</v>
      </c>
      <c r="E135" s="18"/>
      <c r="F135" s="18"/>
      <c r="G135" s="18" t="e">
        <f>LOOKUP(F135,BD!C:C,BD!D:D)</f>
        <v>#N/A</v>
      </c>
      <c r="H135" s="19"/>
      <c r="I135" s="19"/>
      <c r="J135" s="19"/>
      <c r="K135" s="19"/>
      <c r="L135" s="20"/>
      <c r="M135" s="20">
        <f t="shared" si="136"/>
        <v>730</v>
      </c>
      <c r="N135" s="21">
        <f t="shared" ca="1" si="1"/>
        <v>-45491.500559837965</v>
      </c>
      <c r="O135" s="22" t="str">
        <f t="shared" ca="1" si="137"/>
        <v>NO CUMPLE</v>
      </c>
      <c r="P135" s="20"/>
      <c r="Q135" s="20">
        <f t="shared" si="138"/>
        <v>730</v>
      </c>
      <c r="R135" s="21">
        <f t="shared" ca="1" si="4"/>
        <v>-45491.500559837965</v>
      </c>
      <c r="S135" s="22" t="str">
        <f t="shared" ca="1" si="139"/>
        <v>NO CUMPLE</v>
      </c>
      <c r="T135" s="20"/>
      <c r="U135" s="20">
        <f t="shared" si="140"/>
        <v>730</v>
      </c>
      <c r="V135" s="21">
        <f t="shared" ca="1" si="7"/>
        <v>-45491.500559722219</v>
      </c>
      <c r="W135" s="22" t="str">
        <f t="shared" ca="1" si="141"/>
        <v>NO CUMPLE</v>
      </c>
      <c r="X135" s="4">
        <v>4</v>
      </c>
      <c r="Y135" s="4">
        <v>3</v>
      </c>
      <c r="Z135" s="4">
        <f t="shared" si="9"/>
        <v>0</v>
      </c>
      <c r="AA135" s="4">
        <f t="shared" ca="1" si="10"/>
        <v>0</v>
      </c>
      <c r="AB135" s="47">
        <f t="shared" ref="AB135:AC135" si="157">Z135/X135</f>
        <v>0</v>
      </c>
      <c r="AC135" s="47">
        <f t="shared" ca="1" si="157"/>
        <v>0</v>
      </c>
      <c r="AD135" s="48">
        <f t="shared" ca="1" si="143"/>
        <v>0</v>
      </c>
      <c r="AE135" s="6"/>
      <c r="AF135" s="6"/>
      <c r="AG135" s="6"/>
      <c r="AH135" s="6"/>
    </row>
    <row r="136" spans="1:34" ht="14.4" x14ac:dyDescent="0.3">
      <c r="A136" s="2"/>
      <c r="B136" s="46"/>
      <c r="C136" s="18" t="e">
        <f>LOOKUP(F136,BD!C:C,BD!A:A)</f>
        <v>#N/A</v>
      </c>
      <c r="D136" s="18" t="e">
        <f>LOOKUP(F136,BD!C:C,BD!B:B)</f>
        <v>#N/A</v>
      </c>
      <c r="E136" s="18"/>
      <c r="F136" s="18"/>
      <c r="G136" s="18" t="e">
        <f>LOOKUP(F136,BD!C:C,BD!D:D)</f>
        <v>#N/A</v>
      </c>
      <c r="H136" s="19"/>
      <c r="I136" s="19"/>
      <c r="J136" s="19"/>
      <c r="K136" s="19"/>
      <c r="L136" s="20"/>
      <c r="M136" s="20">
        <f t="shared" si="136"/>
        <v>730</v>
      </c>
      <c r="N136" s="21">
        <f t="shared" ca="1" si="1"/>
        <v>-45491.500559837965</v>
      </c>
      <c r="O136" s="22" t="str">
        <f t="shared" ca="1" si="137"/>
        <v>NO CUMPLE</v>
      </c>
      <c r="P136" s="20"/>
      <c r="Q136" s="20">
        <f t="shared" si="138"/>
        <v>730</v>
      </c>
      <c r="R136" s="21">
        <f t="shared" ca="1" si="4"/>
        <v>-45491.500559837965</v>
      </c>
      <c r="S136" s="22" t="str">
        <f t="shared" ca="1" si="139"/>
        <v>NO CUMPLE</v>
      </c>
      <c r="T136" s="20"/>
      <c r="U136" s="20">
        <f t="shared" si="140"/>
        <v>730</v>
      </c>
      <c r="V136" s="21">
        <f t="shared" ca="1" si="7"/>
        <v>-45491.500559837965</v>
      </c>
      <c r="W136" s="22" t="str">
        <f t="shared" ca="1" si="141"/>
        <v>NO CUMPLE</v>
      </c>
      <c r="X136" s="4">
        <v>4</v>
      </c>
      <c r="Y136" s="4">
        <v>3</v>
      </c>
      <c r="Z136" s="4">
        <f t="shared" si="9"/>
        <v>0</v>
      </c>
      <c r="AA136" s="4">
        <f t="shared" ca="1" si="10"/>
        <v>0</v>
      </c>
      <c r="AB136" s="47">
        <f t="shared" ref="AB136:AC136" si="158">Z136/X136</f>
        <v>0</v>
      </c>
      <c r="AC136" s="47">
        <f t="shared" ca="1" si="158"/>
        <v>0</v>
      </c>
      <c r="AD136" s="48">
        <f t="shared" ca="1" si="143"/>
        <v>0</v>
      </c>
      <c r="AE136" s="6"/>
      <c r="AF136" s="6"/>
      <c r="AG136" s="6"/>
      <c r="AH136" s="6"/>
    </row>
    <row r="137" spans="1:34" ht="14.4" x14ac:dyDescent="0.3">
      <c r="A137" s="2"/>
      <c r="B137" s="46"/>
      <c r="C137" s="18" t="e">
        <f>LOOKUP(F137,BD!C:C,BD!A:A)</f>
        <v>#N/A</v>
      </c>
      <c r="D137" s="18" t="e">
        <f>LOOKUP(F137,BD!C:C,BD!B:B)</f>
        <v>#N/A</v>
      </c>
      <c r="E137" s="18"/>
      <c r="F137" s="18"/>
      <c r="G137" s="18" t="e">
        <f>LOOKUP(F137,BD!C:C,BD!D:D)</f>
        <v>#N/A</v>
      </c>
      <c r="H137" s="19"/>
      <c r="I137" s="19"/>
      <c r="J137" s="19"/>
      <c r="K137" s="19"/>
      <c r="L137" s="20"/>
      <c r="M137" s="20">
        <f t="shared" si="136"/>
        <v>730</v>
      </c>
      <c r="N137" s="21">
        <f t="shared" ca="1" si="1"/>
        <v>-45491.500559837965</v>
      </c>
      <c r="O137" s="22" t="str">
        <f t="shared" ca="1" si="137"/>
        <v>NO CUMPLE</v>
      </c>
      <c r="P137" s="20"/>
      <c r="Q137" s="20">
        <f t="shared" si="138"/>
        <v>730</v>
      </c>
      <c r="R137" s="21">
        <f t="shared" ca="1" si="4"/>
        <v>-45491.500559837965</v>
      </c>
      <c r="S137" s="22" t="str">
        <f t="shared" ca="1" si="139"/>
        <v>NO CUMPLE</v>
      </c>
      <c r="T137" s="20"/>
      <c r="U137" s="20">
        <f t="shared" si="140"/>
        <v>730</v>
      </c>
      <c r="V137" s="21">
        <f t="shared" ca="1" si="7"/>
        <v>-45491.500559837965</v>
      </c>
      <c r="W137" s="22" t="str">
        <f t="shared" ca="1" si="141"/>
        <v>NO CUMPLE</v>
      </c>
      <c r="X137" s="4">
        <v>4</v>
      </c>
      <c r="Y137" s="4">
        <v>3</v>
      </c>
      <c r="Z137" s="4">
        <f t="shared" si="9"/>
        <v>0</v>
      </c>
      <c r="AA137" s="4">
        <f t="shared" ca="1" si="10"/>
        <v>0</v>
      </c>
      <c r="AB137" s="47">
        <f t="shared" ref="AB137:AC137" si="159">Z137/X137</f>
        <v>0</v>
      </c>
      <c r="AC137" s="47">
        <f t="shared" ca="1" si="159"/>
        <v>0</v>
      </c>
      <c r="AD137" s="48">
        <f t="shared" ca="1" si="143"/>
        <v>0</v>
      </c>
      <c r="AE137" s="6"/>
      <c r="AF137" s="6"/>
      <c r="AG137" s="6"/>
      <c r="AH137" s="6"/>
    </row>
    <row r="138" spans="1:34" ht="14.4" x14ac:dyDescent="0.3">
      <c r="A138" s="2"/>
      <c r="B138" s="46"/>
      <c r="C138" s="18" t="e">
        <f>LOOKUP(F138,BD!C:C,BD!A:A)</f>
        <v>#N/A</v>
      </c>
      <c r="D138" s="18" t="e">
        <f>LOOKUP(F138,BD!C:C,BD!B:B)</f>
        <v>#N/A</v>
      </c>
      <c r="E138" s="18"/>
      <c r="F138" s="18"/>
      <c r="G138" s="18" t="e">
        <f>LOOKUP(F138,BD!C:C,BD!D:D)</f>
        <v>#N/A</v>
      </c>
      <c r="H138" s="19"/>
      <c r="I138" s="19"/>
      <c r="J138" s="19"/>
      <c r="K138" s="19"/>
      <c r="L138" s="20"/>
      <c r="M138" s="20">
        <f t="shared" si="136"/>
        <v>730</v>
      </c>
      <c r="N138" s="21">
        <f t="shared" ca="1" si="1"/>
        <v>-45491.500559837965</v>
      </c>
      <c r="O138" s="22" t="str">
        <f t="shared" ca="1" si="137"/>
        <v>NO CUMPLE</v>
      </c>
      <c r="P138" s="20"/>
      <c r="Q138" s="20">
        <f t="shared" si="138"/>
        <v>730</v>
      </c>
      <c r="R138" s="21">
        <f t="shared" ca="1" si="4"/>
        <v>-45491.500559837965</v>
      </c>
      <c r="S138" s="22" t="str">
        <f t="shared" ca="1" si="139"/>
        <v>NO CUMPLE</v>
      </c>
      <c r="T138" s="20"/>
      <c r="U138" s="20">
        <f t="shared" si="140"/>
        <v>730</v>
      </c>
      <c r="V138" s="21">
        <f t="shared" ca="1" si="7"/>
        <v>-45491.500559837965</v>
      </c>
      <c r="W138" s="22" t="str">
        <f t="shared" ca="1" si="141"/>
        <v>NO CUMPLE</v>
      </c>
      <c r="X138" s="4">
        <v>4</v>
      </c>
      <c r="Y138" s="4">
        <v>3</v>
      </c>
      <c r="Z138" s="4">
        <f t="shared" si="9"/>
        <v>0</v>
      </c>
      <c r="AA138" s="4">
        <f t="shared" ca="1" si="10"/>
        <v>0</v>
      </c>
      <c r="AB138" s="47">
        <f t="shared" ref="AB138:AC138" si="160">Z138/X138</f>
        <v>0</v>
      </c>
      <c r="AC138" s="47">
        <f t="shared" ca="1" si="160"/>
        <v>0</v>
      </c>
      <c r="AD138" s="48">
        <f t="shared" ca="1" si="143"/>
        <v>0</v>
      </c>
      <c r="AE138" s="6"/>
      <c r="AF138" s="6"/>
      <c r="AG138" s="6"/>
      <c r="AH138" s="6"/>
    </row>
    <row r="139" spans="1:34" ht="14.4" x14ac:dyDescent="0.3">
      <c r="A139" s="2"/>
      <c r="B139" s="46"/>
      <c r="C139" s="18" t="e">
        <f>LOOKUP(F139,BD!C:C,BD!A:A)</f>
        <v>#N/A</v>
      </c>
      <c r="D139" s="18" t="e">
        <f>LOOKUP(F139,BD!C:C,BD!B:B)</f>
        <v>#N/A</v>
      </c>
      <c r="E139" s="18"/>
      <c r="F139" s="18"/>
      <c r="G139" s="18" t="e">
        <f>LOOKUP(F139,BD!C:C,BD!D:D)</f>
        <v>#N/A</v>
      </c>
      <c r="H139" s="19"/>
      <c r="I139" s="19"/>
      <c r="J139" s="19"/>
      <c r="K139" s="19"/>
      <c r="L139" s="20"/>
      <c r="M139" s="20">
        <f t="shared" si="136"/>
        <v>730</v>
      </c>
      <c r="N139" s="21">
        <f t="shared" ca="1" si="1"/>
        <v>-45491.500559837965</v>
      </c>
      <c r="O139" s="22" t="str">
        <f t="shared" ca="1" si="137"/>
        <v>NO CUMPLE</v>
      </c>
      <c r="P139" s="20"/>
      <c r="Q139" s="20">
        <f t="shared" si="138"/>
        <v>730</v>
      </c>
      <c r="R139" s="21">
        <f t="shared" ca="1" si="4"/>
        <v>-45491.500559722219</v>
      </c>
      <c r="S139" s="22" t="str">
        <f t="shared" ca="1" si="139"/>
        <v>NO CUMPLE</v>
      </c>
      <c r="T139" s="20"/>
      <c r="U139" s="20">
        <f t="shared" si="140"/>
        <v>730</v>
      </c>
      <c r="V139" s="21">
        <f t="shared" ca="1" si="7"/>
        <v>-45491.500559837965</v>
      </c>
      <c r="W139" s="22" t="str">
        <f t="shared" ca="1" si="141"/>
        <v>NO CUMPLE</v>
      </c>
      <c r="X139" s="4">
        <v>4</v>
      </c>
      <c r="Y139" s="4">
        <v>3</v>
      </c>
      <c r="Z139" s="4">
        <f t="shared" si="9"/>
        <v>0</v>
      </c>
      <c r="AA139" s="4">
        <f t="shared" ca="1" si="10"/>
        <v>0</v>
      </c>
      <c r="AB139" s="47">
        <f t="shared" ref="AB139:AC139" si="161">Z139/X139</f>
        <v>0</v>
      </c>
      <c r="AC139" s="47">
        <f t="shared" ca="1" si="161"/>
        <v>0</v>
      </c>
      <c r="AD139" s="48">
        <f t="shared" ca="1" si="143"/>
        <v>0</v>
      </c>
      <c r="AE139" s="6"/>
      <c r="AF139" s="6"/>
      <c r="AG139" s="6"/>
      <c r="AH139" s="6"/>
    </row>
    <row r="140" spans="1:34" ht="14.4" x14ac:dyDescent="0.3">
      <c r="A140" s="2"/>
      <c r="B140" s="46"/>
      <c r="C140" s="18" t="e">
        <f>LOOKUP(F140,BD!C:C,BD!A:A)</f>
        <v>#N/A</v>
      </c>
      <c r="D140" s="18" t="e">
        <f>LOOKUP(F140,BD!C:C,BD!B:B)</f>
        <v>#N/A</v>
      </c>
      <c r="E140" s="18"/>
      <c r="F140" s="18"/>
      <c r="G140" s="18" t="e">
        <f>LOOKUP(F140,BD!C:C,BD!D:D)</f>
        <v>#N/A</v>
      </c>
      <c r="H140" s="19"/>
      <c r="I140" s="19"/>
      <c r="J140" s="19"/>
      <c r="K140" s="19"/>
      <c r="L140" s="20"/>
      <c r="M140" s="20">
        <f t="shared" si="136"/>
        <v>730</v>
      </c>
      <c r="N140" s="21">
        <f t="shared" ca="1" si="1"/>
        <v>-45491.500559837965</v>
      </c>
      <c r="O140" s="22" t="str">
        <f t="shared" ca="1" si="137"/>
        <v>NO CUMPLE</v>
      </c>
      <c r="P140" s="20"/>
      <c r="Q140" s="20">
        <f t="shared" si="138"/>
        <v>730</v>
      </c>
      <c r="R140" s="21">
        <f t="shared" ca="1" si="4"/>
        <v>-45491.500559837965</v>
      </c>
      <c r="S140" s="22" t="str">
        <f t="shared" ca="1" si="139"/>
        <v>NO CUMPLE</v>
      </c>
      <c r="T140" s="20"/>
      <c r="U140" s="20">
        <f t="shared" si="140"/>
        <v>730</v>
      </c>
      <c r="V140" s="21">
        <f t="shared" ca="1" si="7"/>
        <v>-45491.500559837965</v>
      </c>
      <c r="W140" s="22" t="str">
        <f t="shared" ca="1" si="141"/>
        <v>NO CUMPLE</v>
      </c>
      <c r="X140" s="4">
        <v>4</v>
      </c>
      <c r="Y140" s="4">
        <v>3</v>
      </c>
      <c r="Z140" s="4">
        <f t="shared" si="9"/>
        <v>0</v>
      </c>
      <c r="AA140" s="4">
        <f t="shared" ca="1" si="10"/>
        <v>0</v>
      </c>
      <c r="AB140" s="47">
        <f t="shared" ref="AB140:AC140" si="162">Z140/X140</f>
        <v>0</v>
      </c>
      <c r="AC140" s="47">
        <f t="shared" ca="1" si="162"/>
        <v>0</v>
      </c>
      <c r="AD140" s="48">
        <f t="shared" ca="1" si="143"/>
        <v>0</v>
      </c>
      <c r="AE140" s="6"/>
      <c r="AF140" s="6"/>
      <c r="AG140" s="6"/>
      <c r="AH140" s="6"/>
    </row>
    <row r="141" spans="1:34" ht="14.4" x14ac:dyDescent="0.3">
      <c r="A141" s="2"/>
      <c r="B141" s="46"/>
      <c r="C141" s="18" t="e">
        <f>LOOKUP(F141,BD!C:C,BD!A:A)</f>
        <v>#N/A</v>
      </c>
      <c r="D141" s="18" t="e">
        <f>LOOKUP(F141,BD!C:C,BD!B:B)</f>
        <v>#N/A</v>
      </c>
      <c r="E141" s="18"/>
      <c r="F141" s="18"/>
      <c r="G141" s="18" t="e">
        <f>LOOKUP(F141,BD!C:C,BD!D:D)</f>
        <v>#N/A</v>
      </c>
      <c r="H141" s="19"/>
      <c r="I141" s="19"/>
      <c r="J141" s="19"/>
      <c r="K141" s="19"/>
      <c r="L141" s="20"/>
      <c r="M141" s="20">
        <f t="shared" si="136"/>
        <v>730</v>
      </c>
      <c r="N141" s="21">
        <f t="shared" ca="1" si="1"/>
        <v>-45491.500559722219</v>
      </c>
      <c r="O141" s="22" t="str">
        <f t="shared" ca="1" si="137"/>
        <v>NO CUMPLE</v>
      </c>
      <c r="P141" s="20"/>
      <c r="Q141" s="20">
        <f t="shared" si="138"/>
        <v>730</v>
      </c>
      <c r="R141" s="21">
        <f t="shared" ca="1" si="4"/>
        <v>-45491.500559837965</v>
      </c>
      <c r="S141" s="22" t="str">
        <f t="shared" ca="1" si="139"/>
        <v>NO CUMPLE</v>
      </c>
      <c r="T141" s="20"/>
      <c r="U141" s="20">
        <f t="shared" si="140"/>
        <v>730</v>
      </c>
      <c r="V141" s="21">
        <f t="shared" ca="1" si="7"/>
        <v>-45491.500559837965</v>
      </c>
      <c r="W141" s="22" t="str">
        <f t="shared" ca="1" si="141"/>
        <v>NO CUMPLE</v>
      </c>
      <c r="X141" s="4">
        <v>4</v>
      </c>
      <c r="Y141" s="4">
        <v>3</v>
      </c>
      <c r="Z141" s="4">
        <f t="shared" si="9"/>
        <v>0</v>
      </c>
      <c r="AA141" s="4">
        <f t="shared" ca="1" si="10"/>
        <v>0</v>
      </c>
      <c r="AB141" s="47">
        <f t="shared" ref="AB141:AC141" si="163">Z141/X141</f>
        <v>0</v>
      </c>
      <c r="AC141" s="47">
        <f t="shared" ca="1" si="163"/>
        <v>0</v>
      </c>
      <c r="AD141" s="48">
        <f t="shared" ca="1" si="143"/>
        <v>0</v>
      </c>
      <c r="AE141" s="6"/>
      <c r="AF141" s="6"/>
      <c r="AG141" s="6"/>
      <c r="AH141" s="6"/>
    </row>
    <row r="142" spans="1:34" ht="14.4" x14ac:dyDescent="0.3">
      <c r="A142" s="2"/>
      <c r="B142" s="46"/>
      <c r="C142" s="18" t="e">
        <f>LOOKUP(F142,BD!C:C,BD!A:A)</f>
        <v>#N/A</v>
      </c>
      <c r="D142" s="18" t="e">
        <f>LOOKUP(F142,BD!C:C,BD!B:B)</f>
        <v>#N/A</v>
      </c>
      <c r="E142" s="18"/>
      <c r="F142" s="18"/>
      <c r="G142" s="18" t="e">
        <f>LOOKUP(F142,BD!C:C,BD!D:D)</f>
        <v>#N/A</v>
      </c>
      <c r="H142" s="19"/>
      <c r="I142" s="19"/>
      <c r="J142" s="19"/>
      <c r="K142" s="19"/>
      <c r="L142" s="20"/>
      <c r="M142" s="20">
        <f t="shared" si="136"/>
        <v>730</v>
      </c>
      <c r="N142" s="21">
        <f t="shared" ca="1" si="1"/>
        <v>-45491.500559837965</v>
      </c>
      <c r="O142" s="22" t="str">
        <f t="shared" ca="1" si="137"/>
        <v>NO CUMPLE</v>
      </c>
      <c r="P142" s="20"/>
      <c r="Q142" s="20">
        <f t="shared" si="138"/>
        <v>730</v>
      </c>
      <c r="R142" s="21">
        <f t="shared" ca="1" si="4"/>
        <v>-45491.500559837965</v>
      </c>
      <c r="S142" s="22" t="str">
        <f t="shared" ca="1" si="139"/>
        <v>NO CUMPLE</v>
      </c>
      <c r="T142" s="20"/>
      <c r="U142" s="20">
        <f t="shared" si="140"/>
        <v>730</v>
      </c>
      <c r="V142" s="21">
        <f t="shared" ca="1" si="7"/>
        <v>-45491.500559837965</v>
      </c>
      <c r="W142" s="22" t="str">
        <f t="shared" ca="1" si="141"/>
        <v>NO CUMPLE</v>
      </c>
      <c r="X142" s="4">
        <v>4</v>
      </c>
      <c r="Y142" s="4">
        <v>3</v>
      </c>
      <c r="Z142" s="4">
        <f t="shared" si="9"/>
        <v>0</v>
      </c>
      <c r="AA142" s="4">
        <f t="shared" ca="1" si="10"/>
        <v>0</v>
      </c>
      <c r="AB142" s="47">
        <f t="shared" ref="AB142:AC142" si="164">Z142/X142</f>
        <v>0</v>
      </c>
      <c r="AC142" s="47">
        <f t="shared" ca="1" si="164"/>
        <v>0</v>
      </c>
      <c r="AD142" s="48">
        <f t="shared" ca="1" si="143"/>
        <v>0</v>
      </c>
      <c r="AE142" s="6"/>
      <c r="AF142" s="6"/>
      <c r="AG142" s="6"/>
      <c r="AH142" s="6"/>
    </row>
    <row r="143" spans="1:34" ht="14.4" x14ac:dyDescent="0.3">
      <c r="A143" s="2"/>
      <c r="B143" s="46"/>
      <c r="C143" s="18" t="e">
        <f>LOOKUP(F143,BD!C:C,BD!A:A)</f>
        <v>#N/A</v>
      </c>
      <c r="D143" s="18" t="e">
        <f>LOOKUP(F143,BD!C:C,BD!B:B)</f>
        <v>#N/A</v>
      </c>
      <c r="E143" s="18"/>
      <c r="F143" s="18"/>
      <c r="G143" s="18" t="e">
        <f>LOOKUP(F143,BD!C:C,BD!D:D)</f>
        <v>#N/A</v>
      </c>
      <c r="H143" s="19"/>
      <c r="I143" s="19"/>
      <c r="J143" s="19"/>
      <c r="K143" s="19"/>
      <c r="L143" s="20"/>
      <c r="M143" s="20">
        <f t="shared" si="136"/>
        <v>730</v>
      </c>
      <c r="N143" s="21">
        <f t="shared" ca="1" si="1"/>
        <v>-45491.500559837965</v>
      </c>
      <c r="O143" s="22" t="str">
        <f t="shared" ca="1" si="137"/>
        <v>NO CUMPLE</v>
      </c>
      <c r="P143" s="20"/>
      <c r="Q143" s="20">
        <f t="shared" si="138"/>
        <v>730</v>
      </c>
      <c r="R143" s="21">
        <f t="shared" ca="1" si="4"/>
        <v>-45491.500559722219</v>
      </c>
      <c r="S143" s="22" t="str">
        <f t="shared" ca="1" si="139"/>
        <v>NO CUMPLE</v>
      </c>
      <c r="T143" s="20"/>
      <c r="U143" s="20">
        <f t="shared" si="140"/>
        <v>730</v>
      </c>
      <c r="V143" s="21">
        <f t="shared" ca="1" si="7"/>
        <v>-45491.500559837965</v>
      </c>
      <c r="W143" s="22" t="str">
        <f t="shared" ca="1" si="141"/>
        <v>NO CUMPLE</v>
      </c>
      <c r="X143" s="4">
        <v>4</v>
      </c>
      <c r="Y143" s="4">
        <v>3</v>
      </c>
      <c r="Z143" s="4">
        <f t="shared" si="9"/>
        <v>0</v>
      </c>
      <c r="AA143" s="4">
        <f t="shared" ca="1" si="10"/>
        <v>0</v>
      </c>
      <c r="AB143" s="47">
        <f t="shared" ref="AB143:AC143" si="165">Z143/X143</f>
        <v>0</v>
      </c>
      <c r="AC143" s="47">
        <f t="shared" ca="1" si="165"/>
        <v>0</v>
      </c>
      <c r="AD143" s="48">
        <f t="shared" ca="1" si="143"/>
        <v>0</v>
      </c>
      <c r="AE143" s="6"/>
      <c r="AF143" s="6"/>
      <c r="AG143" s="6"/>
      <c r="AH143" s="6"/>
    </row>
    <row r="144" spans="1:34" ht="14.4" x14ac:dyDescent="0.3">
      <c r="A144" s="2"/>
      <c r="B144" s="46"/>
      <c r="C144" s="18" t="e">
        <f>LOOKUP(F144,BD!C:C,BD!A:A)</f>
        <v>#N/A</v>
      </c>
      <c r="D144" s="18" t="e">
        <f>LOOKUP(F144,BD!C:C,BD!B:B)</f>
        <v>#N/A</v>
      </c>
      <c r="E144" s="18"/>
      <c r="F144" s="18"/>
      <c r="G144" s="18" t="e">
        <f>LOOKUP(F144,BD!C:C,BD!D:D)</f>
        <v>#N/A</v>
      </c>
      <c r="H144" s="19"/>
      <c r="I144" s="19"/>
      <c r="J144" s="19"/>
      <c r="K144" s="19"/>
      <c r="L144" s="20"/>
      <c r="M144" s="20">
        <f t="shared" si="136"/>
        <v>730</v>
      </c>
      <c r="N144" s="21">
        <f t="shared" ca="1" si="1"/>
        <v>-45491.500559837965</v>
      </c>
      <c r="O144" s="22" t="str">
        <f t="shared" ca="1" si="137"/>
        <v>NO CUMPLE</v>
      </c>
      <c r="P144" s="20"/>
      <c r="Q144" s="20">
        <f t="shared" si="138"/>
        <v>730</v>
      </c>
      <c r="R144" s="21">
        <f t="shared" ca="1" si="4"/>
        <v>-45491.500559837965</v>
      </c>
      <c r="S144" s="22" t="str">
        <f t="shared" ca="1" si="139"/>
        <v>NO CUMPLE</v>
      </c>
      <c r="T144" s="20"/>
      <c r="U144" s="20">
        <f t="shared" si="140"/>
        <v>730</v>
      </c>
      <c r="V144" s="21">
        <f t="shared" ca="1" si="7"/>
        <v>-45491.500559837965</v>
      </c>
      <c r="W144" s="22" t="str">
        <f t="shared" ca="1" si="141"/>
        <v>NO CUMPLE</v>
      </c>
      <c r="X144" s="4">
        <v>4</v>
      </c>
      <c r="Y144" s="4">
        <v>3</v>
      </c>
      <c r="Z144" s="4">
        <f t="shared" si="9"/>
        <v>0</v>
      </c>
      <c r="AA144" s="4">
        <f t="shared" ca="1" si="10"/>
        <v>0</v>
      </c>
      <c r="AB144" s="47">
        <f t="shared" ref="AB144:AC144" si="166">Z144/X144</f>
        <v>0</v>
      </c>
      <c r="AC144" s="47">
        <f t="shared" ca="1" si="166"/>
        <v>0</v>
      </c>
      <c r="AD144" s="48">
        <f t="shared" ca="1" si="143"/>
        <v>0</v>
      </c>
      <c r="AE144" s="6"/>
      <c r="AF144" s="6"/>
      <c r="AG144" s="6"/>
      <c r="AH144" s="6"/>
    </row>
    <row r="145" spans="1:34" ht="14.4" x14ac:dyDescent="0.3">
      <c r="A145" s="2"/>
      <c r="B145" s="46"/>
      <c r="C145" s="18" t="e">
        <f>LOOKUP(F145,BD!C:C,BD!A:A)</f>
        <v>#N/A</v>
      </c>
      <c r="D145" s="18" t="e">
        <f>LOOKUP(F145,BD!C:C,BD!B:B)</f>
        <v>#N/A</v>
      </c>
      <c r="E145" s="18"/>
      <c r="F145" s="18"/>
      <c r="G145" s="18" t="e">
        <f>LOOKUP(F145,BD!C:C,BD!D:D)</f>
        <v>#N/A</v>
      </c>
      <c r="H145" s="19"/>
      <c r="I145" s="19"/>
      <c r="J145" s="19"/>
      <c r="K145" s="19"/>
      <c r="L145" s="20"/>
      <c r="M145" s="20">
        <f t="shared" si="136"/>
        <v>730</v>
      </c>
      <c r="N145" s="21">
        <f t="shared" ca="1" si="1"/>
        <v>-45491.500559722219</v>
      </c>
      <c r="O145" s="22" t="str">
        <f t="shared" ca="1" si="137"/>
        <v>NO CUMPLE</v>
      </c>
      <c r="P145" s="20"/>
      <c r="Q145" s="20">
        <f t="shared" si="138"/>
        <v>730</v>
      </c>
      <c r="R145" s="21">
        <f t="shared" ca="1" si="4"/>
        <v>-45491.500559837965</v>
      </c>
      <c r="S145" s="22" t="str">
        <f t="shared" ca="1" si="139"/>
        <v>NO CUMPLE</v>
      </c>
      <c r="T145" s="20"/>
      <c r="U145" s="20">
        <f t="shared" si="140"/>
        <v>730</v>
      </c>
      <c r="V145" s="21">
        <f t="shared" ca="1" si="7"/>
        <v>-45491.500559837965</v>
      </c>
      <c r="W145" s="22" t="str">
        <f t="shared" ca="1" si="141"/>
        <v>NO CUMPLE</v>
      </c>
      <c r="X145" s="4">
        <v>4</v>
      </c>
      <c r="Y145" s="4">
        <v>3</v>
      </c>
      <c r="Z145" s="4">
        <f t="shared" si="9"/>
        <v>0</v>
      </c>
      <c r="AA145" s="4">
        <f t="shared" ca="1" si="10"/>
        <v>0</v>
      </c>
      <c r="AB145" s="47">
        <f t="shared" ref="AB145:AC145" si="167">Z145/X145</f>
        <v>0</v>
      </c>
      <c r="AC145" s="47">
        <f t="shared" ca="1" si="167"/>
        <v>0</v>
      </c>
      <c r="AD145" s="48">
        <f t="shared" ca="1" si="143"/>
        <v>0</v>
      </c>
      <c r="AE145" s="6"/>
      <c r="AF145" s="6"/>
      <c r="AG145" s="6"/>
      <c r="AH145" s="6"/>
    </row>
    <row r="146" spans="1:34" ht="14.4" x14ac:dyDescent="0.3">
      <c r="A146" s="2"/>
      <c r="B146" s="46"/>
      <c r="C146" s="18" t="e">
        <f>LOOKUP(F146,BD!C:C,BD!A:A)</f>
        <v>#N/A</v>
      </c>
      <c r="D146" s="18" t="e">
        <f>LOOKUP(F146,BD!C:C,BD!B:B)</f>
        <v>#N/A</v>
      </c>
      <c r="E146" s="18"/>
      <c r="F146" s="18"/>
      <c r="G146" s="18" t="e">
        <f>LOOKUP(F146,BD!C:C,BD!D:D)</f>
        <v>#N/A</v>
      </c>
      <c r="H146" s="19"/>
      <c r="I146" s="19"/>
      <c r="J146" s="19"/>
      <c r="K146" s="19"/>
      <c r="L146" s="20"/>
      <c r="M146" s="20">
        <f t="shared" si="136"/>
        <v>730</v>
      </c>
      <c r="N146" s="21">
        <f t="shared" ca="1" si="1"/>
        <v>-45491.500559837965</v>
      </c>
      <c r="O146" s="22" t="str">
        <f t="shared" ca="1" si="137"/>
        <v>NO CUMPLE</v>
      </c>
      <c r="P146" s="20"/>
      <c r="Q146" s="20">
        <f t="shared" si="138"/>
        <v>730</v>
      </c>
      <c r="R146" s="21">
        <f t="shared" ca="1" si="4"/>
        <v>-45491.500559837965</v>
      </c>
      <c r="S146" s="22" t="str">
        <f t="shared" ca="1" si="139"/>
        <v>NO CUMPLE</v>
      </c>
      <c r="T146" s="20"/>
      <c r="U146" s="20">
        <f t="shared" si="140"/>
        <v>730</v>
      </c>
      <c r="V146" s="21">
        <f t="shared" ca="1" si="7"/>
        <v>-45491.500559837965</v>
      </c>
      <c r="W146" s="22" t="str">
        <f t="shared" ca="1" si="141"/>
        <v>NO CUMPLE</v>
      </c>
      <c r="X146" s="4">
        <v>4</v>
      </c>
      <c r="Y146" s="4">
        <v>3</v>
      </c>
      <c r="Z146" s="4">
        <f t="shared" si="9"/>
        <v>0</v>
      </c>
      <c r="AA146" s="4">
        <f t="shared" ca="1" si="10"/>
        <v>0</v>
      </c>
      <c r="AB146" s="47">
        <f t="shared" ref="AB146:AC146" si="168">Z146/X146</f>
        <v>0</v>
      </c>
      <c r="AC146" s="47">
        <f t="shared" ca="1" si="168"/>
        <v>0</v>
      </c>
      <c r="AD146" s="48">
        <f t="shared" ca="1" si="143"/>
        <v>0</v>
      </c>
      <c r="AE146" s="6"/>
      <c r="AF146" s="6"/>
      <c r="AG146" s="6"/>
      <c r="AH146" s="6"/>
    </row>
    <row r="147" spans="1:34" ht="14.4" x14ac:dyDescent="0.3">
      <c r="A147" s="2"/>
      <c r="B147" s="46"/>
      <c r="C147" s="18" t="e">
        <f>LOOKUP(F147,BD!C:C,BD!A:A)</f>
        <v>#N/A</v>
      </c>
      <c r="D147" s="18" t="e">
        <f>LOOKUP(F147,BD!C:C,BD!B:B)</f>
        <v>#N/A</v>
      </c>
      <c r="E147" s="18"/>
      <c r="F147" s="18"/>
      <c r="G147" s="18" t="e">
        <f>LOOKUP(F147,BD!C:C,BD!D:D)</f>
        <v>#N/A</v>
      </c>
      <c r="H147" s="19"/>
      <c r="I147" s="19"/>
      <c r="J147" s="19"/>
      <c r="K147" s="19"/>
      <c r="L147" s="20"/>
      <c r="M147" s="20">
        <f t="shared" si="136"/>
        <v>730</v>
      </c>
      <c r="N147" s="21">
        <f t="shared" ca="1" si="1"/>
        <v>-45491.500559837965</v>
      </c>
      <c r="O147" s="22" t="str">
        <f t="shared" ca="1" si="137"/>
        <v>NO CUMPLE</v>
      </c>
      <c r="P147" s="20"/>
      <c r="Q147" s="20">
        <f t="shared" si="138"/>
        <v>730</v>
      </c>
      <c r="R147" s="21">
        <f t="shared" ca="1" si="4"/>
        <v>-45491.500559837965</v>
      </c>
      <c r="S147" s="22" t="str">
        <f t="shared" ca="1" si="139"/>
        <v>NO CUMPLE</v>
      </c>
      <c r="T147" s="20"/>
      <c r="U147" s="20">
        <f t="shared" si="140"/>
        <v>730</v>
      </c>
      <c r="V147" s="21">
        <f t="shared" ca="1" si="7"/>
        <v>-45491.500559837965</v>
      </c>
      <c r="W147" s="22" t="str">
        <f t="shared" ca="1" si="141"/>
        <v>NO CUMPLE</v>
      </c>
      <c r="X147" s="4">
        <v>4</v>
      </c>
      <c r="Y147" s="4">
        <v>3</v>
      </c>
      <c r="Z147" s="4">
        <f t="shared" si="9"/>
        <v>0</v>
      </c>
      <c r="AA147" s="4">
        <f t="shared" ca="1" si="10"/>
        <v>0</v>
      </c>
      <c r="AB147" s="47">
        <f t="shared" ref="AB147:AC147" si="169">Z147/X147</f>
        <v>0</v>
      </c>
      <c r="AC147" s="47">
        <f t="shared" ca="1" si="169"/>
        <v>0</v>
      </c>
      <c r="AD147" s="48">
        <f t="shared" ca="1" si="143"/>
        <v>0</v>
      </c>
      <c r="AE147" s="6"/>
      <c r="AF147" s="6"/>
      <c r="AG147" s="6"/>
      <c r="AH147" s="6"/>
    </row>
    <row r="148" spans="1:34" ht="14.4" x14ac:dyDescent="0.3">
      <c r="A148" s="2"/>
      <c r="B148" s="46"/>
      <c r="C148" s="18" t="e">
        <f>LOOKUP(F148,BD!C:C,BD!A:A)</f>
        <v>#N/A</v>
      </c>
      <c r="D148" s="18" t="e">
        <f>LOOKUP(F148,BD!C:C,BD!B:B)</f>
        <v>#N/A</v>
      </c>
      <c r="E148" s="18"/>
      <c r="F148" s="18"/>
      <c r="G148" s="18" t="e">
        <f>LOOKUP(F148,BD!C:C,BD!D:D)</f>
        <v>#N/A</v>
      </c>
      <c r="H148" s="19"/>
      <c r="I148" s="19"/>
      <c r="J148" s="19"/>
      <c r="K148" s="19"/>
      <c r="L148" s="20"/>
      <c r="M148" s="20">
        <f t="shared" si="136"/>
        <v>730</v>
      </c>
      <c r="N148" s="21">
        <f t="shared" ca="1" si="1"/>
        <v>-45491.500559837965</v>
      </c>
      <c r="O148" s="22" t="str">
        <f t="shared" ca="1" si="137"/>
        <v>NO CUMPLE</v>
      </c>
      <c r="P148" s="20"/>
      <c r="Q148" s="20">
        <f t="shared" si="138"/>
        <v>730</v>
      </c>
      <c r="R148" s="21">
        <f t="shared" ca="1" si="4"/>
        <v>-45491.500559837965</v>
      </c>
      <c r="S148" s="22" t="str">
        <f t="shared" ca="1" si="139"/>
        <v>NO CUMPLE</v>
      </c>
      <c r="T148" s="20"/>
      <c r="U148" s="20">
        <f t="shared" si="140"/>
        <v>730</v>
      </c>
      <c r="V148" s="21">
        <f t="shared" ca="1" si="7"/>
        <v>-45491.500559837965</v>
      </c>
      <c r="W148" s="22" t="str">
        <f t="shared" ca="1" si="141"/>
        <v>NO CUMPLE</v>
      </c>
      <c r="X148" s="4">
        <v>4</v>
      </c>
      <c r="Y148" s="4">
        <v>3</v>
      </c>
      <c r="Z148" s="4">
        <f t="shared" si="9"/>
        <v>0</v>
      </c>
      <c r="AA148" s="4">
        <f t="shared" ca="1" si="10"/>
        <v>0</v>
      </c>
      <c r="AB148" s="47">
        <f t="shared" ref="AB148:AC148" si="170">Z148/X148</f>
        <v>0</v>
      </c>
      <c r="AC148" s="47">
        <f t="shared" ca="1" si="170"/>
        <v>0</v>
      </c>
      <c r="AD148" s="48">
        <f t="shared" ca="1" si="143"/>
        <v>0</v>
      </c>
      <c r="AE148" s="6"/>
      <c r="AF148" s="6"/>
      <c r="AG148" s="6"/>
      <c r="AH148" s="6"/>
    </row>
    <row r="149" spans="1:34" ht="14.4" x14ac:dyDescent="0.3">
      <c r="A149" s="26"/>
      <c r="B149" s="17"/>
      <c r="C149" s="18" t="e">
        <f>LOOKUP(F149,BD!C:C,BD!A:A)</f>
        <v>#N/A</v>
      </c>
      <c r="D149" s="18" t="e">
        <f>LOOKUP(F149,BD!C:C,BD!B:B)</f>
        <v>#N/A</v>
      </c>
      <c r="E149" s="18"/>
      <c r="F149" s="18"/>
      <c r="G149" s="18" t="e">
        <f>LOOKUP(F149,BD!C:C,BD!D:D)</f>
        <v>#N/A</v>
      </c>
      <c r="H149" s="19"/>
      <c r="I149" s="19"/>
      <c r="J149" s="19"/>
      <c r="K149" s="19"/>
      <c r="L149" s="20"/>
      <c r="M149" s="20">
        <f t="shared" si="136"/>
        <v>730</v>
      </c>
      <c r="N149" s="21">
        <f t="shared" ca="1" si="1"/>
        <v>-45491.500559837965</v>
      </c>
      <c r="O149" s="22" t="str">
        <f t="shared" ca="1" si="137"/>
        <v>NO CUMPLE</v>
      </c>
      <c r="P149" s="20"/>
      <c r="Q149" s="20">
        <f t="shared" si="138"/>
        <v>730</v>
      </c>
      <c r="R149" s="21">
        <f t="shared" ca="1" si="4"/>
        <v>-45491.500559837965</v>
      </c>
      <c r="S149" s="22" t="str">
        <f t="shared" ca="1" si="139"/>
        <v>NO CUMPLE</v>
      </c>
      <c r="T149" s="20"/>
      <c r="U149" s="20">
        <f t="shared" si="140"/>
        <v>730</v>
      </c>
      <c r="V149" s="21">
        <f t="shared" ca="1" si="7"/>
        <v>-45491.500559837965</v>
      </c>
      <c r="W149" s="22" t="str">
        <f t="shared" ca="1" si="141"/>
        <v>NO CUMPLE</v>
      </c>
      <c r="X149" s="41">
        <v>4</v>
      </c>
      <c r="Y149" s="41">
        <v>3</v>
      </c>
      <c r="Z149" s="41">
        <f t="shared" si="9"/>
        <v>0</v>
      </c>
      <c r="AA149" s="41">
        <f t="shared" ca="1" si="10"/>
        <v>0</v>
      </c>
      <c r="AB149" s="42">
        <f t="shared" ref="AB149:AC149" si="171">Z149/X149</f>
        <v>0</v>
      </c>
      <c r="AC149" s="42">
        <f t="shared" ca="1" si="171"/>
        <v>0</v>
      </c>
      <c r="AD149" s="43">
        <f t="shared" ca="1" si="143"/>
        <v>0</v>
      </c>
      <c r="AE149" s="44"/>
      <c r="AF149" s="44"/>
      <c r="AG149" s="44"/>
      <c r="AH149" s="44"/>
    </row>
    <row r="150" spans="1:34" ht="14.4" x14ac:dyDescent="0.3">
      <c r="A150" s="26"/>
      <c r="B150" s="17"/>
      <c r="C150" s="18" t="e">
        <f>LOOKUP(F150,BD!C:C,BD!A:A)</f>
        <v>#N/A</v>
      </c>
      <c r="D150" s="18" t="e">
        <f>LOOKUP(F150,BD!C:C,BD!B:B)</f>
        <v>#N/A</v>
      </c>
      <c r="E150" s="18"/>
      <c r="F150" s="18"/>
      <c r="G150" s="18" t="e">
        <f>LOOKUP(F150,BD!C:C,BD!D:D)</f>
        <v>#N/A</v>
      </c>
      <c r="H150" s="19"/>
      <c r="I150" s="19"/>
      <c r="J150" s="19"/>
      <c r="K150" s="19"/>
      <c r="L150" s="20"/>
      <c r="M150" s="20">
        <f t="shared" si="136"/>
        <v>730</v>
      </c>
      <c r="N150" s="21">
        <f t="shared" ca="1" si="1"/>
        <v>-45491.500559837965</v>
      </c>
      <c r="O150" s="22" t="str">
        <f t="shared" ca="1" si="137"/>
        <v>NO CUMPLE</v>
      </c>
      <c r="P150" s="20"/>
      <c r="Q150" s="20">
        <f t="shared" si="138"/>
        <v>730</v>
      </c>
      <c r="R150" s="21">
        <f t="shared" ca="1" si="4"/>
        <v>-45491.500559837965</v>
      </c>
      <c r="S150" s="22" t="str">
        <f t="shared" ca="1" si="139"/>
        <v>NO CUMPLE</v>
      </c>
      <c r="T150" s="20"/>
      <c r="U150" s="20">
        <f t="shared" si="140"/>
        <v>730</v>
      </c>
      <c r="V150" s="21">
        <f t="shared" ca="1" si="7"/>
        <v>-45491.500559837965</v>
      </c>
      <c r="W150" s="22" t="str">
        <f t="shared" ca="1" si="141"/>
        <v>NO CUMPLE</v>
      </c>
      <c r="X150" s="41">
        <v>4</v>
      </c>
      <c r="Y150" s="41">
        <v>3</v>
      </c>
      <c r="Z150" s="41">
        <f t="shared" si="9"/>
        <v>0</v>
      </c>
      <c r="AA150" s="41">
        <f t="shared" ca="1" si="10"/>
        <v>0</v>
      </c>
      <c r="AB150" s="42">
        <f t="shared" ref="AB150:AC150" si="172">Z150/X150</f>
        <v>0</v>
      </c>
      <c r="AC150" s="42">
        <f t="shared" ca="1" si="172"/>
        <v>0</v>
      </c>
      <c r="AD150" s="43">
        <f t="shared" ca="1" si="143"/>
        <v>0</v>
      </c>
      <c r="AE150" s="44"/>
      <c r="AF150" s="44"/>
      <c r="AG150" s="44"/>
      <c r="AH150" s="44"/>
    </row>
    <row r="151" spans="1:34" ht="14.4" x14ac:dyDescent="0.3">
      <c r="A151" s="30"/>
      <c r="B151" s="34"/>
      <c r="C151" s="18" t="e">
        <f>LOOKUP(F151,BD!C:C,BD!A:A)</f>
        <v>#N/A</v>
      </c>
      <c r="D151" s="18" t="e">
        <f>LOOKUP(F151,BD!C:C,BD!B:B)</f>
        <v>#N/A</v>
      </c>
      <c r="E151" s="18"/>
      <c r="F151" s="18"/>
      <c r="G151" s="18" t="e">
        <f>LOOKUP(F151,BD!C:C,BD!D:D)</f>
        <v>#N/A</v>
      </c>
      <c r="H151" s="19"/>
      <c r="I151" s="19"/>
      <c r="J151" s="19"/>
      <c r="K151" s="19"/>
      <c r="L151" s="20"/>
      <c r="M151" s="20">
        <f t="shared" si="136"/>
        <v>730</v>
      </c>
      <c r="N151" s="21">
        <f t="shared" ca="1" si="1"/>
        <v>-45491.500559837965</v>
      </c>
      <c r="O151" s="22" t="str">
        <f t="shared" ca="1" si="137"/>
        <v>NO CUMPLE</v>
      </c>
      <c r="P151" s="20"/>
      <c r="Q151" s="20">
        <f t="shared" si="138"/>
        <v>730</v>
      </c>
      <c r="R151" s="21">
        <f t="shared" ca="1" si="4"/>
        <v>-45491.500559837965</v>
      </c>
      <c r="S151" s="22" t="str">
        <f t="shared" ca="1" si="139"/>
        <v>NO CUMPLE</v>
      </c>
      <c r="T151" s="20"/>
      <c r="U151" s="20">
        <f t="shared" si="140"/>
        <v>730</v>
      </c>
      <c r="V151" s="21">
        <f t="shared" ca="1" si="7"/>
        <v>-45491.500559837965</v>
      </c>
      <c r="W151" s="22" t="str">
        <f t="shared" ca="1" si="141"/>
        <v>NO CUMPLE</v>
      </c>
      <c r="X151" s="41">
        <v>4</v>
      </c>
      <c r="Y151" s="41">
        <v>3</v>
      </c>
      <c r="Z151" s="41">
        <f t="shared" si="9"/>
        <v>0</v>
      </c>
      <c r="AA151" s="41">
        <f t="shared" ca="1" si="10"/>
        <v>0</v>
      </c>
      <c r="AB151" s="42">
        <f t="shared" ref="AB151:AC151" si="173">Z151/X151</f>
        <v>0</v>
      </c>
      <c r="AC151" s="42">
        <f t="shared" ca="1" si="173"/>
        <v>0</v>
      </c>
      <c r="AD151" s="43">
        <f t="shared" ca="1" si="143"/>
        <v>0</v>
      </c>
      <c r="AE151" s="44"/>
      <c r="AF151" s="44"/>
      <c r="AG151" s="44"/>
      <c r="AH151" s="44"/>
    </row>
    <row r="152" spans="1:34" ht="14.4" x14ac:dyDescent="0.3">
      <c r="A152" s="26"/>
      <c r="B152" s="17"/>
      <c r="C152" s="18" t="e">
        <f>LOOKUP(F152,BD!C:C,BD!A:A)</f>
        <v>#N/A</v>
      </c>
      <c r="D152" s="18" t="e">
        <f>LOOKUP(F152,BD!C:C,BD!B:B)</f>
        <v>#N/A</v>
      </c>
      <c r="E152" s="18"/>
      <c r="F152" s="18"/>
      <c r="G152" s="18" t="e">
        <f>LOOKUP(F152,BD!C:C,BD!D:D)</f>
        <v>#N/A</v>
      </c>
      <c r="H152" s="19"/>
      <c r="I152" s="19"/>
      <c r="J152" s="19"/>
      <c r="K152" s="19"/>
      <c r="L152" s="20"/>
      <c r="M152" s="20">
        <f t="shared" si="136"/>
        <v>730</v>
      </c>
      <c r="N152" s="21">
        <f t="shared" ca="1" si="1"/>
        <v>-45491.500559837965</v>
      </c>
      <c r="O152" s="22" t="str">
        <f t="shared" ca="1" si="137"/>
        <v>NO CUMPLE</v>
      </c>
      <c r="P152" s="20"/>
      <c r="Q152" s="20">
        <f t="shared" si="138"/>
        <v>730</v>
      </c>
      <c r="R152" s="21">
        <f t="shared" ca="1" si="4"/>
        <v>-45491.500559722219</v>
      </c>
      <c r="S152" s="22" t="str">
        <f t="shared" ca="1" si="139"/>
        <v>NO CUMPLE</v>
      </c>
      <c r="T152" s="20"/>
      <c r="U152" s="20">
        <f t="shared" si="140"/>
        <v>730</v>
      </c>
      <c r="V152" s="21">
        <f t="shared" ca="1" si="7"/>
        <v>-45491.500559837965</v>
      </c>
      <c r="W152" s="22" t="str">
        <f t="shared" ca="1" si="141"/>
        <v>NO CUMPLE</v>
      </c>
      <c r="X152" s="41">
        <v>4</v>
      </c>
      <c r="Y152" s="41">
        <v>3</v>
      </c>
      <c r="Z152" s="41">
        <f t="shared" si="9"/>
        <v>0</v>
      </c>
      <c r="AA152" s="41">
        <f t="shared" ca="1" si="10"/>
        <v>0</v>
      </c>
      <c r="AB152" s="42">
        <f t="shared" ref="AB152:AC152" si="174">Z152/X152</f>
        <v>0</v>
      </c>
      <c r="AC152" s="42">
        <f t="shared" ca="1" si="174"/>
        <v>0</v>
      </c>
      <c r="AD152" s="43">
        <f t="shared" ca="1" si="143"/>
        <v>0</v>
      </c>
      <c r="AE152" s="44"/>
      <c r="AF152" s="44"/>
      <c r="AG152" s="44"/>
      <c r="AH152" s="44"/>
    </row>
    <row r="153" spans="1:34" ht="14.4" x14ac:dyDescent="0.3">
      <c r="A153" s="26"/>
      <c r="B153" s="17"/>
      <c r="C153" s="18" t="e">
        <f>LOOKUP(F153,BD!C:C,BD!A:A)</f>
        <v>#N/A</v>
      </c>
      <c r="D153" s="18" t="e">
        <f>LOOKUP(F153,BD!C:C,BD!B:B)</f>
        <v>#N/A</v>
      </c>
      <c r="E153" s="18"/>
      <c r="F153" s="18"/>
      <c r="G153" s="18" t="e">
        <f>LOOKUP(F153,BD!C:C,BD!D:D)</f>
        <v>#N/A</v>
      </c>
      <c r="H153" s="19"/>
      <c r="I153" s="19"/>
      <c r="J153" s="19"/>
      <c r="K153" s="19"/>
      <c r="L153" s="20"/>
      <c r="M153" s="20">
        <f t="shared" si="136"/>
        <v>730</v>
      </c>
      <c r="N153" s="21">
        <f t="shared" ca="1" si="1"/>
        <v>-45491.500559837965</v>
      </c>
      <c r="O153" s="22" t="str">
        <f t="shared" ca="1" si="137"/>
        <v>NO CUMPLE</v>
      </c>
      <c r="P153" s="20"/>
      <c r="Q153" s="20">
        <f t="shared" si="138"/>
        <v>730</v>
      </c>
      <c r="R153" s="21">
        <f t="shared" ca="1" si="4"/>
        <v>-45491.500559837965</v>
      </c>
      <c r="S153" s="22" t="str">
        <f t="shared" ca="1" si="139"/>
        <v>NO CUMPLE</v>
      </c>
      <c r="T153" s="20"/>
      <c r="U153" s="20">
        <f t="shared" si="140"/>
        <v>730</v>
      </c>
      <c r="V153" s="21">
        <f t="shared" ca="1" si="7"/>
        <v>-45491.500559837965</v>
      </c>
      <c r="W153" s="22" t="str">
        <f t="shared" ca="1" si="141"/>
        <v>NO CUMPLE</v>
      </c>
      <c r="X153" s="41">
        <v>4</v>
      </c>
      <c r="Y153" s="41">
        <v>3</v>
      </c>
      <c r="Z153" s="41">
        <f t="shared" si="9"/>
        <v>0</v>
      </c>
      <c r="AA153" s="41">
        <f t="shared" ca="1" si="10"/>
        <v>0</v>
      </c>
      <c r="AB153" s="42">
        <f t="shared" ref="AB153:AC153" si="175">Z153/X153</f>
        <v>0</v>
      </c>
      <c r="AC153" s="42">
        <f t="shared" ca="1" si="175"/>
        <v>0</v>
      </c>
      <c r="AD153" s="43">
        <f t="shared" ca="1" si="143"/>
        <v>0</v>
      </c>
      <c r="AE153" s="44"/>
      <c r="AF153" s="44"/>
      <c r="AG153" s="44"/>
      <c r="AH153" s="44"/>
    </row>
    <row r="154" spans="1:34" ht="14.4" x14ac:dyDescent="0.3">
      <c r="A154" s="26"/>
      <c r="B154" s="17"/>
      <c r="C154" s="18" t="e">
        <f>LOOKUP(F154,BD!C:C,BD!A:A)</f>
        <v>#N/A</v>
      </c>
      <c r="D154" s="18" t="e">
        <f>LOOKUP(F154,BD!C:C,BD!B:B)</f>
        <v>#N/A</v>
      </c>
      <c r="E154" s="18"/>
      <c r="F154" s="18"/>
      <c r="G154" s="18" t="e">
        <f>LOOKUP(F154,BD!C:C,BD!D:D)</f>
        <v>#N/A</v>
      </c>
      <c r="H154" s="19"/>
      <c r="I154" s="19"/>
      <c r="J154" s="19"/>
      <c r="K154" s="19"/>
      <c r="L154" s="20"/>
      <c r="M154" s="20">
        <f t="shared" si="136"/>
        <v>730</v>
      </c>
      <c r="N154" s="21">
        <f t="shared" ca="1" si="1"/>
        <v>-45491.500559837965</v>
      </c>
      <c r="O154" s="22" t="str">
        <f t="shared" ca="1" si="137"/>
        <v>NO CUMPLE</v>
      </c>
      <c r="P154" s="20"/>
      <c r="Q154" s="20">
        <f t="shared" si="138"/>
        <v>730</v>
      </c>
      <c r="R154" s="21">
        <f t="shared" ca="1" si="4"/>
        <v>-45491.500559837965</v>
      </c>
      <c r="S154" s="22" t="str">
        <f t="shared" ca="1" si="139"/>
        <v>NO CUMPLE</v>
      </c>
      <c r="T154" s="20"/>
      <c r="U154" s="20">
        <f t="shared" si="140"/>
        <v>730</v>
      </c>
      <c r="V154" s="21">
        <f t="shared" ca="1" si="7"/>
        <v>-45491.500559837965</v>
      </c>
      <c r="W154" s="22" t="str">
        <f t="shared" ca="1" si="141"/>
        <v>NO CUMPLE</v>
      </c>
      <c r="X154" s="41">
        <v>4</v>
      </c>
      <c r="Y154" s="41">
        <v>3</v>
      </c>
      <c r="Z154" s="41">
        <f t="shared" si="9"/>
        <v>0</v>
      </c>
      <c r="AA154" s="41">
        <f t="shared" ca="1" si="10"/>
        <v>0</v>
      </c>
      <c r="AB154" s="42">
        <f t="shared" ref="AB154:AC154" si="176">Z154/X154</f>
        <v>0</v>
      </c>
      <c r="AC154" s="42">
        <f t="shared" ca="1" si="176"/>
        <v>0</v>
      </c>
      <c r="AD154" s="43">
        <f t="shared" ca="1" si="143"/>
        <v>0</v>
      </c>
      <c r="AE154" s="44"/>
      <c r="AF154" s="44"/>
      <c r="AG154" s="44"/>
      <c r="AH154" s="44"/>
    </row>
    <row r="155" spans="1:34" ht="14.4" x14ac:dyDescent="0.3">
      <c r="A155" s="30"/>
      <c r="B155" s="34"/>
      <c r="C155" s="18" t="e">
        <f>LOOKUP(F155,BD!C:C,BD!A:A)</f>
        <v>#N/A</v>
      </c>
      <c r="D155" s="18" t="e">
        <f>LOOKUP(F155,BD!C:C,BD!B:B)</f>
        <v>#N/A</v>
      </c>
      <c r="E155" s="18"/>
      <c r="F155" s="18"/>
      <c r="G155" s="18" t="e">
        <f>LOOKUP(F155,BD!C:C,BD!D:D)</f>
        <v>#N/A</v>
      </c>
      <c r="H155" s="19"/>
      <c r="I155" s="19"/>
      <c r="J155" s="19"/>
      <c r="K155" s="19"/>
      <c r="L155" s="20"/>
      <c r="M155" s="20">
        <f t="shared" si="136"/>
        <v>730</v>
      </c>
      <c r="N155" s="21">
        <f t="shared" ca="1" si="1"/>
        <v>-45491.500559837965</v>
      </c>
      <c r="O155" s="22" t="str">
        <f t="shared" ca="1" si="137"/>
        <v>NO CUMPLE</v>
      </c>
      <c r="P155" s="20"/>
      <c r="Q155" s="20">
        <f t="shared" si="138"/>
        <v>730</v>
      </c>
      <c r="R155" s="21">
        <f t="shared" ca="1" si="4"/>
        <v>-45491.500559722219</v>
      </c>
      <c r="S155" s="22" t="str">
        <f t="shared" ca="1" si="139"/>
        <v>NO CUMPLE</v>
      </c>
      <c r="T155" s="20"/>
      <c r="U155" s="20">
        <f t="shared" si="140"/>
        <v>730</v>
      </c>
      <c r="V155" s="21">
        <f t="shared" ca="1" si="7"/>
        <v>-45491.500559837965</v>
      </c>
      <c r="W155" s="22" t="str">
        <f t="shared" ca="1" si="141"/>
        <v>NO CUMPLE</v>
      </c>
      <c r="X155" s="41">
        <v>4</v>
      </c>
      <c r="Y155" s="41">
        <v>3</v>
      </c>
      <c r="Z155" s="41">
        <f t="shared" si="9"/>
        <v>0</v>
      </c>
      <c r="AA155" s="41">
        <f t="shared" ca="1" si="10"/>
        <v>0</v>
      </c>
      <c r="AB155" s="42">
        <f t="shared" ref="AB155:AC155" si="177">Z155/X155</f>
        <v>0</v>
      </c>
      <c r="AC155" s="42">
        <f t="shared" ca="1" si="177"/>
        <v>0</v>
      </c>
      <c r="AD155" s="43">
        <f t="shared" ca="1" si="143"/>
        <v>0</v>
      </c>
      <c r="AE155" s="44"/>
      <c r="AF155" s="44"/>
      <c r="AG155" s="44"/>
      <c r="AH155" s="44"/>
    </row>
    <row r="156" spans="1:34" ht="14.4" x14ac:dyDescent="0.3">
      <c r="A156" s="30"/>
      <c r="B156" s="34"/>
      <c r="C156" s="18" t="e">
        <f>LOOKUP(F156,BD!C:C,BD!A:A)</f>
        <v>#N/A</v>
      </c>
      <c r="D156" s="18" t="e">
        <f>LOOKUP(F156,BD!C:C,BD!B:B)</f>
        <v>#N/A</v>
      </c>
      <c r="E156" s="18"/>
      <c r="F156" s="18"/>
      <c r="G156" s="18" t="e">
        <f>LOOKUP(F156,BD!C:C,BD!D:D)</f>
        <v>#N/A</v>
      </c>
      <c r="H156" s="19"/>
      <c r="I156" s="19"/>
      <c r="J156" s="19"/>
      <c r="K156" s="19"/>
      <c r="L156" s="20"/>
      <c r="M156" s="20">
        <f t="shared" si="136"/>
        <v>730</v>
      </c>
      <c r="N156" s="21">
        <f t="shared" ca="1" si="1"/>
        <v>-45491.500559837965</v>
      </c>
      <c r="O156" s="22" t="str">
        <f t="shared" ca="1" si="137"/>
        <v>NO CUMPLE</v>
      </c>
      <c r="P156" s="20"/>
      <c r="Q156" s="20">
        <f t="shared" si="138"/>
        <v>730</v>
      </c>
      <c r="R156" s="21">
        <f t="shared" ca="1" si="4"/>
        <v>-45491.500559837965</v>
      </c>
      <c r="S156" s="22" t="str">
        <f t="shared" ca="1" si="139"/>
        <v>NO CUMPLE</v>
      </c>
      <c r="T156" s="20"/>
      <c r="U156" s="20">
        <f t="shared" si="140"/>
        <v>730</v>
      </c>
      <c r="V156" s="21">
        <f t="shared" ca="1" si="7"/>
        <v>-45491.500559837965</v>
      </c>
      <c r="W156" s="22" t="str">
        <f t="shared" ca="1" si="141"/>
        <v>NO CUMPLE</v>
      </c>
      <c r="X156" s="41">
        <v>4</v>
      </c>
      <c r="Y156" s="41">
        <v>3</v>
      </c>
      <c r="Z156" s="41">
        <f t="shared" si="9"/>
        <v>0</v>
      </c>
      <c r="AA156" s="41">
        <f t="shared" ca="1" si="10"/>
        <v>0</v>
      </c>
      <c r="AB156" s="42">
        <f t="shared" ref="AB156:AC156" si="178">Z156/X156</f>
        <v>0</v>
      </c>
      <c r="AC156" s="42">
        <f t="shared" ca="1" si="178"/>
        <v>0</v>
      </c>
      <c r="AD156" s="43">
        <f t="shared" ca="1" si="143"/>
        <v>0</v>
      </c>
      <c r="AE156" s="44"/>
      <c r="AF156" s="44"/>
      <c r="AG156" s="44"/>
      <c r="AH156" s="44"/>
    </row>
    <row r="157" spans="1:34" ht="14.4" x14ac:dyDescent="0.3">
      <c r="A157" s="30"/>
      <c r="B157" s="34"/>
      <c r="C157" s="18" t="e">
        <f>LOOKUP(F157,BD!C:C,BD!A:A)</f>
        <v>#N/A</v>
      </c>
      <c r="D157" s="18" t="e">
        <f>LOOKUP(F157,BD!C:C,BD!B:B)</f>
        <v>#N/A</v>
      </c>
      <c r="E157" s="18"/>
      <c r="F157" s="18"/>
      <c r="G157" s="18" t="e">
        <f>LOOKUP(F157,BD!C:C,BD!D:D)</f>
        <v>#N/A</v>
      </c>
      <c r="H157" s="19"/>
      <c r="I157" s="19"/>
      <c r="J157" s="19"/>
      <c r="K157" s="19"/>
      <c r="L157" s="20"/>
      <c r="M157" s="20">
        <f>L157+730</f>
        <v>730</v>
      </c>
      <c r="N157" s="21">
        <f t="shared" ca="1" si="1"/>
        <v>-45491.500559837965</v>
      </c>
      <c r="O157" s="22" t="str">
        <f ca="1">IF(N157&lt;=16,"NO CUMPLE",IF(N157&gt;=16,"VIGENTE"))</f>
        <v>NO CUMPLE</v>
      </c>
      <c r="P157" s="20"/>
      <c r="Q157" s="20">
        <f>P157+730</f>
        <v>730</v>
      </c>
      <c r="R157" s="21">
        <f t="shared" ca="1" si="4"/>
        <v>-45491.500559837965</v>
      </c>
      <c r="S157" s="22" t="str">
        <f ca="1">IF(R157&lt;=16,"NO CUMPLE",IF(R157&gt;=16,"VIGENTE"))</f>
        <v>NO CUMPLE</v>
      </c>
      <c r="T157" s="20"/>
      <c r="U157" s="20">
        <f>T157+730</f>
        <v>730</v>
      </c>
      <c r="V157" s="21">
        <f t="shared" ca="1" si="7"/>
        <v>-45491.500559837965</v>
      </c>
      <c r="W157" s="22" t="str">
        <f ca="1">IF(V157&lt;=16,"NO CUMPLE",IF(V157&gt;=16,"VIGENTE"))</f>
        <v>NO CUMPLE</v>
      </c>
      <c r="X157" s="41">
        <v>4</v>
      </c>
      <c r="Y157" s="41">
        <v>3</v>
      </c>
      <c r="Z157" s="41">
        <f t="shared" si="9"/>
        <v>0</v>
      </c>
      <c r="AA157" s="41">
        <f t="shared" ca="1" si="10"/>
        <v>0</v>
      </c>
      <c r="AB157" s="42">
        <f t="shared" ref="AB157:AC157" si="179">Z157/X157</f>
        <v>0</v>
      </c>
      <c r="AC157" s="42">
        <f t="shared" ca="1" si="179"/>
        <v>0</v>
      </c>
      <c r="AD157" s="43">
        <f ca="1">(Z157+AA157)/7</f>
        <v>0</v>
      </c>
      <c r="AE157" s="44"/>
      <c r="AF157" s="44"/>
      <c r="AG157" s="44"/>
      <c r="AH157" s="44"/>
    </row>
    <row r="158" spans="1:34" ht="14.4" x14ac:dyDescent="0.3">
      <c r="A158" s="30"/>
      <c r="B158" s="34"/>
      <c r="C158" s="18" t="e">
        <f>LOOKUP(F158,BD!C:C,BD!A:A)</f>
        <v>#N/A</v>
      </c>
      <c r="D158" s="18" t="e">
        <f>LOOKUP(F158,BD!C:C,BD!B:B)</f>
        <v>#N/A</v>
      </c>
      <c r="E158" s="18"/>
      <c r="F158" s="18"/>
      <c r="G158" s="18" t="e">
        <f>LOOKUP(F158,BD!C:C,BD!D:D)</f>
        <v>#N/A</v>
      </c>
      <c r="H158" s="19"/>
      <c r="I158" s="19"/>
      <c r="J158" s="19"/>
      <c r="K158" s="19"/>
      <c r="L158" s="20"/>
      <c r="M158" s="20">
        <f t="shared" ref="M158:M161" si="180">L158+730</f>
        <v>730</v>
      </c>
      <c r="N158" s="21">
        <f t="shared" ca="1" si="1"/>
        <v>-45491.500559837965</v>
      </c>
      <c r="O158" s="22" t="str">
        <f t="shared" ref="O158:O161" ca="1" si="181">IF(N158&lt;=16,"NO CUMPLE",IF(N158&gt;=16,"VIGENTE"))</f>
        <v>NO CUMPLE</v>
      </c>
      <c r="P158" s="20"/>
      <c r="Q158" s="20">
        <f t="shared" ref="Q158:Q161" si="182">P158+730</f>
        <v>730</v>
      </c>
      <c r="R158" s="21">
        <f t="shared" ca="1" si="4"/>
        <v>-45491.500559837965</v>
      </c>
      <c r="S158" s="22" t="str">
        <f t="shared" ref="S158:S161" ca="1" si="183">IF(R158&lt;=16,"NO CUMPLE",IF(R158&gt;=16,"VIGENTE"))</f>
        <v>NO CUMPLE</v>
      </c>
      <c r="T158" s="20"/>
      <c r="U158" s="20">
        <f t="shared" ref="U158:U161" si="184">T158+730</f>
        <v>730</v>
      </c>
      <c r="V158" s="21">
        <f t="shared" ca="1" si="7"/>
        <v>-45491.500559837965</v>
      </c>
      <c r="W158" s="22" t="str">
        <f t="shared" ref="W158:W161" ca="1" si="185">IF(V158&lt;=16,"NO CUMPLE",IF(V158&gt;=16,"VIGENTE"))</f>
        <v>NO CUMPLE</v>
      </c>
      <c r="X158" s="41">
        <v>4</v>
      </c>
      <c r="Y158" s="41">
        <v>3</v>
      </c>
      <c r="Z158" s="41">
        <f t="shared" si="9"/>
        <v>0</v>
      </c>
      <c r="AA158" s="41">
        <f t="shared" ca="1" si="10"/>
        <v>0</v>
      </c>
      <c r="AB158" s="42">
        <f t="shared" ref="AB158:AC158" si="186">Z158/X158</f>
        <v>0</v>
      </c>
      <c r="AC158" s="42">
        <f t="shared" ca="1" si="186"/>
        <v>0</v>
      </c>
      <c r="AD158" s="43">
        <f t="shared" ref="AD158:AD161" ca="1" si="187">(Z158+AA158)/7</f>
        <v>0</v>
      </c>
      <c r="AE158" s="44"/>
      <c r="AF158" s="44"/>
      <c r="AG158" s="44"/>
      <c r="AH158" s="44"/>
    </row>
    <row r="159" spans="1:34" ht="14.4" x14ac:dyDescent="0.3">
      <c r="A159" s="30"/>
      <c r="B159" s="34"/>
      <c r="C159" s="18" t="e">
        <f>LOOKUP(F159,BD!C:C,BD!A:A)</f>
        <v>#N/A</v>
      </c>
      <c r="D159" s="18" t="e">
        <f>LOOKUP(F159,BD!C:C,BD!B:B)</f>
        <v>#N/A</v>
      </c>
      <c r="E159" s="18"/>
      <c r="F159" s="18"/>
      <c r="G159" s="18" t="e">
        <f>LOOKUP(F159,BD!C:C,BD!D:D)</f>
        <v>#N/A</v>
      </c>
      <c r="H159" s="19"/>
      <c r="I159" s="19"/>
      <c r="J159" s="19"/>
      <c r="K159" s="19"/>
      <c r="L159" s="20"/>
      <c r="M159" s="20">
        <f t="shared" si="180"/>
        <v>730</v>
      </c>
      <c r="N159" s="21">
        <f t="shared" ca="1" si="1"/>
        <v>-45491.500559837965</v>
      </c>
      <c r="O159" s="22" t="str">
        <f t="shared" ca="1" si="181"/>
        <v>NO CUMPLE</v>
      </c>
      <c r="P159" s="20"/>
      <c r="Q159" s="20">
        <f t="shared" si="182"/>
        <v>730</v>
      </c>
      <c r="R159" s="21">
        <f t="shared" ca="1" si="4"/>
        <v>-45491.500559722219</v>
      </c>
      <c r="S159" s="22" t="str">
        <f t="shared" ca="1" si="183"/>
        <v>NO CUMPLE</v>
      </c>
      <c r="T159" s="20"/>
      <c r="U159" s="20">
        <f t="shared" si="184"/>
        <v>730</v>
      </c>
      <c r="V159" s="21">
        <f t="shared" ca="1" si="7"/>
        <v>-45491.500559837965</v>
      </c>
      <c r="W159" s="22" t="str">
        <f t="shared" ca="1" si="185"/>
        <v>NO CUMPLE</v>
      </c>
      <c r="X159" s="41">
        <v>4</v>
      </c>
      <c r="Y159" s="41">
        <v>3</v>
      </c>
      <c r="Z159" s="41">
        <f t="shared" si="9"/>
        <v>0</v>
      </c>
      <c r="AA159" s="41">
        <f t="shared" ca="1" si="10"/>
        <v>0</v>
      </c>
      <c r="AB159" s="42">
        <f t="shared" ref="AB159:AC159" si="188">Z159/X159</f>
        <v>0</v>
      </c>
      <c r="AC159" s="42">
        <f t="shared" ca="1" si="188"/>
        <v>0</v>
      </c>
      <c r="AD159" s="43">
        <f t="shared" ca="1" si="187"/>
        <v>0</v>
      </c>
      <c r="AE159" s="44"/>
      <c r="AF159" s="44"/>
      <c r="AG159" s="44"/>
      <c r="AH159" s="44"/>
    </row>
    <row r="160" spans="1:34" ht="14.4" x14ac:dyDescent="0.3">
      <c r="A160" s="2"/>
      <c r="B160" s="46"/>
      <c r="C160" s="18" t="e">
        <f>LOOKUP(F160,BD!C:C,BD!A:A)</f>
        <v>#N/A</v>
      </c>
      <c r="D160" s="18" t="e">
        <f>LOOKUP(F160,BD!C:C,BD!B:B)</f>
        <v>#N/A</v>
      </c>
      <c r="E160" s="18"/>
      <c r="F160" s="18"/>
      <c r="G160" s="18" t="e">
        <f>LOOKUP(F160,BD!C:C,BD!D:D)</f>
        <v>#N/A</v>
      </c>
      <c r="H160" s="19"/>
      <c r="I160" s="19"/>
      <c r="J160" s="19"/>
      <c r="K160" s="19"/>
      <c r="L160" s="20"/>
      <c r="M160" s="20">
        <f t="shared" si="180"/>
        <v>730</v>
      </c>
      <c r="N160" s="21">
        <f t="shared" ca="1" si="1"/>
        <v>-45491.500559837965</v>
      </c>
      <c r="O160" s="22" t="str">
        <f t="shared" ca="1" si="181"/>
        <v>NO CUMPLE</v>
      </c>
      <c r="P160" s="20"/>
      <c r="Q160" s="20">
        <f t="shared" si="182"/>
        <v>730</v>
      </c>
      <c r="R160" s="21">
        <f t="shared" ca="1" si="4"/>
        <v>-45491.500559837965</v>
      </c>
      <c r="S160" s="22" t="str">
        <f t="shared" ca="1" si="183"/>
        <v>NO CUMPLE</v>
      </c>
      <c r="T160" s="20"/>
      <c r="U160" s="20">
        <f t="shared" si="184"/>
        <v>730</v>
      </c>
      <c r="V160" s="21">
        <f t="shared" ca="1" si="7"/>
        <v>-45491.500559837965</v>
      </c>
      <c r="W160" s="22" t="str">
        <f t="shared" ca="1" si="185"/>
        <v>NO CUMPLE</v>
      </c>
      <c r="X160" s="4">
        <v>4</v>
      </c>
      <c r="Y160" s="4">
        <v>3</v>
      </c>
      <c r="Z160" s="4">
        <f t="shared" si="9"/>
        <v>0</v>
      </c>
      <c r="AA160" s="4">
        <f t="shared" ca="1" si="10"/>
        <v>0</v>
      </c>
      <c r="AB160" s="47">
        <f t="shared" ref="AB160:AC160" si="189">Z160/X160</f>
        <v>0</v>
      </c>
      <c r="AC160" s="47">
        <f t="shared" ca="1" si="189"/>
        <v>0</v>
      </c>
      <c r="AD160" s="48">
        <f t="shared" ca="1" si="187"/>
        <v>0</v>
      </c>
      <c r="AE160" s="6"/>
      <c r="AF160" s="6"/>
      <c r="AG160" s="6"/>
      <c r="AH160" s="6"/>
    </row>
    <row r="161" spans="1:34" ht="14.4" x14ac:dyDescent="0.3">
      <c r="A161" s="2"/>
      <c r="B161" s="46"/>
      <c r="C161" s="18" t="e">
        <f>LOOKUP(F161,BD!C:C,BD!A:A)</f>
        <v>#N/A</v>
      </c>
      <c r="D161" s="18" t="e">
        <f>LOOKUP(F161,BD!C:C,BD!B:B)</f>
        <v>#N/A</v>
      </c>
      <c r="E161" s="18"/>
      <c r="F161" s="18"/>
      <c r="G161" s="18" t="e">
        <f>LOOKUP(F161,BD!C:C,BD!D:D)</f>
        <v>#N/A</v>
      </c>
      <c r="H161" s="19"/>
      <c r="I161" s="19"/>
      <c r="J161" s="19"/>
      <c r="K161" s="19"/>
      <c r="L161" s="20"/>
      <c r="M161" s="20">
        <f t="shared" si="180"/>
        <v>730</v>
      </c>
      <c r="N161" s="21">
        <f t="shared" ca="1" si="1"/>
        <v>-45491.500559722219</v>
      </c>
      <c r="O161" s="22" t="str">
        <f t="shared" ca="1" si="181"/>
        <v>NO CUMPLE</v>
      </c>
      <c r="P161" s="20"/>
      <c r="Q161" s="20">
        <f t="shared" si="182"/>
        <v>730</v>
      </c>
      <c r="R161" s="21">
        <f t="shared" ca="1" si="4"/>
        <v>-45491.500559837965</v>
      </c>
      <c r="S161" s="22" t="str">
        <f t="shared" ca="1" si="183"/>
        <v>NO CUMPLE</v>
      </c>
      <c r="T161" s="20"/>
      <c r="U161" s="20">
        <f t="shared" si="184"/>
        <v>730</v>
      </c>
      <c r="V161" s="21">
        <f t="shared" ca="1" si="7"/>
        <v>-45491.500559837965</v>
      </c>
      <c r="W161" s="22" t="str">
        <f t="shared" ca="1" si="185"/>
        <v>NO CUMPLE</v>
      </c>
      <c r="X161" s="4">
        <v>4</v>
      </c>
      <c r="Y161" s="4">
        <v>3</v>
      </c>
      <c r="Z161" s="4">
        <f t="shared" si="9"/>
        <v>0</v>
      </c>
      <c r="AA161" s="4">
        <f t="shared" ca="1" si="10"/>
        <v>0</v>
      </c>
      <c r="AB161" s="47">
        <f t="shared" ref="AB161:AC161" si="190">Z161/X161</f>
        <v>0</v>
      </c>
      <c r="AC161" s="47">
        <f t="shared" ca="1" si="190"/>
        <v>0</v>
      </c>
      <c r="AD161" s="48">
        <f t="shared" ca="1" si="187"/>
        <v>0</v>
      </c>
      <c r="AE161" s="6"/>
      <c r="AF161" s="6"/>
      <c r="AG161" s="6"/>
      <c r="AH161" s="6"/>
    </row>
    <row r="162" spans="1:34" ht="14.4" x14ac:dyDescent="0.3">
      <c r="A162" s="30"/>
      <c r="B162" s="34"/>
      <c r="C162" s="18" t="e">
        <f>LOOKUP(F162,BD!C:C,BD!A:A)</f>
        <v>#N/A</v>
      </c>
      <c r="D162" s="18" t="e">
        <f>LOOKUP(F162,BD!C:C,BD!B:B)</f>
        <v>#N/A</v>
      </c>
      <c r="E162" s="18"/>
      <c r="F162" s="18"/>
      <c r="G162" s="18" t="e">
        <f>LOOKUP(F162,BD!C:C,BD!D:D)</f>
        <v>#N/A</v>
      </c>
      <c r="H162" s="19"/>
      <c r="I162" s="19"/>
      <c r="J162" s="19"/>
      <c r="K162" s="19"/>
      <c r="L162" s="20"/>
      <c r="M162" s="20">
        <f>L162+730</f>
        <v>730</v>
      </c>
      <c r="N162" s="21">
        <f t="shared" ca="1" si="1"/>
        <v>-45491.500559837965</v>
      </c>
      <c r="O162" s="22" t="str">
        <f ca="1">IF(N162&lt;=16,"NO CUMPLE",IF(N162&gt;=16,"VIGENTE"))</f>
        <v>NO CUMPLE</v>
      </c>
      <c r="P162" s="20"/>
      <c r="Q162" s="20">
        <f>P162+730</f>
        <v>730</v>
      </c>
      <c r="R162" s="21">
        <f t="shared" ca="1" si="4"/>
        <v>-45491.500559837965</v>
      </c>
      <c r="S162" s="22" t="str">
        <f ca="1">IF(R162&lt;=16,"NO CUMPLE",IF(R162&gt;=16,"VIGENTE"))</f>
        <v>NO CUMPLE</v>
      </c>
      <c r="T162" s="20"/>
      <c r="U162" s="20">
        <f>T162+730</f>
        <v>730</v>
      </c>
      <c r="V162" s="21">
        <f t="shared" ca="1" si="7"/>
        <v>-45491.500559722219</v>
      </c>
      <c r="W162" s="22" t="str">
        <f ca="1">IF(V162&lt;=16,"NO CUMPLE",IF(V162&gt;=16,"VIGENTE"))</f>
        <v>NO CUMPLE</v>
      </c>
      <c r="X162" s="41">
        <v>4</v>
      </c>
      <c r="Y162" s="41">
        <v>3</v>
      </c>
      <c r="Z162" s="41">
        <f t="shared" si="9"/>
        <v>0</v>
      </c>
      <c r="AA162" s="41">
        <f t="shared" ca="1" si="10"/>
        <v>0</v>
      </c>
      <c r="AB162" s="42">
        <f t="shared" ref="AB162:AC162" si="191">Z162/X162</f>
        <v>0</v>
      </c>
      <c r="AC162" s="42">
        <f t="shared" ca="1" si="191"/>
        <v>0</v>
      </c>
      <c r="AD162" s="43">
        <f ca="1">(Z162+AA162)/7</f>
        <v>0</v>
      </c>
      <c r="AE162" s="44"/>
      <c r="AF162" s="44"/>
      <c r="AG162" s="44"/>
      <c r="AH162" s="44"/>
    </row>
    <row r="163" spans="1:34" ht="14.4" x14ac:dyDescent="0.3">
      <c r="A163" s="30"/>
      <c r="B163" s="34"/>
      <c r="C163" s="18" t="e">
        <f>LOOKUP(F163,BD!C:C,BD!A:A)</f>
        <v>#N/A</v>
      </c>
      <c r="D163" s="18" t="e">
        <f>LOOKUP(F163,BD!C:C,BD!B:B)</f>
        <v>#N/A</v>
      </c>
      <c r="E163" s="18"/>
      <c r="F163" s="18"/>
      <c r="G163" s="18" t="e">
        <f>LOOKUP(F163,BD!C:C,BD!D:D)</f>
        <v>#N/A</v>
      </c>
      <c r="H163" s="19"/>
      <c r="I163" s="19"/>
      <c r="J163" s="19"/>
      <c r="K163" s="19"/>
      <c r="L163" s="20"/>
      <c r="M163" s="20">
        <f t="shared" ref="M163:M166" si="192">L163+730</f>
        <v>730</v>
      </c>
      <c r="N163" s="21">
        <f t="shared" ca="1" si="1"/>
        <v>-45491.500559837965</v>
      </c>
      <c r="O163" s="22" t="str">
        <f t="shared" ref="O163:O166" ca="1" si="193">IF(N163&lt;=16,"NO CUMPLE",IF(N163&gt;=16,"VIGENTE"))</f>
        <v>NO CUMPLE</v>
      </c>
      <c r="P163" s="20"/>
      <c r="Q163" s="20">
        <f t="shared" ref="Q163:Q166" si="194">P163+730</f>
        <v>730</v>
      </c>
      <c r="R163" s="21">
        <f t="shared" ca="1" si="4"/>
        <v>-45491.500559837965</v>
      </c>
      <c r="S163" s="22" t="str">
        <f t="shared" ref="S163:S166" ca="1" si="195">IF(R163&lt;=16,"NO CUMPLE",IF(R163&gt;=16,"VIGENTE"))</f>
        <v>NO CUMPLE</v>
      </c>
      <c r="T163" s="20"/>
      <c r="U163" s="20">
        <f t="shared" ref="U163:U166" si="196">T163+730</f>
        <v>730</v>
      </c>
      <c r="V163" s="21">
        <f t="shared" ca="1" si="7"/>
        <v>-45491.500559837965</v>
      </c>
      <c r="W163" s="22" t="str">
        <f t="shared" ref="W163:W166" ca="1" si="197">IF(V163&lt;=16,"NO CUMPLE",IF(V163&gt;=16,"VIGENTE"))</f>
        <v>NO CUMPLE</v>
      </c>
      <c r="X163" s="41">
        <v>4</v>
      </c>
      <c r="Y163" s="41">
        <v>3</v>
      </c>
      <c r="Z163" s="41">
        <f t="shared" si="9"/>
        <v>0</v>
      </c>
      <c r="AA163" s="41">
        <f t="shared" ca="1" si="10"/>
        <v>0</v>
      </c>
      <c r="AB163" s="42">
        <f t="shared" ref="AB163:AC163" si="198">Z163/X163</f>
        <v>0</v>
      </c>
      <c r="AC163" s="42">
        <f t="shared" ca="1" si="198"/>
        <v>0</v>
      </c>
      <c r="AD163" s="43">
        <f t="shared" ref="AD163:AD166" ca="1" si="199">(Z163+AA163)/7</f>
        <v>0</v>
      </c>
      <c r="AE163" s="44"/>
      <c r="AF163" s="44"/>
      <c r="AG163" s="44"/>
      <c r="AH163" s="44"/>
    </row>
    <row r="164" spans="1:34" ht="14.4" x14ac:dyDescent="0.3">
      <c r="A164" s="30"/>
      <c r="B164" s="34"/>
      <c r="C164" s="18" t="e">
        <f>LOOKUP(F164,BD!C:C,BD!A:A)</f>
        <v>#N/A</v>
      </c>
      <c r="D164" s="18" t="e">
        <f>LOOKUP(F164,BD!C:C,BD!B:B)</f>
        <v>#N/A</v>
      </c>
      <c r="E164" s="18"/>
      <c r="F164" s="18"/>
      <c r="G164" s="18" t="e">
        <f>LOOKUP(F164,BD!C:C,BD!D:D)</f>
        <v>#N/A</v>
      </c>
      <c r="H164" s="19"/>
      <c r="I164" s="19"/>
      <c r="J164" s="19"/>
      <c r="K164" s="19"/>
      <c r="L164" s="20"/>
      <c r="M164" s="20">
        <f t="shared" si="192"/>
        <v>730</v>
      </c>
      <c r="N164" s="21">
        <f t="shared" ca="1" si="1"/>
        <v>-45491.500559837965</v>
      </c>
      <c r="O164" s="22" t="str">
        <f t="shared" ca="1" si="193"/>
        <v>NO CUMPLE</v>
      </c>
      <c r="P164" s="20"/>
      <c r="Q164" s="20">
        <f t="shared" si="194"/>
        <v>730</v>
      </c>
      <c r="R164" s="21">
        <f t="shared" ca="1" si="4"/>
        <v>-45491.500559722219</v>
      </c>
      <c r="S164" s="22" t="str">
        <f t="shared" ca="1" si="195"/>
        <v>NO CUMPLE</v>
      </c>
      <c r="T164" s="20"/>
      <c r="U164" s="20">
        <f t="shared" si="196"/>
        <v>730</v>
      </c>
      <c r="V164" s="21">
        <f t="shared" ca="1" si="7"/>
        <v>-45491.500559837965</v>
      </c>
      <c r="W164" s="22" t="str">
        <f t="shared" ca="1" si="197"/>
        <v>NO CUMPLE</v>
      </c>
      <c r="X164" s="41">
        <v>4</v>
      </c>
      <c r="Y164" s="41">
        <v>3</v>
      </c>
      <c r="Z164" s="41">
        <f t="shared" si="9"/>
        <v>0</v>
      </c>
      <c r="AA164" s="41">
        <f t="shared" ca="1" si="10"/>
        <v>0</v>
      </c>
      <c r="AB164" s="42">
        <f t="shared" ref="AB164:AC164" si="200">Z164/X164</f>
        <v>0</v>
      </c>
      <c r="AC164" s="42">
        <f t="shared" ca="1" si="200"/>
        <v>0</v>
      </c>
      <c r="AD164" s="43">
        <f t="shared" ca="1" si="199"/>
        <v>0</v>
      </c>
      <c r="AE164" s="44"/>
      <c r="AF164" s="44"/>
      <c r="AG164" s="44"/>
      <c r="AH164" s="44"/>
    </row>
    <row r="165" spans="1:34" ht="14.4" x14ac:dyDescent="0.3">
      <c r="A165" s="26"/>
      <c r="B165" s="17"/>
      <c r="C165" s="18" t="e">
        <f>LOOKUP(F165,BD!C:C,BD!A:A)</f>
        <v>#N/A</v>
      </c>
      <c r="D165" s="18" t="e">
        <f>LOOKUP(F165,BD!C:C,BD!B:B)</f>
        <v>#N/A</v>
      </c>
      <c r="E165" s="18"/>
      <c r="F165" s="18"/>
      <c r="G165" s="18" t="e">
        <f>LOOKUP(F165,BD!C:C,BD!D:D)</f>
        <v>#N/A</v>
      </c>
      <c r="H165" s="19"/>
      <c r="I165" s="19"/>
      <c r="J165" s="19"/>
      <c r="K165" s="19"/>
      <c r="L165" s="20"/>
      <c r="M165" s="20">
        <f t="shared" si="192"/>
        <v>730</v>
      </c>
      <c r="N165" s="21">
        <f t="shared" ca="1" si="1"/>
        <v>-45491.500559837965</v>
      </c>
      <c r="O165" s="22" t="str">
        <f t="shared" ca="1" si="193"/>
        <v>NO CUMPLE</v>
      </c>
      <c r="P165" s="20"/>
      <c r="Q165" s="20">
        <f t="shared" si="194"/>
        <v>730</v>
      </c>
      <c r="R165" s="21">
        <f t="shared" ca="1" si="4"/>
        <v>-45491.500559837965</v>
      </c>
      <c r="S165" s="22" t="str">
        <f t="shared" ca="1" si="195"/>
        <v>NO CUMPLE</v>
      </c>
      <c r="T165" s="20"/>
      <c r="U165" s="20">
        <f t="shared" si="196"/>
        <v>730</v>
      </c>
      <c r="V165" s="21">
        <f t="shared" ca="1" si="7"/>
        <v>-45491.500559837965</v>
      </c>
      <c r="W165" s="22" t="str">
        <f t="shared" ca="1" si="197"/>
        <v>NO CUMPLE</v>
      </c>
      <c r="X165" s="41">
        <v>4</v>
      </c>
      <c r="Y165" s="41">
        <v>3</v>
      </c>
      <c r="Z165" s="41">
        <f t="shared" si="9"/>
        <v>0</v>
      </c>
      <c r="AA165" s="41">
        <f t="shared" ca="1" si="10"/>
        <v>0</v>
      </c>
      <c r="AB165" s="42">
        <f t="shared" ref="AB165:AC165" si="201">Z165/X165</f>
        <v>0</v>
      </c>
      <c r="AC165" s="42">
        <f t="shared" ca="1" si="201"/>
        <v>0</v>
      </c>
      <c r="AD165" s="43">
        <f t="shared" ca="1" si="199"/>
        <v>0</v>
      </c>
      <c r="AE165" s="44"/>
      <c r="AF165" s="44"/>
      <c r="AG165" s="44"/>
      <c r="AH165" s="44"/>
    </row>
    <row r="166" spans="1:34" ht="14.4" x14ac:dyDescent="0.3">
      <c r="A166" s="26"/>
      <c r="B166" s="17"/>
      <c r="C166" s="18" t="e">
        <f>LOOKUP(F166,BD!C:C,BD!A:A)</f>
        <v>#N/A</v>
      </c>
      <c r="D166" s="18" t="e">
        <f>LOOKUP(F166,BD!C:C,BD!B:B)</f>
        <v>#N/A</v>
      </c>
      <c r="E166" s="18"/>
      <c r="F166" s="18"/>
      <c r="G166" s="18" t="e">
        <f>LOOKUP(F166,BD!C:C,BD!D:D)</f>
        <v>#N/A</v>
      </c>
      <c r="H166" s="19"/>
      <c r="I166" s="19"/>
      <c r="J166" s="19"/>
      <c r="K166" s="19"/>
      <c r="L166" s="20"/>
      <c r="M166" s="20">
        <f t="shared" si="192"/>
        <v>730</v>
      </c>
      <c r="N166" s="21">
        <f t="shared" ca="1" si="1"/>
        <v>-45491.500559837965</v>
      </c>
      <c r="O166" s="22" t="str">
        <f t="shared" ca="1" si="193"/>
        <v>NO CUMPLE</v>
      </c>
      <c r="P166" s="20"/>
      <c r="Q166" s="20">
        <f t="shared" si="194"/>
        <v>730</v>
      </c>
      <c r="R166" s="21">
        <f t="shared" ca="1" si="4"/>
        <v>-45491.500559837965</v>
      </c>
      <c r="S166" s="22" t="str">
        <f t="shared" ca="1" si="195"/>
        <v>NO CUMPLE</v>
      </c>
      <c r="T166" s="20"/>
      <c r="U166" s="20">
        <f t="shared" si="196"/>
        <v>730</v>
      </c>
      <c r="V166" s="21">
        <f t="shared" ca="1" si="7"/>
        <v>-45491.500559837965</v>
      </c>
      <c r="W166" s="22" t="str">
        <f t="shared" ca="1" si="197"/>
        <v>NO CUMPLE</v>
      </c>
      <c r="X166" s="41">
        <v>4</v>
      </c>
      <c r="Y166" s="41">
        <v>3</v>
      </c>
      <c r="Z166" s="41">
        <f t="shared" si="9"/>
        <v>0</v>
      </c>
      <c r="AA166" s="41">
        <f t="shared" ca="1" si="10"/>
        <v>0</v>
      </c>
      <c r="AB166" s="42">
        <f t="shared" ref="AB166:AC166" si="202">Z166/X166</f>
        <v>0</v>
      </c>
      <c r="AC166" s="42">
        <f t="shared" ca="1" si="202"/>
        <v>0</v>
      </c>
      <c r="AD166" s="43">
        <f t="shared" ca="1" si="199"/>
        <v>0</v>
      </c>
      <c r="AE166" s="44"/>
      <c r="AF166" s="44"/>
      <c r="AG166" s="44"/>
      <c r="AH166" s="44"/>
    </row>
    <row r="167" spans="1:34" ht="12.75" customHeight="1" x14ac:dyDescent="0.3">
      <c r="A167" s="2"/>
      <c r="B167" s="2"/>
      <c r="C167" s="3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4"/>
      <c r="AA167" s="4"/>
      <c r="AB167" s="4"/>
      <c r="AC167" s="4"/>
      <c r="AD167" s="5"/>
      <c r="AE167" s="6"/>
      <c r="AF167" s="6"/>
      <c r="AG167" s="6"/>
      <c r="AH167" s="6"/>
    </row>
    <row r="168" spans="1:34" ht="12.75" customHeight="1" x14ac:dyDescent="0.3">
      <c r="A168" s="2"/>
      <c r="B168" s="2"/>
      <c r="C168" s="3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4"/>
      <c r="AA168" s="4"/>
      <c r="AB168" s="4"/>
      <c r="AC168" s="4"/>
      <c r="AD168" s="5"/>
      <c r="AE168" s="6"/>
      <c r="AF168" s="6"/>
      <c r="AG168" s="6"/>
      <c r="AH168" s="6"/>
    </row>
    <row r="169" spans="1:34" ht="12.75" customHeight="1" x14ac:dyDescent="0.3">
      <c r="A169" s="2"/>
      <c r="B169" s="2"/>
      <c r="C169" s="3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4"/>
      <c r="AA169" s="4"/>
      <c r="AB169" s="4"/>
      <c r="AC169" s="4"/>
      <c r="AD169" s="5"/>
      <c r="AE169" s="6"/>
      <c r="AF169" s="6"/>
      <c r="AG169" s="6"/>
      <c r="AH169" s="6"/>
    </row>
    <row r="170" spans="1:34" ht="12.75" customHeight="1" x14ac:dyDescent="0.3">
      <c r="A170" s="2"/>
      <c r="B170" s="2"/>
      <c r="C170" s="3"/>
      <c r="D170" s="3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4"/>
      <c r="AA170" s="4"/>
      <c r="AB170" s="4"/>
      <c r="AC170" s="4"/>
      <c r="AD170" s="5"/>
      <c r="AE170" s="6"/>
      <c r="AF170" s="6"/>
      <c r="AG170" s="6"/>
      <c r="AH170" s="6"/>
    </row>
    <row r="171" spans="1:34" ht="12.75" customHeight="1" x14ac:dyDescent="0.3">
      <c r="A171" s="2"/>
      <c r="B171" s="2"/>
      <c r="C171" s="3"/>
      <c r="D171" s="3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4"/>
      <c r="AA171" s="4"/>
      <c r="AB171" s="4"/>
      <c r="AC171" s="4"/>
      <c r="AD171" s="5"/>
      <c r="AE171" s="6"/>
      <c r="AF171" s="6"/>
      <c r="AG171" s="6"/>
      <c r="AH171" s="6"/>
    </row>
    <row r="172" spans="1:34" ht="12.75" customHeight="1" x14ac:dyDescent="0.3">
      <c r="A172" s="2"/>
      <c r="B172" s="2"/>
      <c r="C172" s="3"/>
      <c r="D172" s="3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4"/>
      <c r="AA172" s="4"/>
      <c r="AB172" s="4"/>
      <c r="AC172" s="4"/>
      <c r="AD172" s="5"/>
      <c r="AE172" s="6"/>
      <c r="AF172" s="6"/>
      <c r="AG172" s="6"/>
      <c r="AH172" s="6"/>
    </row>
    <row r="173" spans="1:34" ht="12.75" customHeight="1" x14ac:dyDescent="0.3">
      <c r="A173" s="2"/>
      <c r="B173" s="2"/>
      <c r="C173" s="3"/>
      <c r="D173" s="3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4"/>
      <c r="AA173" s="4"/>
      <c r="AB173" s="4"/>
      <c r="AC173" s="4"/>
      <c r="AD173" s="5"/>
      <c r="AE173" s="6"/>
      <c r="AF173" s="6"/>
      <c r="AG173" s="6"/>
      <c r="AH173" s="6"/>
    </row>
    <row r="174" spans="1:34" ht="12.75" customHeight="1" x14ac:dyDescent="0.3">
      <c r="A174" s="2"/>
      <c r="B174" s="2"/>
      <c r="C174" s="3"/>
      <c r="D174" s="3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4"/>
      <c r="AA174" s="4"/>
      <c r="AB174" s="4"/>
      <c r="AC174" s="4"/>
      <c r="AD174" s="5"/>
      <c r="AE174" s="6"/>
      <c r="AF174" s="6"/>
      <c r="AG174" s="6"/>
      <c r="AH174" s="6"/>
    </row>
    <row r="175" spans="1:34" ht="12.75" customHeight="1" x14ac:dyDescent="0.3">
      <c r="A175" s="2"/>
      <c r="B175" s="2"/>
      <c r="C175" s="3"/>
      <c r="D175" s="3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4"/>
      <c r="AA175" s="4"/>
      <c r="AB175" s="4"/>
      <c r="AC175" s="4"/>
      <c r="AD175" s="5"/>
      <c r="AE175" s="6"/>
      <c r="AF175" s="6"/>
      <c r="AG175" s="6"/>
      <c r="AH175" s="6"/>
    </row>
    <row r="176" spans="1:34" ht="12.75" customHeight="1" x14ac:dyDescent="0.3">
      <c r="A176" s="2"/>
      <c r="B176" s="2"/>
      <c r="C176" s="3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4"/>
      <c r="AA176" s="4"/>
      <c r="AB176" s="4"/>
      <c r="AC176" s="4"/>
      <c r="AD176" s="5"/>
      <c r="AE176" s="6"/>
      <c r="AF176" s="6"/>
      <c r="AG176" s="6"/>
      <c r="AH176" s="6"/>
    </row>
    <row r="177" spans="1:34" ht="12.75" customHeight="1" x14ac:dyDescent="0.3">
      <c r="A177" s="2"/>
      <c r="B177" s="2"/>
      <c r="C177" s="3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4"/>
      <c r="AA177" s="4"/>
      <c r="AB177" s="4"/>
      <c r="AC177" s="4"/>
      <c r="AD177" s="5"/>
      <c r="AE177" s="6"/>
      <c r="AF177" s="6"/>
      <c r="AG177" s="6"/>
      <c r="AH177" s="6"/>
    </row>
    <row r="178" spans="1:34" ht="12.75" customHeight="1" x14ac:dyDescent="0.3">
      <c r="A178" s="2"/>
      <c r="B178" s="2"/>
      <c r="C178" s="3"/>
      <c r="D178" s="3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4"/>
      <c r="AA178" s="4"/>
      <c r="AB178" s="4"/>
      <c r="AC178" s="4"/>
      <c r="AD178" s="5"/>
      <c r="AE178" s="6"/>
      <c r="AF178" s="6"/>
      <c r="AG178" s="6"/>
      <c r="AH178" s="6"/>
    </row>
    <row r="179" spans="1:34" ht="12.75" customHeight="1" x14ac:dyDescent="0.3">
      <c r="A179" s="2"/>
      <c r="B179" s="2"/>
      <c r="C179" s="3"/>
      <c r="D179" s="3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4"/>
      <c r="AA179" s="4"/>
      <c r="AB179" s="4"/>
      <c r="AC179" s="4"/>
      <c r="AD179" s="5"/>
      <c r="AE179" s="6"/>
      <c r="AF179" s="6"/>
      <c r="AG179" s="6"/>
      <c r="AH179" s="6"/>
    </row>
    <row r="180" spans="1:34" ht="12.75" customHeight="1" x14ac:dyDescent="0.3">
      <c r="A180" s="2"/>
      <c r="B180" s="2"/>
      <c r="C180" s="3"/>
      <c r="D180" s="3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4"/>
      <c r="AA180" s="4"/>
      <c r="AB180" s="4"/>
      <c r="AC180" s="4"/>
      <c r="AD180" s="5"/>
      <c r="AE180" s="6"/>
      <c r="AF180" s="6"/>
      <c r="AG180" s="6"/>
      <c r="AH180" s="6"/>
    </row>
    <row r="181" spans="1:34" ht="12.75" customHeight="1" x14ac:dyDescent="0.3">
      <c r="A181" s="2"/>
      <c r="B181" s="2"/>
      <c r="C181" s="3"/>
      <c r="D181" s="3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4"/>
      <c r="AA181" s="4"/>
      <c r="AB181" s="4"/>
      <c r="AC181" s="4"/>
      <c r="AD181" s="5"/>
      <c r="AE181" s="6"/>
      <c r="AF181" s="6"/>
      <c r="AG181" s="6"/>
      <c r="AH181" s="6"/>
    </row>
    <row r="182" spans="1:34" ht="12.75" customHeight="1" x14ac:dyDescent="0.3">
      <c r="A182" s="2"/>
      <c r="B182" s="2"/>
      <c r="C182" s="3"/>
      <c r="D182" s="3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4"/>
      <c r="AA182" s="4"/>
      <c r="AB182" s="4"/>
      <c r="AC182" s="4"/>
      <c r="AD182" s="5"/>
      <c r="AE182" s="6"/>
      <c r="AF182" s="6"/>
      <c r="AG182" s="6"/>
      <c r="AH182" s="6"/>
    </row>
    <row r="183" spans="1:34" ht="12.75" customHeight="1" x14ac:dyDescent="0.3">
      <c r="A183" s="2"/>
      <c r="B183" s="2"/>
      <c r="C183" s="3"/>
      <c r="D183" s="3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4"/>
      <c r="AA183" s="4"/>
      <c r="AB183" s="4"/>
      <c r="AC183" s="4"/>
      <c r="AD183" s="5"/>
      <c r="AE183" s="6"/>
      <c r="AF183" s="6"/>
      <c r="AG183" s="6"/>
      <c r="AH183" s="6"/>
    </row>
    <row r="184" spans="1:34" ht="12.75" customHeight="1" x14ac:dyDescent="0.3">
      <c r="A184" s="2"/>
      <c r="B184" s="2"/>
      <c r="C184" s="3"/>
      <c r="D184" s="3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4"/>
      <c r="AA184" s="4"/>
      <c r="AB184" s="4"/>
      <c r="AC184" s="4"/>
      <c r="AD184" s="5"/>
      <c r="AE184" s="6"/>
      <c r="AF184" s="6"/>
      <c r="AG184" s="6"/>
      <c r="AH184" s="6"/>
    </row>
    <row r="185" spans="1:34" ht="12.75" customHeight="1" x14ac:dyDescent="0.3">
      <c r="A185" s="2"/>
      <c r="B185" s="2"/>
      <c r="C185" s="3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4"/>
      <c r="AA185" s="4"/>
      <c r="AB185" s="4"/>
      <c r="AC185" s="4"/>
      <c r="AD185" s="5"/>
      <c r="AE185" s="6"/>
      <c r="AF185" s="6"/>
      <c r="AG185" s="6"/>
      <c r="AH185" s="6"/>
    </row>
    <row r="186" spans="1:34" ht="12.75" customHeight="1" x14ac:dyDescent="0.3">
      <c r="A186" s="2"/>
      <c r="B186" s="2"/>
      <c r="C186" s="3"/>
      <c r="D186" s="3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4"/>
      <c r="AA186" s="4"/>
      <c r="AB186" s="4"/>
      <c r="AC186" s="4"/>
      <c r="AD186" s="5"/>
      <c r="AE186" s="6"/>
      <c r="AF186" s="6"/>
      <c r="AG186" s="6"/>
      <c r="AH186" s="6"/>
    </row>
    <row r="187" spans="1:34" ht="12.75" customHeight="1" x14ac:dyDescent="0.3">
      <c r="A187" s="2"/>
      <c r="B187" s="2"/>
      <c r="C187" s="3"/>
      <c r="D187" s="3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4"/>
      <c r="AA187" s="4"/>
      <c r="AB187" s="4"/>
      <c r="AC187" s="4"/>
      <c r="AD187" s="5"/>
      <c r="AE187" s="6"/>
      <c r="AF187" s="6"/>
      <c r="AG187" s="6"/>
      <c r="AH187" s="6"/>
    </row>
    <row r="188" spans="1:34" ht="12.75" customHeight="1" x14ac:dyDescent="0.3">
      <c r="A188" s="2"/>
      <c r="B188" s="2"/>
      <c r="C188" s="3"/>
      <c r="D188" s="3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4"/>
      <c r="AA188" s="4"/>
      <c r="AB188" s="4"/>
      <c r="AC188" s="4"/>
      <c r="AD188" s="5"/>
      <c r="AE188" s="6"/>
      <c r="AF188" s="6"/>
      <c r="AG188" s="6"/>
      <c r="AH188" s="6"/>
    </row>
    <row r="189" spans="1:34" ht="12.75" customHeight="1" x14ac:dyDescent="0.3">
      <c r="A189" s="2"/>
      <c r="B189" s="2"/>
      <c r="C189" s="3"/>
      <c r="D189" s="3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4"/>
      <c r="AA189" s="4"/>
      <c r="AB189" s="4"/>
      <c r="AC189" s="4"/>
      <c r="AD189" s="5"/>
      <c r="AE189" s="6"/>
      <c r="AF189" s="6"/>
      <c r="AG189" s="6"/>
      <c r="AH189" s="6"/>
    </row>
    <row r="190" spans="1:34" ht="12.75" customHeight="1" x14ac:dyDescent="0.3">
      <c r="A190" s="2"/>
      <c r="B190" s="2"/>
      <c r="C190" s="3"/>
      <c r="D190" s="3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4"/>
      <c r="AA190" s="4"/>
      <c r="AB190" s="4"/>
      <c r="AC190" s="4"/>
      <c r="AD190" s="5"/>
      <c r="AE190" s="6"/>
      <c r="AF190" s="6"/>
      <c r="AG190" s="6"/>
      <c r="AH190" s="6"/>
    </row>
    <row r="191" spans="1:34" ht="12.75" customHeight="1" x14ac:dyDescent="0.3">
      <c r="A191" s="2"/>
      <c r="B191" s="2"/>
      <c r="C191" s="3"/>
      <c r="D191" s="3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4"/>
      <c r="AA191" s="4"/>
      <c r="AB191" s="4"/>
      <c r="AC191" s="4"/>
      <c r="AD191" s="5"/>
      <c r="AE191" s="6"/>
      <c r="AF191" s="6"/>
      <c r="AG191" s="6"/>
      <c r="AH191" s="6"/>
    </row>
    <row r="192" spans="1:34" ht="12.75" customHeight="1" x14ac:dyDescent="0.3">
      <c r="A192" s="2"/>
      <c r="B192" s="2"/>
      <c r="C192" s="3"/>
      <c r="D192" s="3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4"/>
      <c r="AA192" s="4"/>
      <c r="AB192" s="4"/>
      <c r="AC192" s="4"/>
      <c r="AD192" s="5"/>
      <c r="AE192" s="6"/>
      <c r="AF192" s="6"/>
      <c r="AG192" s="6"/>
      <c r="AH192" s="6"/>
    </row>
    <row r="193" spans="1:34" ht="12.75" customHeight="1" x14ac:dyDescent="0.3">
      <c r="A193" s="2"/>
      <c r="B193" s="2"/>
      <c r="C193" s="3"/>
      <c r="D193" s="3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4"/>
      <c r="AA193" s="4"/>
      <c r="AB193" s="4"/>
      <c r="AC193" s="4"/>
      <c r="AD193" s="5"/>
      <c r="AE193" s="6"/>
      <c r="AF193" s="6"/>
      <c r="AG193" s="6"/>
      <c r="AH193" s="6"/>
    </row>
    <row r="194" spans="1:34" ht="12.75" customHeight="1" x14ac:dyDescent="0.3">
      <c r="A194" s="2"/>
      <c r="B194" s="2"/>
      <c r="C194" s="3"/>
      <c r="D194" s="3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4"/>
      <c r="AA194" s="4"/>
      <c r="AB194" s="4"/>
      <c r="AC194" s="4"/>
      <c r="AD194" s="5"/>
      <c r="AE194" s="6"/>
      <c r="AF194" s="6"/>
      <c r="AG194" s="6"/>
      <c r="AH194" s="6"/>
    </row>
    <row r="195" spans="1:34" ht="12.75" customHeight="1" x14ac:dyDescent="0.3">
      <c r="A195" s="2"/>
      <c r="B195" s="2"/>
      <c r="C195" s="3"/>
      <c r="D195" s="3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4"/>
      <c r="AA195" s="4"/>
      <c r="AB195" s="4"/>
      <c r="AC195" s="4"/>
      <c r="AD195" s="5"/>
      <c r="AE195" s="6"/>
      <c r="AF195" s="6"/>
      <c r="AG195" s="6"/>
      <c r="AH195" s="6"/>
    </row>
    <row r="196" spans="1:34" ht="12.75" customHeight="1" x14ac:dyDescent="0.3">
      <c r="A196" s="2"/>
      <c r="B196" s="2"/>
      <c r="C196" s="3"/>
      <c r="D196" s="3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4"/>
      <c r="AA196" s="4"/>
      <c r="AB196" s="4"/>
      <c r="AC196" s="4"/>
      <c r="AD196" s="5"/>
      <c r="AE196" s="6"/>
      <c r="AF196" s="6"/>
      <c r="AG196" s="6"/>
      <c r="AH196" s="6"/>
    </row>
    <row r="197" spans="1:34" ht="12.75" customHeight="1" x14ac:dyDescent="0.3">
      <c r="A197" s="2"/>
      <c r="B197" s="2"/>
      <c r="C197" s="3"/>
      <c r="D197" s="3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4"/>
      <c r="AA197" s="4"/>
      <c r="AB197" s="4"/>
      <c r="AC197" s="4"/>
      <c r="AD197" s="5"/>
      <c r="AE197" s="6"/>
      <c r="AF197" s="6"/>
      <c r="AG197" s="6"/>
      <c r="AH197" s="6"/>
    </row>
    <row r="198" spans="1:34" ht="12.75" customHeight="1" x14ac:dyDescent="0.3">
      <c r="A198" s="2"/>
      <c r="B198" s="2"/>
      <c r="C198" s="3"/>
      <c r="D198" s="3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4"/>
      <c r="AA198" s="4"/>
      <c r="AB198" s="4"/>
      <c r="AC198" s="4"/>
      <c r="AD198" s="5"/>
      <c r="AE198" s="6"/>
      <c r="AF198" s="6"/>
      <c r="AG198" s="6"/>
      <c r="AH198" s="6"/>
    </row>
    <row r="199" spans="1:34" ht="12.75" customHeight="1" x14ac:dyDescent="0.3">
      <c r="A199" s="2"/>
      <c r="B199" s="2"/>
      <c r="C199" s="3"/>
      <c r="D199" s="3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4"/>
      <c r="AA199" s="4"/>
      <c r="AB199" s="4"/>
      <c r="AC199" s="4"/>
      <c r="AD199" s="5"/>
      <c r="AE199" s="6"/>
      <c r="AF199" s="6"/>
      <c r="AG199" s="6"/>
      <c r="AH199" s="6"/>
    </row>
    <row r="200" spans="1:34" ht="12.75" customHeight="1" x14ac:dyDescent="0.3">
      <c r="A200" s="2"/>
      <c r="B200" s="2"/>
      <c r="C200" s="3"/>
      <c r="D200" s="3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4"/>
      <c r="AA200" s="4"/>
      <c r="AB200" s="4"/>
      <c r="AC200" s="4"/>
      <c r="AD200" s="5"/>
      <c r="AE200" s="6"/>
      <c r="AF200" s="6"/>
      <c r="AG200" s="6"/>
      <c r="AH200" s="6"/>
    </row>
    <row r="201" spans="1:34" ht="12.75" customHeight="1" x14ac:dyDescent="0.3">
      <c r="A201" s="2"/>
      <c r="B201" s="2"/>
      <c r="C201" s="3"/>
      <c r="D201" s="3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4"/>
      <c r="AA201" s="4"/>
      <c r="AB201" s="4"/>
      <c r="AC201" s="4"/>
      <c r="AD201" s="5"/>
      <c r="AE201" s="6"/>
      <c r="AF201" s="6"/>
      <c r="AG201" s="6"/>
      <c r="AH201" s="6"/>
    </row>
    <row r="202" spans="1:34" ht="12.75" customHeight="1" x14ac:dyDescent="0.3">
      <c r="A202" s="2"/>
      <c r="B202" s="2"/>
      <c r="C202" s="3"/>
      <c r="D202" s="3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4"/>
      <c r="AA202" s="4"/>
      <c r="AB202" s="4"/>
      <c r="AC202" s="4"/>
      <c r="AD202" s="5"/>
      <c r="AE202" s="6"/>
      <c r="AF202" s="6"/>
      <c r="AG202" s="6"/>
      <c r="AH202" s="6"/>
    </row>
    <row r="203" spans="1:34" ht="12.75" customHeight="1" x14ac:dyDescent="0.3">
      <c r="A203" s="2"/>
      <c r="B203" s="2"/>
      <c r="C203" s="3"/>
      <c r="D203" s="3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4"/>
      <c r="AA203" s="4"/>
      <c r="AB203" s="4"/>
      <c r="AC203" s="4"/>
      <c r="AD203" s="5"/>
      <c r="AE203" s="6"/>
      <c r="AF203" s="6"/>
      <c r="AG203" s="6"/>
      <c r="AH203" s="6"/>
    </row>
    <row r="204" spans="1:34" ht="12.75" customHeight="1" x14ac:dyDescent="0.3">
      <c r="A204" s="2"/>
      <c r="B204" s="2"/>
      <c r="C204" s="3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4"/>
      <c r="AA204" s="4"/>
      <c r="AB204" s="4"/>
      <c r="AC204" s="4"/>
      <c r="AD204" s="5"/>
      <c r="AE204" s="6"/>
      <c r="AF204" s="6"/>
      <c r="AG204" s="6"/>
      <c r="AH204" s="6"/>
    </row>
    <row r="205" spans="1:34" ht="12.75" customHeight="1" x14ac:dyDescent="0.3">
      <c r="A205" s="2"/>
      <c r="B205" s="2"/>
      <c r="C205" s="3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4"/>
      <c r="AA205" s="4"/>
      <c r="AB205" s="4"/>
      <c r="AC205" s="4"/>
      <c r="AD205" s="5"/>
      <c r="AE205" s="6"/>
      <c r="AF205" s="6"/>
      <c r="AG205" s="6"/>
      <c r="AH205" s="6"/>
    </row>
    <row r="206" spans="1:34" ht="12.75" customHeight="1" x14ac:dyDescent="0.3">
      <c r="A206" s="2"/>
      <c r="B206" s="2"/>
      <c r="C206" s="3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4"/>
      <c r="AA206" s="4"/>
      <c r="AB206" s="4"/>
      <c r="AC206" s="4"/>
      <c r="AD206" s="5"/>
      <c r="AE206" s="6"/>
      <c r="AF206" s="6"/>
      <c r="AG206" s="6"/>
      <c r="AH206" s="6"/>
    </row>
    <row r="207" spans="1:34" ht="12.75" customHeight="1" x14ac:dyDescent="0.3">
      <c r="A207" s="2"/>
      <c r="B207" s="2"/>
      <c r="C207" s="3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4"/>
      <c r="AA207" s="4"/>
      <c r="AB207" s="4"/>
      <c r="AC207" s="4"/>
      <c r="AD207" s="5"/>
      <c r="AE207" s="6"/>
      <c r="AF207" s="6"/>
      <c r="AG207" s="6"/>
      <c r="AH207" s="6"/>
    </row>
    <row r="208" spans="1:34" ht="12.75" customHeight="1" x14ac:dyDescent="0.3">
      <c r="A208" s="2"/>
      <c r="B208" s="2"/>
      <c r="C208" s="3"/>
      <c r="D208" s="3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4"/>
      <c r="AA208" s="4"/>
      <c r="AB208" s="4"/>
      <c r="AC208" s="4"/>
      <c r="AD208" s="5"/>
      <c r="AE208" s="6"/>
      <c r="AF208" s="6"/>
      <c r="AG208" s="6"/>
      <c r="AH208" s="6"/>
    </row>
    <row r="209" spans="1:34" ht="12.75" customHeight="1" x14ac:dyDescent="0.3">
      <c r="A209" s="2"/>
      <c r="B209" s="2"/>
      <c r="C209" s="3"/>
      <c r="D209" s="3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4"/>
      <c r="AA209" s="4"/>
      <c r="AB209" s="4"/>
      <c r="AC209" s="4"/>
      <c r="AD209" s="5"/>
      <c r="AE209" s="6"/>
      <c r="AF209" s="6"/>
      <c r="AG209" s="6"/>
      <c r="AH209" s="6"/>
    </row>
    <row r="210" spans="1:34" ht="12.75" customHeight="1" x14ac:dyDescent="0.3">
      <c r="A210" s="2"/>
      <c r="B210" s="2"/>
      <c r="C210" s="3"/>
      <c r="D210" s="3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4"/>
      <c r="AA210" s="4"/>
      <c r="AB210" s="4"/>
      <c r="AC210" s="4"/>
      <c r="AD210" s="5"/>
      <c r="AE210" s="6"/>
      <c r="AF210" s="6"/>
      <c r="AG210" s="6"/>
      <c r="AH210" s="6"/>
    </row>
    <row r="211" spans="1:34" ht="12.75" customHeight="1" x14ac:dyDescent="0.3">
      <c r="A211" s="2"/>
      <c r="B211" s="2"/>
      <c r="C211" s="3"/>
      <c r="D211" s="3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4"/>
      <c r="AA211" s="4"/>
      <c r="AB211" s="4"/>
      <c r="AC211" s="4"/>
      <c r="AD211" s="5"/>
      <c r="AE211" s="6"/>
      <c r="AF211" s="6"/>
      <c r="AG211" s="6"/>
      <c r="AH211" s="6"/>
    </row>
    <row r="212" spans="1:34" ht="12.75" customHeight="1" x14ac:dyDescent="0.3">
      <c r="A212" s="2"/>
      <c r="B212" s="2"/>
      <c r="C212" s="3"/>
      <c r="D212" s="3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4"/>
      <c r="AA212" s="4"/>
      <c r="AB212" s="4"/>
      <c r="AC212" s="4"/>
      <c r="AD212" s="5"/>
      <c r="AE212" s="6"/>
      <c r="AF212" s="6"/>
      <c r="AG212" s="6"/>
      <c r="AH212" s="6"/>
    </row>
    <row r="213" spans="1:34" ht="12.75" customHeight="1" x14ac:dyDescent="0.3">
      <c r="A213" s="2"/>
      <c r="B213" s="2"/>
      <c r="C213" s="3"/>
      <c r="D213" s="3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4"/>
      <c r="AA213" s="4"/>
      <c r="AB213" s="4"/>
      <c r="AC213" s="4"/>
      <c r="AD213" s="5"/>
      <c r="AE213" s="6"/>
      <c r="AF213" s="6"/>
      <c r="AG213" s="6"/>
      <c r="AH213" s="6"/>
    </row>
    <row r="214" spans="1:34" ht="12.75" customHeight="1" x14ac:dyDescent="0.3">
      <c r="A214" s="2"/>
      <c r="B214" s="2"/>
      <c r="C214" s="3"/>
      <c r="D214" s="3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4"/>
      <c r="AA214" s="4"/>
      <c r="AB214" s="4"/>
      <c r="AC214" s="4"/>
      <c r="AD214" s="5"/>
      <c r="AE214" s="6"/>
      <c r="AF214" s="6"/>
      <c r="AG214" s="6"/>
      <c r="AH214" s="6"/>
    </row>
    <row r="215" spans="1:34" ht="12.75" customHeight="1" x14ac:dyDescent="0.3">
      <c r="A215" s="2"/>
      <c r="B215" s="2"/>
      <c r="C215" s="3"/>
      <c r="D215" s="3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4"/>
      <c r="AA215" s="4"/>
      <c r="AB215" s="4"/>
      <c r="AC215" s="4"/>
      <c r="AD215" s="5"/>
      <c r="AE215" s="6"/>
      <c r="AF215" s="6"/>
      <c r="AG215" s="6"/>
      <c r="AH215" s="6"/>
    </row>
    <row r="216" spans="1:34" ht="12.75" customHeight="1" x14ac:dyDescent="0.3">
      <c r="A216" s="2"/>
      <c r="B216" s="2"/>
      <c r="C216" s="3"/>
      <c r="D216" s="3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4"/>
      <c r="AA216" s="4"/>
      <c r="AB216" s="4"/>
      <c r="AC216" s="4"/>
      <c r="AD216" s="5"/>
      <c r="AE216" s="6"/>
      <c r="AF216" s="6"/>
      <c r="AG216" s="6"/>
      <c r="AH216" s="6"/>
    </row>
    <row r="217" spans="1:34" ht="12.75" customHeight="1" x14ac:dyDescent="0.3">
      <c r="A217" s="2"/>
      <c r="B217" s="2"/>
      <c r="C217" s="3"/>
      <c r="D217" s="3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4"/>
      <c r="AA217" s="4"/>
      <c r="AB217" s="4"/>
      <c r="AC217" s="4"/>
      <c r="AD217" s="5"/>
      <c r="AE217" s="6"/>
      <c r="AF217" s="6"/>
      <c r="AG217" s="6"/>
      <c r="AH217" s="6"/>
    </row>
    <row r="218" spans="1:34" ht="12.75" customHeight="1" x14ac:dyDescent="0.3">
      <c r="A218" s="2"/>
      <c r="B218" s="2"/>
      <c r="C218" s="3"/>
      <c r="D218" s="3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4"/>
      <c r="AA218" s="4"/>
      <c r="AB218" s="4"/>
      <c r="AC218" s="4"/>
      <c r="AD218" s="5"/>
      <c r="AE218" s="6"/>
      <c r="AF218" s="6"/>
      <c r="AG218" s="6"/>
      <c r="AH218" s="6"/>
    </row>
    <row r="219" spans="1:34" ht="12.75" customHeight="1" x14ac:dyDescent="0.3">
      <c r="A219" s="2"/>
      <c r="B219" s="2"/>
      <c r="C219" s="3"/>
      <c r="D219" s="3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4"/>
      <c r="AA219" s="4"/>
      <c r="AB219" s="4"/>
      <c r="AC219" s="4"/>
      <c r="AD219" s="5"/>
      <c r="AE219" s="6"/>
      <c r="AF219" s="6"/>
      <c r="AG219" s="6"/>
      <c r="AH219" s="6"/>
    </row>
    <row r="220" spans="1:34" ht="12.75" customHeight="1" x14ac:dyDescent="0.3">
      <c r="A220" s="2"/>
      <c r="B220" s="2"/>
      <c r="C220" s="3"/>
      <c r="D220" s="3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4"/>
      <c r="AA220" s="4"/>
      <c r="AB220" s="4"/>
      <c r="AC220" s="4"/>
      <c r="AD220" s="5"/>
      <c r="AE220" s="6"/>
      <c r="AF220" s="6"/>
      <c r="AG220" s="6"/>
      <c r="AH220" s="6"/>
    </row>
    <row r="221" spans="1:34" ht="12.75" customHeight="1" x14ac:dyDescent="0.3">
      <c r="A221" s="2"/>
      <c r="B221" s="2"/>
      <c r="C221" s="3"/>
      <c r="D221" s="3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4"/>
      <c r="AA221" s="4"/>
      <c r="AB221" s="4"/>
      <c r="AC221" s="4"/>
      <c r="AD221" s="5"/>
      <c r="AE221" s="6"/>
      <c r="AF221" s="6"/>
      <c r="AG221" s="6"/>
      <c r="AH221" s="6"/>
    </row>
    <row r="222" spans="1:34" ht="12.75" customHeight="1" x14ac:dyDescent="0.3">
      <c r="A222" s="2"/>
      <c r="B222" s="2"/>
      <c r="C222" s="3"/>
      <c r="D222" s="3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4"/>
      <c r="AA222" s="4"/>
      <c r="AB222" s="4"/>
      <c r="AC222" s="4"/>
      <c r="AD222" s="5"/>
      <c r="AE222" s="6"/>
      <c r="AF222" s="6"/>
      <c r="AG222" s="6"/>
      <c r="AH222" s="6"/>
    </row>
    <row r="223" spans="1:34" ht="12.75" customHeight="1" x14ac:dyDescent="0.3">
      <c r="A223" s="2"/>
      <c r="B223" s="2"/>
      <c r="C223" s="3"/>
      <c r="D223" s="3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4"/>
      <c r="AA223" s="4"/>
      <c r="AB223" s="4"/>
      <c r="AC223" s="4"/>
      <c r="AD223" s="5"/>
      <c r="AE223" s="6"/>
      <c r="AF223" s="6"/>
      <c r="AG223" s="6"/>
      <c r="AH223" s="6"/>
    </row>
    <row r="224" spans="1:34" ht="12.75" customHeight="1" x14ac:dyDescent="0.3">
      <c r="A224" s="2"/>
      <c r="B224" s="2"/>
      <c r="C224" s="3"/>
      <c r="D224" s="3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4"/>
      <c r="AA224" s="4"/>
      <c r="AB224" s="4"/>
      <c r="AC224" s="4"/>
      <c r="AD224" s="5"/>
      <c r="AE224" s="6"/>
      <c r="AF224" s="6"/>
      <c r="AG224" s="6"/>
      <c r="AH224" s="6"/>
    </row>
    <row r="225" spans="1:34" ht="12.75" customHeight="1" x14ac:dyDescent="0.3">
      <c r="A225" s="2"/>
      <c r="B225" s="2"/>
      <c r="C225" s="3"/>
      <c r="D225" s="3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4"/>
      <c r="AA225" s="4"/>
      <c r="AB225" s="4"/>
      <c r="AC225" s="4"/>
      <c r="AD225" s="5"/>
      <c r="AE225" s="6"/>
      <c r="AF225" s="6"/>
      <c r="AG225" s="6"/>
      <c r="AH225" s="6"/>
    </row>
    <row r="226" spans="1:34" ht="12.75" customHeight="1" x14ac:dyDescent="0.3">
      <c r="A226" s="2"/>
      <c r="B226" s="2"/>
      <c r="C226" s="3"/>
      <c r="D226" s="3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4"/>
      <c r="AA226" s="4"/>
      <c r="AB226" s="4"/>
      <c r="AC226" s="4"/>
      <c r="AD226" s="5"/>
      <c r="AE226" s="6"/>
      <c r="AF226" s="6"/>
      <c r="AG226" s="6"/>
      <c r="AH226" s="6"/>
    </row>
    <row r="227" spans="1:34" ht="12.75" customHeight="1" x14ac:dyDescent="0.3">
      <c r="A227" s="2"/>
      <c r="B227" s="2"/>
      <c r="C227" s="3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4"/>
      <c r="AA227" s="4"/>
      <c r="AB227" s="4"/>
      <c r="AC227" s="4"/>
      <c r="AD227" s="5"/>
      <c r="AE227" s="6"/>
      <c r="AF227" s="6"/>
      <c r="AG227" s="6"/>
      <c r="AH227" s="6"/>
    </row>
    <row r="228" spans="1:34" ht="12.75" customHeight="1" x14ac:dyDescent="0.3">
      <c r="A228" s="2"/>
      <c r="B228" s="2"/>
      <c r="C228" s="3"/>
      <c r="D228" s="3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4"/>
      <c r="AA228" s="4"/>
      <c r="AB228" s="4"/>
      <c r="AC228" s="4"/>
      <c r="AD228" s="5"/>
      <c r="AE228" s="6"/>
      <c r="AF228" s="6"/>
      <c r="AG228" s="6"/>
      <c r="AH228" s="6"/>
    </row>
    <row r="229" spans="1:34" ht="12.75" customHeight="1" x14ac:dyDescent="0.3">
      <c r="A229" s="2"/>
      <c r="B229" s="2"/>
      <c r="C229" s="3"/>
      <c r="D229" s="3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4"/>
      <c r="AA229" s="4"/>
      <c r="AB229" s="4"/>
      <c r="AC229" s="4"/>
      <c r="AD229" s="5"/>
      <c r="AE229" s="6"/>
      <c r="AF229" s="6"/>
      <c r="AG229" s="6"/>
      <c r="AH229" s="6"/>
    </row>
    <row r="230" spans="1:34" ht="12.75" customHeight="1" x14ac:dyDescent="0.3">
      <c r="A230" s="2"/>
      <c r="B230" s="2"/>
      <c r="C230" s="3"/>
      <c r="D230" s="3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4"/>
      <c r="AA230" s="4"/>
      <c r="AB230" s="4"/>
      <c r="AC230" s="4"/>
      <c r="AD230" s="5"/>
      <c r="AE230" s="6"/>
      <c r="AF230" s="6"/>
      <c r="AG230" s="6"/>
      <c r="AH230" s="6"/>
    </row>
    <row r="231" spans="1:34" ht="12.75" customHeight="1" x14ac:dyDescent="0.3">
      <c r="A231" s="2"/>
      <c r="B231" s="2"/>
      <c r="C231" s="3"/>
      <c r="D231" s="3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4"/>
      <c r="AA231" s="4"/>
      <c r="AB231" s="4"/>
      <c r="AC231" s="4"/>
      <c r="AD231" s="5"/>
      <c r="AE231" s="6"/>
      <c r="AF231" s="6"/>
      <c r="AG231" s="6"/>
      <c r="AH231" s="6"/>
    </row>
    <row r="232" spans="1:34" ht="12.75" customHeight="1" x14ac:dyDescent="0.3">
      <c r="A232" s="2"/>
      <c r="B232" s="2"/>
      <c r="C232" s="3"/>
      <c r="D232" s="3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4"/>
      <c r="AA232" s="4"/>
      <c r="AB232" s="4"/>
      <c r="AC232" s="4"/>
      <c r="AD232" s="5"/>
      <c r="AE232" s="6"/>
      <c r="AF232" s="6"/>
      <c r="AG232" s="6"/>
      <c r="AH232" s="6"/>
    </row>
    <row r="233" spans="1:34" ht="12.75" customHeight="1" x14ac:dyDescent="0.3">
      <c r="A233" s="2"/>
      <c r="B233" s="2"/>
      <c r="C233" s="3"/>
      <c r="D233" s="3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4"/>
      <c r="AA233" s="4"/>
      <c r="AB233" s="4"/>
      <c r="AC233" s="4"/>
      <c r="AD233" s="5"/>
      <c r="AE233" s="6"/>
      <c r="AF233" s="6"/>
      <c r="AG233" s="6"/>
      <c r="AH233" s="6"/>
    </row>
    <row r="234" spans="1:34" ht="12.75" customHeight="1" x14ac:dyDescent="0.3">
      <c r="A234" s="2"/>
      <c r="B234" s="2"/>
      <c r="C234" s="3"/>
      <c r="D234" s="3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4"/>
      <c r="AA234" s="4"/>
      <c r="AB234" s="4"/>
      <c r="AC234" s="4"/>
      <c r="AD234" s="5"/>
      <c r="AE234" s="6"/>
      <c r="AF234" s="6"/>
      <c r="AG234" s="6"/>
      <c r="AH234" s="6"/>
    </row>
    <row r="235" spans="1:34" ht="12.75" customHeight="1" x14ac:dyDescent="0.3">
      <c r="A235" s="2"/>
      <c r="B235" s="2"/>
      <c r="C235" s="3"/>
      <c r="D235" s="3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4"/>
      <c r="AA235" s="4"/>
      <c r="AB235" s="4"/>
      <c r="AC235" s="4"/>
      <c r="AD235" s="5"/>
      <c r="AE235" s="6"/>
      <c r="AF235" s="6"/>
      <c r="AG235" s="6"/>
      <c r="AH235" s="6"/>
    </row>
    <row r="236" spans="1:34" ht="12.75" customHeight="1" x14ac:dyDescent="0.3">
      <c r="A236" s="2"/>
      <c r="B236" s="2"/>
      <c r="C236" s="3"/>
      <c r="D236" s="3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4"/>
      <c r="AA236" s="4"/>
      <c r="AB236" s="4"/>
      <c r="AC236" s="4"/>
      <c r="AD236" s="5"/>
      <c r="AE236" s="6"/>
      <c r="AF236" s="6"/>
      <c r="AG236" s="6"/>
      <c r="AH236" s="6"/>
    </row>
    <row r="237" spans="1:34" ht="12.75" customHeight="1" x14ac:dyDescent="0.3">
      <c r="A237" s="2"/>
      <c r="B237" s="2"/>
      <c r="C237" s="3"/>
      <c r="D237" s="3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4"/>
      <c r="AA237" s="4"/>
      <c r="AB237" s="4"/>
      <c r="AC237" s="4"/>
      <c r="AD237" s="5"/>
      <c r="AE237" s="6"/>
      <c r="AF237" s="6"/>
      <c r="AG237" s="6"/>
      <c r="AH237" s="6"/>
    </row>
    <row r="238" spans="1:34" ht="12.75" customHeight="1" x14ac:dyDescent="0.3">
      <c r="A238" s="2"/>
      <c r="B238" s="2"/>
      <c r="C238" s="3"/>
      <c r="D238" s="3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4"/>
      <c r="AA238" s="4"/>
      <c r="AB238" s="4"/>
      <c r="AC238" s="4"/>
      <c r="AD238" s="5"/>
      <c r="AE238" s="6"/>
      <c r="AF238" s="6"/>
      <c r="AG238" s="6"/>
      <c r="AH238" s="6"/>
    </row>
    <row r="239" spans="1:34" ht="12.75" customHeight="1" x14ac:dyDescent="0.3">
      <c r="A239" s="2"/>
      <c r="B239" s="2"/>
      <c r="C239" s="3"/>
      <c r="D239" s="3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4"/>
      <c r="AA239" s="4"/>
      <c r="AB239" s="4"/>
      <c r="AC239" s="4"/>
      <c r="AD239" s="5"/>
      <c r="AE239" s="6"/>
      <c r="AF239" s="6"/>
      <c r="AG239" s="6"/>
      <c r="AH239" s="6"/>
    </row>
    <row r="240" spans="1:34" ht="12.75" customHeight="1" x14ac:dyDescent="0.3">
      <c r="A240" s="2"/>
      <c r="B240" s="2"/>
      <c r="C240" s="3"/>
      <c r="D240" s="3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4"/>
      <c r="AA240" s="4"/>
      <c r="AB240" s="4"/>
      <c r="AC240" s="4"/>
      <c r="AD240" s="5"/>
      <c r="AE240" s="6"/>
      <c r="AF240" s="6"/>
      <c r="AG240" s="6"/>
      <c r="AH240" s="6"/>
    </row>
    <row r="241" spans="1:34" ht="12.75" customHeight="1" x14ac:dyDescent="0.3">
      <c r="A241" s="2"/>
      <c r="B241" s="2"/>
      <c r="C241" s="3"/>
      <c r="D241" s="3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4"/>
      <c r="AA241" s="4"/>
      <c r="AB241" s="4"/>
      <c r="AC241" s="4"/>
      <c r="AD241" s="5"/>
      <c r="AE241" s="6"/>
      <c r="AF241" s="6"/>
      <c r="AG241" s="6"/>
      <c r="AH241" s="6"/>
    </row>
    <row r="242" spans="1:34" ht="12.75" customHeight="1" x14ac:dyDescent="0.3">
      <c r="A242" s="2"/>
      <c r="B242" s="2"/>
      <c r="C242" s="3"/>
      <c r="D242" s="3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4"/>
      <c r="AA242" s="4"/>
      <c r="AB242" s="4"/>
      <c r="AC242" s="4"/>
      <c r="AD242" s="5"/>
      <c r="AE242" s="6"/>
      <c r="AF242" s="6"/>
      <c r="AG242" s="6"/>
      <c r="AH242" s="6"/>
    </row>
    <row r="243" spans="1:34" ht="12.75" customHeight="1" x14ac:dyDescent="0.3">
      <c r="A243" s="2"/>
      <c r="B243" s="2"/>
      <c r="C243" s="3"/>
      <c r="D243" s="3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4"/>
      <c r="AA243" s="4"/>
      <c r="AB243" s="4"/>
      <c r="AC243" s="4"/>
      <c r="AD243" s="5"/>
      <c r="AE243" s="6"/>
      <c r="AF243" s="6"/>
      <c r="AG243" s="6"/>
      <c r="AH243" s="6"/>
    </row>
    <row r="244" spans="1:34" ht="12.75" customHeight="1" x14ac:dyDescent="0.3">
      <c r="A244" s="2"/>
      <c r="B244" s="2"/>
      <c r="C244" s="3"/>
      <c r="D244" s="3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4"/>
      <c r="AA244" s="4"/>
      <c r="AB244" s="4"/>
      <c r="AC244" s="4"/>
      <c r="AD244" s="5"/>
      <c r="AE244" s="6"/>
      <c r="AF244" s="6"/>
      <c r="AG244" s="6"/>
      <c r="AH244" s="6"/>
    </row>
    <row r="245" spans="1:34" ht="12.75" customHeight="1" x14ac:dyDescent="0.3">
      <c r="A245" s="2"/>
      <c r="B245" s="2"/>
      <c r="C245" s="3"/>
      <c r="D245" s="3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4"/>
      <c r="AA245" s="4"/>
      <c r="AB245" s="4"/>
      <c r="AC245" s="4"/>
      <c r="AD245" s="5"/>
      <c r="AE245" s="6"/>
      <c r="AF245" s="6"/>
      <c r="AG245" s="6"/>
      <c r="AH245" s="6"/>
    </row>
    <row r="246" spans="1:34" ht="12.75" customHeight="1" x14ac:dyDescent="0.3">
      <c r="A246" s="2"/>
      <c r="B246" s="2"/>
      <c r="C246" s="3"/>
      <c r="D246" s="3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4"/>
      <c r="AA246" s="4"/>
      <c r="AB246" s="4"/>
      <c r="AC246" s="4"/>
      <c r="AD246" s="5"/>
      <c r="AE246" s="6"/>
      <c r="AF246" s="6"/>
      <c r="AG246" s="6"/>
      <c r="AH246" s="6"/>
    </row>
    <row r="247" spans="1:34" ht="12.75" customHeight="1" x14ac:dyDescent="0.3">
      <c r="A247" s="2"/>
      <c r="B247" s="2"/>
      <c r="C247" s="3"/>
      <c r="D247" s="3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4"/>
      <c r="AA247" s="4"/>
      <c r="AB247" s="4"/>
      <c r="AC247" s="4"/>
      <c r="AD247" s="5"/>
      <c r="AE247" s="6"/>
      <c r="AF247" s="6"/>
      <c r="AG247" s="6"/>
      <c r="AH247" s="6"/>
    </row>
    <row r="248" spans="1:34" ht="12.75" customHeight="1" x14ac:dyDescent="0.3">
      <c r="A248" s="2"/>
      <c r="B248" s="2"/>
      <c r="C248" s="3"/>
      <c r="D248" s="3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4"/>
      <c r="AA248" s="4"/>
      <c r="AB248" s="4"/>
      <c r="AC248" s="4"/>
      <c r="AD248" s="5"/>
      <c r="AE248" s="6"/>
      <c r="AF248" s="6"/>
      <c r="AG248" s="6"/>
      <c r="AH248" s="6"/>
    </row>
    <row r="249" spans="1:34" ht="12.75" customHeight="1" x14ac:dyDescent="0.3">
      <c r="A249" s="2"/>
      <c r="B249" s="2"/>
      <c r="C249" s="3"/>
      <c r="D249" s="3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4"/>
      <c r="AA249" s="4"/>
      <c r="AB249" s="4"/>
      <c r="AC249" s="4"/>
      <c r="AD249" s="5"/>
      <c r="AE249" s="6"/>
      <c r="AF249" s="6"/>
      <c r="AG249" s="6"/>
      <c r="AH249" s="6"/>
    </row>
    <row r="250" spans="1:34" ht="12.75" customHeight="1" x14ac:dyDescent="0.3">
      <c r="A250" s="2"/>
      <c r="B250" s="2"/>
      <c r="C250" s="3"/>
      <c r="D250" s="3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4"/>
      <c r="AA250" s="4"/>
      <c r="AB250" s="4"/>
      <c r="AC250" s="4"/>
      <c r="AD250" s="5"/>
      <c r="AE250" s="6"/>
      <c r="AF250" s="6"/>
      <c r="AG250" s="6"/>
      <c r="AH250" s="6"/>
    </row>
    <row r="251" spans="1:34" ht="12.75" customHeight="1" x14ac:dyDescent="0.3">
      <c r="A251" s="2"/>
      <c r="B251" s="2"/>
      <c r="C251" s="3"/>
      <c r="D251" s="3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4"/>
      <c r="AA251" s="4"/>
      <c r="AB251" s="4"/>
      <c r="AC251" s="4"/>
      <c r="AD251" s="5"/>
      <c r="AE251" s="6"/>
      <c r="AF251" s="6"/>
      <c r="AG251" s="6"/>
      <c r="AH251" s="6"/>
    </row>
    <row r="252" spans="1:34" ht="12.75" customHeight="1" x14ac:dyDescent="0.3">
      <c r="A252" s="2"/>
      <c r="B252" s="2"/>
      <c r="C252" s="3"/>
      <c r="D252" s="3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4"/>
      <c r="AA252" s="4"/>
      <c r="AB252" s="4"/>
      <c r="AC252" s="4"/>
      <c r="AD252" s="5"/>
      <c r="AE252" s="6"/>
      <c r="AF252" s="6"/>
      <c r="AG252" s="6"/>
      <c r="AH252" s="6"/>
    </row>
    <row r="253" spans="1:34" ht="12.75" customHeight="1" x14ac:dyDescent="0.3">
      <c r="A253" s="2"/>
      <c r="B253" s="2"/>
      <c r="C253" s="3"/>
      <c r="D253" s="3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4"/>
      <c r="AA253" s="4"/>
      <c r="AB253" s="4"/>
      <c r="AC253" s="4"/>
      <c r="AD253" s="5"/>
      <c r="AE253" s="6"/>
      <c r="AF253" s="6"/>
      <c r="AG253" s="6"/>
      <c r="AH253" s="6"/>
    </row>
    <row r="254" spans="1:34" ht="12.75" customHeight="1" x14ac:dyDescent="0.3">
      <c r="A254" s="2"/>
      <c r="B254" s="2"/>
      <c r="C254" s="3"/>
      <c r="D254" s="3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4"/>
      <c r="AA254" s="4"/>
      <c r="AB254" s="4"/>
      <c r="AC254" s="4"/>
      <c r="AD254" s="5"/>
      <c r="AE254" s="6"/>
      <c r="AF254" s="6"/>
      <c r="AG254" s="6"/>
      <c r="AH254" s="6"/>
    </row>
    <row r="255" spans="1:34" ht="12.75" customHeight="1" x14ac:dyDescent="0.3">
      <c r="A255" s="2"/>
      <c r="B255" s="2"/>
      <c r="C255" s="3"/>
      <c r="D255" s="3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4"/>
      <c r="AA255" s="4"/>
      <c r="AB255" s="4"/>
      <c r="AC255" s="4"/>
      <c r="AD255" s="5"/>
      <c r="AE255" s="6"/>
      <c r="AF255" s="6"/>
      <c r="AG255" s="6"/>
      <c r="AH255" s="6"/>
    </row>
    <row r="256" spans="1:34" ht="12.75" customHeight="1" x14ac:dyDescent="0.3">
      <c r="A256" s="2"/>
      <c r="B256" s="2"/>
      <c r="C256" s="3"/>
      <c r="D256" s="3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4"/>
      <c r="AA256" s="4"/>
      <c r="AB256" s="4"/>
      <c r="AC256" s="4"/>
      <c r="AD256" s="5"/>
      <c r="AE256" s="6"/>
      <c r="AF256" s="6"/>
      <c r="AG256" s="6"/>
      <c r="AH256" s="6"/>
    </row>
    <row r="257" spans="1:34" ht="12.75" customHeight="1" x14ac:dyDescent="0.3">
      <c r="A257" s="2"/>
      <c r="B257" s="2"/>
      <c r="C257" s="3"/>
      <c r="D257" s="3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4"/>
      <c r="AA257" s="4"/>
      <c r="AB257" s="4"/>
      <c r="AC257" s="4"/>
      <c r="AD257" s="5"/>
      <c r="AE257" s="6"/>
      <c r="AF257" s="6"/>
      <c r="AG257" s="6"/>
      <c r="AH257" s="6"/>
    </row>
    <row r="258" spans="1:34" ht="12.75" customHeight="1" x14ac:dyDescent="0.3">
      <c r="A258" s="2"/>
      <c r="B258" s="2"/>
      <c r="C258" s="3"/>
      <c r="D258" s="3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4"/>
      <c r="AA258" s="4"/>
      <c r="AB258" s="4"/>
      <c r="AC258" s="4"/>
      <c r="AD258" s="5"/>
      <c r="AE258" s="6"/>
      <c r="AF258" s="6"/>
      <c r="AG258" s="6"/>
      <c r="AH258" s="6"/>
    </row>
    <row r="259" spans="1:34" ht="12.75" customHeight="1" x14ac:dyDescent="0.3">
      <c r="A259" s="2"/>
      <c r="B259" s="2"/>
      <c r="C259" s="3"/>
      <c r="D259" s="3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4"/>
      <c r="AA259" s="4"/>
      <c r="AB259" s="4"/>
      <c r="AC259" s="4"/>
      <c r="AD259" s="5"/>
      <c r="AE259" s="6"/>
      <c r="AF259" s="6"/>
      <c r="AG259" s="6"/>
      <c r="AH259" s="6"/>
    </row>
    <row r="260" spans="1:34" ht="12.75" customHeight="1" x14ac:dyDescent="0.3">
      <c r="A260" s="2"/>
      <c r="B260" s="2"/>
      <c r="C260" s="3"/>
      <c r="D260" s="3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4"/>
      <c r="AA260" s="4"/>
      <c r="AB260" s="4"/>
      <c r="AC260" s="4"/>
      <c r="AD260" s="5"/>
      <c r="AE260" s="6"/>
      <c r="AF260" s="6"/>
      <c r="AG260" s="6"/>
      <c r="AH260" s="6"/>
    </row>
    <row r="261" spans="1:34" ht="12.75" customHeight="1" x14ac:dyDescent="0.3">
      <c r="A261" s="2"/>
      <c r="B261" s="2"/>
      <c r="C261" s="3"/>
      <c r="D261" s="3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4"/>
      <c r="AA261" s="4"/>
      <c r="AB261" s="4"/>
      <c r="AC261" s="4"/>
      <c r="AD261" s="5"/>
      <c r="AE261" s="6"/>
      <c r="AF261" s="6"/>
      <c r="AG261" s="6"/>
      <c r="AH261" s="6"/>
    </row>
    <row r="262" spans="1:34" ht="12.75" customHeight="1" x14ac:dyDescent="0.3">
      <c r="A262" s="2"/>
      <c r="B262" s="2"/>
      <c r="C262" s="3"/>
      <c r="D262" s="3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4"/>
      <c r="AA262" s="4"/>
      <c r="AB262" s="4"/>
      <c r="AC262" s="4"/>
      <c r="AD262" s="5"/>
      <c r="AE262" s="6"/>
      <c r="AF262" s="6"/>
      <c r="AG262" s="6"/>
      <c r="AH262" s="6"/>
    </row>
    <row r="263" spans="1:34" ht="12.75" customHeight="1" x14ac:dyDescent="0.3">
      <c r="A263" s="2"/>
      <c r="B263" s="2"/>
      <c r="C263" s="3"/>
      <c r="D263" s="3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4"/>
      <c r="AA263" s="4"/>
      <c r="AB263" s="4"/>
      <c r="AC263" s="4"/>
      <c r="AD263" s="5"/>
      <c r="AE263" s="6"/>
      <c r="AF263" s="6"/>
      <c r="AG263" s="6"/>
      <c r="AH263" s="6"/>
    </row>
    <row r="264" spans="1:34" ht="12.75" customHeight="1" x14ac:dyDescent="0.3">
      <c r="A264" s="2"/>
      <c r="B264" s="2"/>
      <c r="C264" s="3"/>
      <c r="D264" s="3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4"/>
      <c r="AA264" s="4"/>
      <c r="AB264" s="4"/>
      <c r="AC264" s="4"/>
      <c r="AD264" s="5"/>
      <c r="AE264" s="6"/>
      <c r="AF264" s="6"/>
      <c r="AG264" s="6"/>
      <c r="AH264" s="6"/>
    </row>
    <row r="265" spans="1:34" ht="12.75" customHeight="1" x14ac:dyDescent="0.3">
      <c r="A265" s="2"/>
      <c r="B265" s="2"/>
      <c r="C265" s="3"/>
      <c r="D265" s="3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4"/>
      <c r="AA265" s="4"/>
      <c r="AB265" s="4"/>
      <c r="AC265" s="4"/>
      <c r="AD265" s="5"/>
      <c r="AE265" s="6"/>
      <c r="AF265" s="6"/>
      <c r="AG265" s="6"/>
      <c r="AH265" s="6"/>
    </row>
    <row r="266" spans="1:34" ht="12.75" customHeight="1" x14ac:dyDescent="0.3">
      <c r="A266" s="2"/>
      <c r="B266" s="2"/>
      <c r="C266" s="3"/>
      <c r="D266" s="3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4"/>
      <c r="AA266" s="4"/>
      <c r="AB266" s="4"/>
      <c r="AC266" s="4"/>
      <c r="AD266" s="5"/>
      <c r="AE266" s="6"/>
      <c r="AF266" s="6"/>
      <c r="AG266" s="6"/>
      <c r="AH266" s="6"/>
    </row>
    <row r="267" spans="1:34" ht="12.75" customHeight="1" x14ac:dyDescent="0.3">
      <c r="A267" s="2"/>
      <c r="B267" s="2"/>
      <c r="C267" s="3"/>
      <c r="D267" s="3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4"/>
      <c r="AA267" s="4"/>
      <c r="AB267" s="4"/>
      <c r="AC267" s="4"/>
      <c r="AD267" s="5"/>
      <c r="AE267" s="6"/>
      <c r="AF267" s="6"/>
      <c r="AG267" s="6"/>
      <c r="AH267" s="6"/>
    </row>
    <row r="268" spans="1:34" ht="12.75" customHeight="1" x14ac:dyDescent="0.3">
      <c r="A268" s="2"/>
      <c r="B268" s="2"/>
      <c r="C268" s="3"/>
      <c r="D268" s="3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4"/>
      <c r="AA268" s="4"/>
      <c r="AB268" s="4"/>
      <c r="AC268" s="4"/>
      <c r="AD268" s="5"/>
      <c r="AE268" s="6"/>
      <c r="AF268" s="6"/>
      <c r="AG268" s="6"/>
      <c r="AH268" s="6"/>
    </row>
    <row r="269" spans="1:34" ht="12.75" customHeight="1" x14ac:dyDescent="0.3">
      <c r="A269" s="2"/>
      <c r="B269" s="2"/>
      <c r="C269" s="3"/>
      <c r="D269" s="3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4"/>
      <c r="AA269" s="4"/>
      <c r="AB269" s="4"/>
      <c r="AC269" s="4"/>
      <c r="AD269" s="5"/>
      <c r="AE269" s="6"/>
      <c r="AF269" s="6"/>
      <c r="AG269" s="6"/>
      <c r="AH269" s="6"/>
    </row>
    <row r="270" spans="1:34" ht="12.75" customHeight="1" x14ac:dyDescent="0.3">
      <c r="A270" s="2"/>
      <c r="B270" s="2"/>
      <c r="C270" s="3"/>
      <c r="D270" s="3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4"/>
      <c r="AA270" s="4"/>
      <c r="AB270" s="4"/>
      <c r="AC270" s="4"/>
      <c r="AD270" s="5"/>
      <c r="AE270" s="6"/>
      <c r="AF270" s="6"/>
      <c r="AG270" s="6"/>
      <c r="AH270" s="6"/>
    </row>
    <row r="271" spans="1:34" ht="12.75" customHeight="1" x14ac:dyDescent="0.3">
      <c r="A271" s="2"/>
      <c r="B271" s="2"/>
      <c r="C271" s="3"/>
      <c r="D271" s="3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4"/>
      <c r="AA271" s="4"/>
      <c r="AB271" s="4"/>
      <c r="AC271" s="4"/>
      <c r="AD271" s="5"/>
      <c r="AE271" s="6"/>
      <c r="AF271" s="6"/>
      <c r="AG271" s="6"/>
      <c r="AH271" s="6"/>
    </row>
    <row r="272" spans="1:34" ht="12.75" customHeight="1" x14ac:dyDescent="0.3">
      <c r="A272" s="2"/>
      <c r="B272" s="2"/>
      <c r="C272" s="3"/>
      <c r="D272" s="3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4"/>
      <c r="AA272" s="4"/>
      <c r="AB272" s="4"/>
      <c r="AC272" s="4"/>
      <c r="AD272" s="5"/>
      <c r="AE272" s="6"/>
      <c r="AF272" s="6"/>
      <c r="AG272" s="6"/>
      <c r="AH272" s="6"/>
    </row>
    <row r="273" spans="1:34" ht="12.75" customHeight="1" x14ac:dyDescent="0.3">
      <c r="A273" s="2"/>
      <c r="B273" s="2"/>
      <c r="C273" s="3"/>
      <c r="D273" s="3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4"/>
      <c r="AA273" s="4"/>
      <c r="AB273" s="4"/>
      <c r="AC273" s="4"/>
      <c r="AD273" s="5"/>
      <c r="AE273" s="6"/>
      <c r="AF273" s="6"/>
      <c r="AG273" s="6"/>
      <c r="AH273" s="6"/>
    </row>
    <row r="274" spans="1:34" ht="12.75" customHeight="1" x14ac:dyDescent="0.3">
      <c r="A274" s="2"/>
      <c r="B274" s="2"/>
      <c r="C274" s="3"/>
      <c r="D274" s="3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4"/>
      <c r="AA274" s="4"/>
      <c r="AB274" s="4"/>
      <c r="AC274" s="4"/>
      <c r="AD274" s="5"/>
      <c r="AE274" s="6"/>
      <c r="AF274" s="6"/>
      <c r="AG274" s="6"/>
      <c r="AH274" s="6"/>
    </row>
    <row r="275" spans="1:34" ht="12.75" customHeight="1" x14ac:dyDescent="0.3">
      <c r="A275" s="2"/>
      <c r="B275" s="2"/>
      <c r="C275" s="3"/>
      <c r="D275" s="3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4"/>
      <c r="AA275" s="4"/>
      <c r="AB275" s="4"/>
      <c r="AC275" s="4"/>
      <c r="AD275" s="5"/>
      <c r="AE275" s="6"/>
      <c r="AF275" s="6"/>
      <c r="AG275" s="6"/>
      <c r="AH275" s="6"/>
    </row>
    <row r="276" spans="1:34" ht="12.75" customHeight="1" x14ac:dyDescent="0.3">
      <c r="A276" s="2"/>
      <c r="B276" s="2"/>
      <c r="C276" s="3"/>
      <c r="D276" s="3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4"/>
      <c r="AA276" s="4"/>
      <c r="AB276" s="4"/>
      <c r="AC276" s="4"/>
      <c r="AD276" s="5"/>
      <c r="AE276" s="6"/>
      <c r="AF276" s="6"/>
      <c r="AG276" s="6"/>
      <c r="AH276" s="6"/>
    </row>
    <row r="277" spans="1:34" ht="12.75" customHeight="1" x14ac:dyDescent="0.3">
      <c r="A277" s="2"/>
      <c r="B277" s="2"/>
      <c r="C277" s="3"/>
      <c r="D277" s="3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4"/>
      <c r="AA277" s="4"/>
      <c r="AB277" s="4"/>
      <c r="AC277" s="4"/>
      <c r="AD277" s="5"/>
      <c r="AE277" s="6"/>
      <c r="AF277" s="6"/>
      <c r="AG277" s="6"/>
      <c r="AH277" s="6"/>
    </row>
    <row r="278" spans="1:34" ht="12.75" customHeight="1" x14ac:dyDescent="0.3">
      <c r="A278" s="2"/>
      <c r="B278" s="2"/>
      <c r="C278" s="3"/>
      <c r="D278" s="3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4"/>
      <c r="AA278" s="4"/>
      <c r="AB278" s="4"/>
      <c r="AC278" s="4"/>
      <c r="AD278" s="5"/>
      <c r="AE278" s="6"/>
      <c r="AF278" s="6"/>
      <c r="AG278" s="6"/>
      <c r="AH278" s="6"/>
    </row>
    <row r="279" spans="1:34" ht="12.75" customHeight="1" x14ac:dyDescent="0.3">
      <c r="A279" s="2"/>
      <c r="B279" s="2"/>
      <c r="C279" s="3"/>
      <c r="D279" s="3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4"/>
      <c r="AA279" s="4"/>
      <c r="AB279" s="4"/>
      <c r="AC279" s="4"/>
      <c r="AD279" s="5"/>
      <c r="AE279" s="6"/>
      <c r="AF279" s="6"/>
      <c r="AG279" s="6"/>
      <c r="AH279" s="6"/>
    </row>
    <row r="280" spans="1:34" ht="12.75" customHeight="1" x14ac:dyDescent="0.3">
      <c r="A280" s="2"/>
      <c r="B280" s="2"/>
      <c r="C280" s="3"/>
      <c r="D280" s="3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4"/>
      <c r="AA280" s="4"/>
      <c r="AB280" s="4"/>
      <c r="AC280" s="4"/>
      <c r="AD280" s="5"/>
      <c r="AE280" s="6"/>
      <c r="AF280" s="6"/>
      <c r="AG280" s="6"/>
      <c r="AH280" s="6"/>
    </row>
    <row r="281" spans="1:34" ht="12.75" customHeight="1" x14ac:dyDescent="0.3">
      <c r="A281" s="2"/>
      <c r="B281" s="2"/>
      <c r="C281" s="3"/>
      <c r="D281" s="3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4"/>
      <c r="AA281" s="4"/>
      <c r="AB281" s="4"/>
      <c r="AC281" s="4"/>
      <c r="AD281" s="5"/>
      <c r="AE281" s="6"/>
      <c r="AF281" s="6"/>
      <c r="AG281" s="6"/>
      <c r="AH281" s="6"/>
    </row>
    <row r="282" spans="1:34" ht="12.75" customHeight="1" x14ac:dyDescent="0.3">
      <c r="A282" s="2"/>
      <c r="B282" s="2"/>
      <c r="C282" s="3"/>
      <c r="D282" s="3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4"/>
      <c r="AA282" s="4"/>
      <c r="AB282" s="4"/>
      <c r="AC282" s="4"/>
      <c r="AD282" s="5"/>
      <c r="AE282" s="6"/>
      <c r="AF282" s="6"/>
      <c r="AG282" s="6"/>
      <c r="AH282" s="6"/>
    </row>
    <row r="283" spans="1:34" ht="12.75" customHeight="1" x14ac:dyDescent="0.3">
      <c r="A283" s="2"/>
      <c r="B283" s="2"/>
      <c r="C283" s="3"/>
      <c r="D283" s="3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4"/>
      <c r="AA283" s="4"/>
      <c r="AB283" s="4"/>
      <c r="AC283" s="4"/>
      <c r="AD283" s="5"/>
      <c r="AE283" s="6"/>
      <c r="AF283" s="6"/>
      <c r="AG283" s="6"/>
      <c r="AH283" s="6"/>
    </row>
    <row r="284" spans="1:34" ht="12.75" customHeight="1" x14ac:dyDescent="0.3">
      <c r="A284" s="2"/>
      <c r="B284" s="2"/>
      <c r="C284" s="3"/>
      <c r="D284" s="3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4"/>
      <c r="AA284" s="4"/>
      <c r="AB284" s="4"/>
      <c r="AC284" s="4"/>
      <c r="AD284" s="5"/>
      <c r="AE284" s="6"/>
      <c r="AF284" s="6"/>
      <c r="AG284" s="6"/>
      <c r="AH284" s="6"/>
    </row>
    <row r="285" spans="1:34" ht="12.75" customHeight="1" x14ac:dyDescent="0.3">
      <c r="A285" s="2"/>
      <c r="B285" s="2"/>
      <c r="C285" s="3"/>
      <c r="D285" s="3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4"/>
      <c r="AA285" s="4"/>
      <c r="AB285" s="4"/>
      <c r="AC285" s="4"/>
      <c r="AD285" s="5"/>
      <c r="AE285" s="6"/>
      <c r="AF285" s="6"/>
      <c r="AG285" s="6"/>
      <c r="AH285" s="6"/>
    </row>
    <row r="286" spans="1:34" ht="12.75" customHeight="1" x14ac:dyDescent="0.3">
      <c r="A286" s="2"/>
      <c r="B286" s="2"/>
      <c r="C286" s="3"/>
      <c r="D286" s="3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4"/>
      <c r="AA286" s="4"/>
      <c r="AB286" s="4"/>
      <c r="AC286" s="4"/>
      <c r="AD286" s="5"/>
      <c r="AE286" s="6"/>
      <c r="AF286" s="6"/>
      <c r="AG286" s="6"/>
      <c r="AH286" s="6"/>
    </row>
    <row r="287" spans="1:34" ht="12.75" customHeight="1" x14ac:dyDescent="0.3">
      <c r="A287" s="2"/>
      <c r="B287" s="2"/>
      <c r="C287" s="3"/>
      <c r="D287" s="3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4"/>
      <c r="AA287" s="4"/>
      <c r="AB287" s="4"/>
      <c r="AC287" s="4"/>
      <c r="AD287" s="5"/>
      <c r="AE287" s="6"/>
      <c r="AF287" s="6"/>
      <c r="AG287" s="6"/>
      <c r="AH287" s="6"/>
    </row>
    <row r="288" spans="1:34" ht="12.75" customHeight="1" x14ac:dyDescent="0.3">
      <c r="A288" s="2"/>
      <c r="B288" s="2"/>
      <c r="C288" s="3"/>
      <c r="D288" s="3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4"/>
      <c r="AA288" s="4"/>
      <c r="AB288" s="4"/>
      <c r="AC288" s="4"/>
      <c r="AD288" s="5"/>
      <c r="AE288" s="6"/>
      <c r="AF288" s="6"/>
      <c r="AG288" s="6"/>
      <c r="AH288" s="6"/>
    </row>
    <row r="289" spans="1:34" ht="12.75" customHeight="1" x14ac:dyDescent="0.3">
      <c r="A289" s="2"/>
      <c r="B289" s="2"/>
      <c r="C289" s="3"/>
      <c r="D289" s="3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4"/>
      <c r="AA289" s="4"/>
      <c r="AB289" s="4"/>
      <c r="AC289" s="4"/>
      <c r="AD289" s="5"/>
      <c r="AE289" s="6"/>
      <c r="AF289" s="6"/>
      <c r="AG289" s="6"/>
      <c r="AH289" s="6"/>
    </row>
    <row r="290" spans="1:34" ht="12.75" customHeight="1" x14ac:dyDescent="0.3">
      <c r="A290" s="2"/>
      <c r="B290" s="2"/>
      <c r="C290" s="3"/>
      <c r="D290" s="3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4"/>
      <c r="AA290" s="4"/>
      <c r="AB290" s="4"/>
      <c r="AC290" s="4"/>
      <c r="AD290" s="5"/>
      <c r="AE290" s="6"/>
      <c r="AF290" s="6"/>
      <c r="AG290" s="6"/>
      <c r="AH290" s="6"/>
    </row>
    <row r="291" spans="1:34" ht="12.75" customHeight="1" x14ac:dyDescent="0.3">
      <c r="A291" s="2"/>
      <c r="B291" s="2"/>
      <c r="C291" s="3"/>
      <c r="D291" s="3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4"/>
      <c r="AA291" s="4"/>
      <c r="AB291" s="4"/>
      <c r="AC291" s="4"/>
      <c r="AD291" s="5"/>
      <c r="AE291" s="6"/>
      <c r="AF291" s="6"/>
      <c r="AG291" s="6"/>
      <c r="AH291" s="6"/>
    </row>
    <row r="292" spans="1:34" ht="12.75" customHeight="1" x14ac:dyDescent="0.3">
      <c r="A292" s="2"/>
      <c r="B292" s="2"/>
      <c r="C292" s="3"/>
      <c r="D292" s="3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4"/>
      <c r="AA292" s="4"/>
      <c r="AB292" s="4"/>
      <c r="AC292" s="4"/>
      <c r="AD292" s="5"/>
      <c r="AE292" s="6"/>
      <c r="AF292" s="6"/>
      <c r="AG292" s="6"/>
      <c r="AH292" s="6"/>
    </row>
    <row r="293" spans="1:34" ht="12.75" customHeight="1" x14ac:dyDescent="0.3">
      <c r="A293" s="2"/>
      <c r="B293" s="2"/>
      <c r="C293" s="3"/>
      <c r="D293" s="3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4"/>
      <c r="AA293" s="4"/>
      <c r="AB293" s="4"/>
      <c r="AC293" s="4"/>
      <c r="AD293" s="5"/>
      <c r="AE293" s="6"/>
      <c r="AF293" s="6"/>
      <c r="AG293" s="6"/>
      <c r="AH293" s="6"/>
    </row>
    <row r="294" spans="1:34" ht="12.75" customHeight="1" x14ac:dyDescent="0.3">
      <c r="A294" s="2"/>
      <c r="B294" s="2"/>
      <c r="C294" s="3"/>
      <c r="D294" s="3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4"/>
      <c r="AA294" s="4"/>
      <c r="AB294" s="4"/>
      <c r="AC294" s="4"/>
      <c r="AD294" s="5"/>
      <c r="AE294" s="6"/>
      <c r="AF294" s="6"/>
      <c r="AG294" s="6"/>
      <c r="AH294" s="6"/>
    </row>
    <row r="295" spans="1:34" ht="12.75" customHeight="1" x14ac:dyDescent="0.3">
      <c r="A295" s="2"/>
      <c r="B295" s="2"/>
      <c r="C295" s="3"/>
      <c r="D295" s="3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4"/>
      <c r="AA295" s="4"/>
      <c r="AB295" s="4"/>
      <c r="AC295" s="4"/>
      <c r="AD295" s="5"/>
      <c r="AE295" s="6"/>
      <c r="AF295" s="6"/>
      <c r="AG295" s="6"/>
      <c r="AH295" s="6"/>
    </row>
    <row r="296" spans="1:34" ht="12.75" customHeight="1" x14ac:dyDescent="0.3">
      <c r="A296" s="2"/>
      <c r="B296" s="2"/>
      <c r="C296" s="3"/>
      <c r="D296" s="3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4"/>
      <c r="AA296" s="4"/>
      <c r="AB296" s="4"/>
      <c r="AC296" s="4"/>
      <c r="AD296" s="5"/>
      <c r="AE296" s="6"/>
      <c r="AF296" s="6"/>
      <c r="AG296" s="6"/>
      <c r="AH296" s="6"/>
    </row>
    <row r="297" spans="1:34" ht="12.75" customHeight="1" x14ac:dyDescent="0.3">
      <c r="A297" s="2"/>
      <c r="B297" s="2"/>
      <c r="C297" s="3"/>
      <c r="D297" s="3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4"/>
      <c r="AA297" s="4"/>
      <c r="AB297" s="4"/>
      <c r="AC297" s="4"/>
      <c r="AD297" s="5"/>
      <c r="AE297" s="6"/>
      <c r="AF297" s="6"/>
      <c r="AG297" s="6"/>
      <c r="AH297" s="6"/>
    </row>
    <row r="298" spans="1:34" ht="12.75" customHeight="1" x14ac:dyDescent="0.3">
      <c r="A298" s="2"/>
      <c r="B298" s="2"/>
      <c r="C298" s="3"/>
      <c r="D298" s="3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4"/>
      <c r="AA298" s="4"/>
      <c r="AB298" s="4"/>
      <c r="AC298" s="4"/>
      <c r="AD298" s="5"/>
      <c r="AE298" s="6"/>
      <c r="AF298" s="6"/>
      <c r="AG298" s="6"/>
      <c r="AH298" s="6"/>
    </row>
    <row r="299" spans="1:34" ht="12.75" customHeight="1" x14ac:dyDescent="0.3">
      <c r="A299" s="2"/>
      <c r="B299" s="2"/>
      <c r="C299" s="3"/>
      <c r="D299" s="3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4"/>
      <c r="AA299" s="4"/>
      <c r="AB299" s="4"/>
      <c r="AC299" s="4"/>
      <c r="AD299" s="5"/>
      <c r="AE299" s="6"/>
      <c r="AF299" s="6"/>
      <c r="AG299" s="6"/>
      <c r="AH299" s="6"/>
    </row>
    <row r="300" spans="1:34" ht="12.75" customHeight="1" x14ac:dyDescent="0.3">
      <c r="A300" s="2"/>
      <c r="B300" s="2"/>
      <c r="C300" s="3"/>
      <c r="D300" s="3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4"/>
      <c r="AA300" s="4"/>
      <c r="AB300" s="4"/>
      <c r="AC300" s="4"/>
      <c r="AD300" s="5"/>
      <c r="AE300" s="6"/>
      <c r="AF300" s="6"/>
      <c r="AG300" s="6"/>
      <c r="AH300" s="6"/>
    </row>
    <row r="301" spans="1:34" ht="12.75" customHeight="1" x14ac:dyDescent="0.3">
      <c r="A301" s="2"/>
      <c r="B301" s="2"/>
      <c r="C301" s="3"/>
      <c r="D301" s="3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4"/>
      <c r="AA301" s="4"/>
      <c r="AB301" s="4"/>
      <c r="AC301" s="4"/>
      <c r="AD301" s="5"/>
      <c r="AE301" s="6"/>
      <c r="AF301" s="6"/>
      <c r="AG301" s="6"/>
      <c r="AH301" s="6"/>
    </row>
    <row r="302" spans="1:34" ht="12.75" customHeight="1" x14ac:dyDescent="0.3">
      <c r="A302" s="2"/>
      <c r="B302" s="2"/>
      <c r="C302" s="3"/>
      <c r="D302" s="3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4"/>
      <c r="AA302" s="4"/>
      <c r="AB302" s="4"/>
      <c r="AC302" s="4"/>
      <c r="AD302" s="5"/>
      <c r="AE302" s="6"/>
      <c r="AF302" s="6"/>
      <c r="AG302" s="6"/>
      <c r="AH302" s="6"/>
    </row>
    <row r="303" spans="1:34" ht="12.75" customHeight="1" x14ac:dyDescent="0.3">
      <c r="A303" s="2"/>
      <c r="B303" s="2"/>
      <c r="C303" s="3"/>
      <c r="D303" s="3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4"/>
      <c r="AA303" s="4"/>
      <c r="AB303" s="4"/>
      <c r="AC303" s="4"/>
      <c r="AD303" s="5"/>
      <c r="AE303" s="6"/>
      <c r="AF303" s="6"/>
      <c r="AG303" s="6"/>
      <c r="AH303" s="6"/>
    </row>
    <row r="304" spans="1:34" ht="12.75" customHeight="1" x14ac:dyDescent="0.3">
      <c r="A304" s="2"/>
      <c r="B304" s="2"/>
      <c r="C304" s="3"/>
      <c r="D304" s="3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4"/>
      <c r="AA304" s="4"/>
      <c r="AB304" s="4"/>
      <c r="AC304" s="4"/>
      <c r="AD304" s="5"/>
      <c r="AE304" s="6"/>
      <c r="AF304" s="6"/>
      <c r="AG304" s="6"/>
      <c r="AH304" s="6"/>
    </row>
    <row r="305" spans="1:34" ht="12.75" customHeight="1" x14ac:dyDescent="0.3">
      <c r="A305" s="2"/>
      <c r="B305" s="2"/>
      <c r="C305" s="3"/>
      <c r="D305" s="3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4"/>
      <c r="AA305" s="4"/>
      <c r="AB305" s="4"/>
      <c r="AC305" s="4"/>
      <c r="AD305" s="5"/>
      <c r="AE305" s="6"/>
      <c r="AF305" s="6"/>
      <c r="AG305" s="6"/>
      <c r="AH305" s="6"/>
    </row>
    <row r="306" spans="1:34" ht="12.75" customHeight="1" x14ac:dyDescent="0.3">
      <c r="A306" s="2"/>
      <c r="B306" s="2"/>
      <c r="C306" s="3"/>
      <c r="D306" s="3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4"/>
      <c r="AA306" s="4"/>
      <c r="AB306" s="4"/>
      <c r="AC306" s="4"/>
      <c r="AD306" s="5"/>
      <c r="AE306" s="6"/>
      <c r="AF306" s="6"/>
      <c r="AG306" s="6"/>
      <c r="AH306" s="6"/>
    </row>
    <row r="307" spans="1:34" ht="12.75" customHeight="1" x14ac:dyDescent="0.3">
      <c r="A307" s="2"/>
      <c r="B307" s="2"/>
      <c r="C307" s="3"/>
      <c r="D307" s="3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4"/>
      <c r="AA307" s="4"/>
      <c r="AB307" s="4"/>
      <c r="AC307" s="4"/>
      <c r="AD307" s="5"/>
      <c r="AE307" s="6"/>
      <c r="AF307" s="6"/>
      <c r="AG307" s="6"/>
      <c r="AH307" s="6"/>
    </row>
    <row r="308" spans="1:34" ht="12.75" customHeight="1" x14ac:dyDescent="0.3">
      <c r="A308" s="2"/>
      <c r="B308" s="2"/>
      <c r="C308" s="3"/>
      <c r="D308" s="3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4"/>
      <c r="AA308" s="4"/>
      <c r="AB308" s="4"/>
      <c r="AC308" s="4"/>
      <c r="AD308" s="5"/>
      <c r="AE308" s="6"/>
      <c r="AF308" s="6"/>
      <c r="AG308" s="6"/>
      <c r="AH308" s="6"/>
    </row>
    <row r="309" spans="1:34" ht="12.75" customHeight="1" x14ac:dyDescent="0.3">
      <c r="A309" s="2"/>
      <c r="B309" s="2"/>
      <c r="C309" s="3"/>
      <c r="D309" s="3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4"/>
      <c r="AA309" s="4"/>
      <c r="AB309" s="4"/>
      <c r="AC309" s="4"/>
      <c r="AD309" s="5"/>
      <c r="AE309" s="6"/>
      <c r="AF309" s="6"/>
      <c r="AG309" s="6"/>
      <c r="AH309" s="6"/>
    </row>
    <row r="310" spans="1:34" ht="12.75" customHeight="1" x14ac:dyDescent="0.3">
      <c r="A310" s="2"/>
      <c r="B310" s="2"/>
      <c r="C310" s="3"/>
      <c r="D310" s="3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4"/>
      <c r="AA310" s="4"/>
      <c r="AB310" s="4"/>
      <c r="AC310" s="4"/>
      <c r="AD310" s="5"/>
      <c r="AE310" s="6"/>
      <c r="AF310" s="6"/>
      <c r="AG310" s="6"/>
      <c r="AH310" s="6"/>
    </row>
    <row r="311" spans="1:34" ht="12.75" customHeight="1" x14ac:dyDescent="0.3">
      <c r="A311" s="2"/>
      <c r="B311" s="2"/>
      <c r="C311" s="3"/>
      <c r="D311" s="3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4"/>
      <c r="AA311" s="4"/>
      <c r="AB311" s="4"/>
      <c r="AC311" s="4"/>
      <c r="AD311" s="5"/>
      <c r="AE311" s="6"/>
      <c r="AF311" s="6"/>
      <c r="AG311" s="6"/>
      <c r="AH311" s="6"/>
    </row>
    <row r="312" spans="1:34" ht="12.75" customHeight="1" x14ac:dyDescent="0.3">
      <c r="A312" s="2"/>
      <c r="B312" s="2"/>
      <c r="C312" s="3"/>
      <c r="D312" s="3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4"/>
      <c r="AA312" s="4"/>
      <c r="AB312" s="4"/>
      <c r="AC312" s="4"/>
      <c r="AD312" s="5"/>
      <c r="AE312" s="6"/>
      <c r="AF312" s="6"/>
      <c r="AG312" s="6"/>
      <c r="AH312" s="6"/>
    </row>
    <row r="313" spans="1:34" ht="12.75" customHeight="1" x14ac:dyDescent="0.3">
      <c r="A313" s="2"/>
      <c r="B313" s="2"/>
      <c r="C313" s="3"/>
      <c r="D313" s="3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4"/>
      <c r="AA313" s="4"/>
      <c r="AB313" s="4"/>
      <c r="AC313" s="4"/>
      <c r="AD313" s="5"/>
      <c r="AE313" s="6"/>
      <c r="AF313" s="6"/>
      <c r="AG313" s="6"/>
      <c r="AH313" s="6"/>
    </row>
    <row r="314" spans="1:34" ht="12.75" customHeight="1" x14ac:dyDescent="0.3">
      <c r="A314" s="2"/>
      <c r="B314" s="2"/>
      <c r="C314" s="3"/>
      <c r="D314" s="3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4"/>
      <c r="AA314" s="4"/>
      <c r="AB314" s="4"/>
      <c r="AC314" s="4"/>
      <c r="AD314" s="5"/>
      <c r="AE314" s="6"/>
      <c r="AF314" s="6"/>
      <c r="AG314" s="6"/>
      <c r="AH314" s="6"/>
    </row>
    <row r="315" spans="1:34" ht="12.75" customHeight="1" x14ac:dyDescent="0.3">
      <c r="A315" s="2"/>
      <c r="B315" s="2"/>
      <c r="C315" s="3"/>
      <c r="D315" s="3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4"/>
      <c r="AA315" s="4"/>
      <c r="AB315" s="4"/>
      <c r="AC315" s="4"/>
      <c r="AD315" s="5"/>
      <c r="AE315" s="6"/>
      <c r="AF315" s="6"/>
      <c r="AG315" s="6"/>
      <c r="AH315" s="6"/>
    </row>
    <row r="316" spans="1:34" ht="12.75" customHeight="1" x14ac:dyDescent="0.3">
      <c r="A316" s="2"/>
      <c r="B316" s="2"/>
      <c r="C316" s="3"/>
      <c r="D316" s="3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4"/>
      <c r="AA316" s="4"/>
      <c r="AB316" s="4"/>
      <c r="AC316" s="4"/>
      <c r="AD316" s="5"/>
      <c r="AE316" s="6"/>
      <c r="AF316" s="6"/>
      <c r="AG316" s="6"/>
      <c r="AH316" s="6"/>
    </row>
    <row r="317" spans="1:34" ht="12.75" customHeight="1" x14ac:dyDescent="0.3">
      <c r="A317" s="2"/>
      <c r="B317" s="2"/>
      <c r="C317" s="3"/>
      <c r="D317" s="3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4"/>
      <c r="AA317" s="4"/>
      <c r="AB317" s="4"/>
      <c r="AC317" s="4"/>
      <c r="AD317" s="5"/>
      <c r="AE317" s="6"/>
      <c r="AF317" s="6"/>
      <c r="AG317" s="6"/>
      <c r="AH317" s="6"/>
    </row>
    <row r="318" spans="1:34" ht="12.75" customHeight="1" x14ac:dyDescent="0.3">
      <c r="A318" s="2"/>
      <c r="B318" s="2"/>
      <c r="C318" s="3"/>
      <c r="D318" s="3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4"/>
      <c r="AA318" s="4"/>
      <c r="AB318" s="4"/>
      <c r="AC318" s="4"/>
      <c r="AD318" s="5"/>
      <c r="AE318" s="6"/>
      <c r="AF318" s="6"/>
      <c r="AG318" s="6"/>
      <c r="AH318" s="6"/>
    </row>
    <row r="319" spans="1:34" ht="12.75" customHeight="1" x14ac:dyDescent="0.3">
      <c r="A319" s="2"/>
      <c r="B319" s="2"/>
      <c r="C319" s="3"/>
      <c r="D319" s="3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4"/>
      <c r="AA319" s="4"/>
      <c r="AB319" s="4"/>
      <c r="AC319" s="4"/>
      <c r="AD319" s="5"/>
      <c r="AE319" s="6"/>
      <c r="AF319" s="6"/>
      <c r="AG319" s="6"/>
      <c r="AH319" s="6"/>
    </row>
    <row r="320" spans="1:34" ht="12.75" customHeight="1" x14ac:dyDescent="0.3">
      <c r="A320" s="2"/>
      <c r="B320" s="2"/>
      <c r="C320" s="3"/>
      <c r="D320" s="3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4"/>
      <c r="AA320" s="4"/>
      <c r="AB320" s="4"/>
      <c r="AC320" s="4"/>
      <c r="AD320" s="5"/>
      <c r="AE320" s="6"/>
      <c r="AF320" s="6"/>
      <c r="AG320" s="6"/>
      <c r="AH320" s="6"/>
    </row>
    <row r="321" spans="1:34" ht="12.75" customHeight="1" x14ac:dyDescent="0.3">
      <c r="A321" s="2"/>
      <c r="B321" s="2"/>
      <c r="C321" s="3"/>
      <c r="D321" s="3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4"/>
      <c r="AA321" s="4"/>
      <c r="AB321" s="4"/>
      <c r="AC321" s="4"/>
      <c r="AD321" s="5"/>
      <c r="AE321" s="6"/>
      <c r="AF321" s="6"/>
      <c r="AG321" s="6"/>
      <c r="AH321" s="6"/>
    </row>
    <row r="322" spans="1:34" ht="12.75" customHeight="1" x14ac:dyDescent="0.3">
      <c r="A322" s="2"/>
      <c r="B322" s="2"/>
      <c r="C322" s="3"/>
      <c r="D322" s="3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4"/>
      <c r="AA322" s="4"/>
      <c r="AB322" s="4"/>
      <c r="AC322" s="4"/>
      <c r="AD322" s="5"/>
      <c r="AE322" s="6"/>
      <c r="AF322" s="6"/>
      <c r="AG322" s="6"/>
      <c r="AH322" s="6"/>
    </row>
    <row r="323" spans="1:34" ht="12.75" customHeight="1" x14ac:dyDescent="0.3">
      <c r="A323" s="2"/>
      <c r="B323" s="2"/>
      <c r="C323" s="3"/>
      <c r="D323" s="3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4"/>
      <c r="AA323" s="4"/>
      <c r="AB323" s="4"/>
      <c r="AC323" s="4"/>
      <c r="AD323" s="5"/>
      <c r="AE323" s="6"/>
      <c r="AF323" s="6"/>
      <c r="AG323" s="6"/>
      <c r="AH323" s="6"/>
    </row>
    <row r="324" spans="1:34" ht="12.75" customHeight="1" x14ac:dyDescent="0.3">
      <c r="A324" s="2"/>
      <c r="B324" s="2"/>
      <c r="C324" s="3"/>
      <c r="D324" s="3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4"/>
      <c r="AA324" s="4"/>
      <c r="AB324" s="4"/>
      <c r="AC324" s="4"/>
      <c r="AD324" s="5"/>
      <c r="AE324" s="6"/>
      <c r="AF324" s="6"/>
      <c r="AG324" s="6"/>
      <c r="AH324" s="6"/>
    </row>
    <row r="325" spans="1:34" ht="12.75" customHeight="1" x14ac:dyDescent="0.3">
      <c r="A325" s="2"/>
      <c r="B325" s="2"/>
      <c r="C325" s="3"/>
      <c r="D325" s="3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4"/>
      <c r="AA325" s="4"/>
      <c r="AB325" s="4"/>
      <c r="AC325" s="4"/>
      <c r="AD325" s="5"/>
      <c r="AE325" s="6"/>
      <c r="AF325" s="6"/>
      <c r="AG325" s="6"/>
      <c r="AH325" s="6"/>
    </row>
    <row r="326" spans="1:34" ht="12.75" customHeight="1" x14ac:dyDescent="0.3">
      <c r="A326" s="2"/>
      <c r="B326" s="2"/>
      <c r="C326" s="3"/>
      <c r="D326" s="3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4"/>
      <c r="AA326" s="4"/>
      <c r="AB326" s="4"/>
      <c r="AC326" s="4"/>
      <c r="AD326" s="5"/>
      <c r="AE326" s="6"/>
      <c r="AF326" s="6"/>
      <c r="AG326" s="6"/>
      <c r="AH326" s="6"/>
    </row>
    <row r="327" spans="1:34" ht="12.75" customHeight="1" x14ac:dyDescent="0.3">
      <c r="A327" s="2"/>
      <c r="B327" s="2"/>
      <c r="C327" s="3"/>
      <c r="D327" s="3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4"/>
      <c r="AA327" s="4"/>
      <c r="AB327" s="4"/>
      <c r="AC327" s="4"/>
      <c r="AD327" s="5"/>
      <c r="AE327" s="6"/>
      <c r="AF327" s="6"/>
      <c r="AG327" s="6"/>
      <c r="AH327" s="6"/>
    </row>
    <row r="328" spans="1:34" ht="12.75" customHeight="1" x14ac:dyDescent="0.3">
      <c r="A328" s="2"/>
      <c r="B328" s="2"/>
      <c r="C328" s="3"/>
      <c r="D328" s="3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4"/>
      <c r="AA328" s="4"/>
      <c r="AB328" s="4"/>
      <c r="AC328" s="4"/>
      <c r="AD328" s="5"/>
      <c r="AE328" s="6"/>
      <c r="AF328" s="6"/>
      <c r="AG328" s="6"/>
      <c r="AH328" s="6"/>
    </row>
    <row r="329" spans="1:34" ht="12.75" customHeight="1" x14ac:dyDescent="0.3">
      <c r="A329" s="2"/>
      <c r="B329" s="2"/>
      <c r="C329" s="3"/>
      <c r="D329" s="3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4"/>
      <c r="AA329" s="4"/>
      <c r="AB329" s="4"/>
      <c r="AC329" s="4"/>
      <c r="AD329" s="5"/>
      <c r="AE329" s="6"/>
      <c r="AF329" s="6"/>
      <c r="AG329" s="6"/>
      <c r="AH329" s="6"/>
    </row>
    <row r="330" spans="1:34" ht="12.75" customHeight="1" x14ac:dyDescent="0.3">
      <c r="A330" s="2"/>
      <c r="B330" s="2"/>
      <c r="C330" s="3"/>
      <c r="D330" s="3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4"/>
      <c r="AA330" s="4"/>
      <c r="AB330" s="4"/>
      <c r="AC330" s="4"/>
      <c r="AD330" s="5"/>
      <c r="AE330" s="6"/>
      <c r="AF330" s="6"/>
      <c r="AG330" s="6"/>
      <c r="AH330" s="6"/>
    </row>
    <row r="331" spans="1:34" ht="12.75" customHeight="1" x14ac:dyDescent="0.3">
      <c r="A331" s="2"/>
      <c r="B331" s="2"/>
      <c r="C331" s="3"/>
      <c r="D331" s="3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4"/>
      <c r="AA331" s="4"/>
      <c r="AB331" s="4"/>
      <c r="AC331" s="4"/>
      <c r="AD331" s="5"/>
      <c r="AE331" s="6"/>
      <c r="AF331" s="6"/>
      <c r="AG331" s="6"/>
      <c r="AH331" s="6"/>
    </row>
    <row r="332" spans="1:34" ht="12.75" customHeight="1" x14ac:dyDescent="0.3">
      <c r="A332" s="2"/>
      <c r="B332" s="2"/>
      <c r="C332" s="3"/>
      <c r="D332" s="3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4"/>
      <c r="AA332" s="4"/>
      <c r="AB332" s="4"/>
      <c r="AC332" s="4"/>
      <c r="AD332" s="5"/>
      <c r="AE332" s="6"/>
      <c r="AF332" s="6"/>
      <c r="AG332" s="6"/>
      <c r="AH332" s="6"/>
    </row>
    <row r="333" spans="1:34" ht="12.75" customHeight="1" x14ac:dyDescent="0.3">
      <c r="A333" s="2"/>
      <c r="B333" s="2"/>
      <c r="C333" s="3"/>
      <c r="D333" s="3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4"/>
      <c r="AA333" s="4"/>
      <c r="AB333" s="4"/>
      <c r="AC333" s="4"/>
      <c r="AD333" s="5"/>
      <c r="AE333" s="6"/>
      <c r="AF333" s="6"/>
      <c r="AG333" s="6"/>
      <c r="AH333" s="6"/>
    </row>
    <row r="334" spans="1:34" ht="12.75" customHeight="1" x14ac:dyDescent="0.3">
      <c r="A334" s="2"/>
      <c r="B334" s="2"/>
      <c r="C334" s="3"/>
      <c r="D334" s="3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4"/>
      <c r="AA334" s="4"/>
      <c r="AB334" s="4"/>
      <c r="AC334" s="4"/>
      <c r="AD334" s="5"/>
      <c r="AE334" s="6"/>
      <c r="AF334" s="6"/>
      <c r="AG334" s="6"/>
      <c r="AH334" s="6"/>
    </row>
    <row r="335" spans="1:34" ht="12.75" customHeight="1" x14ac:dyDescent="0.3">
      <c r="A335" s="2"/>
      <c r="B335" s="2"/>
      <c r="C335" s="3"/>
      <c r="D335" s="3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4"/>
      <c r="AA335" s="4"/>
      <c r="AB335" s="4"/>
      <c r="AC335" s="4"/>
      <c r="AD335" s="5"/>
      <c r="AE335" s="6"/>
      <c r="AF335" s="6"/>
      <c r="AG335" s="6"/>
      <c r="AH335" s="6"/>
    </row>
    <row r="336" spans="1:34" ht="12.75" customHeight="1" x14ac:dyDescent="0.3">
      <c r="A336" s="2"/>
      <c r="B336" s="2"/>
      <c r="C336" s="3"/>
      <c r="D336" s="3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4"/>
      <c r="AA336" s="4"/>
      <c r="AB336" s="4"/>
      <c r="AC336" s="4"/>
      <c r="AD336" s="5"/>
      <c r="AE336" s="6"/>
      <c r="AF336" s="6"/>
      <c r="AG336" s="6"/>
      <c r="AH336" s="6"/>
    </row>
    <row r="337" spans="1:34" ht="12.75" customHeight="1" x14ac:dyDescent="0.3">
      <c r="A337" s="2"/>
      <c r="B337" s="2"/>
      <c r="C337" s="3"/>
      <c r="D337" s="3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4"/>
      <c r="AA337" s="4"/>
      <c r="AB337" s="4"/>
      <c r="AC337" s="4"/>
      <c r="AD337" s="5"/>
      <c r="AE337" s="6"/>
      <c r="AF337" s="6"/>
      <c r="AG337" s="6"/>
      <c r="AH337" s="6"/>
    </row>
    <row r="338" spans="1:34" ht="12.75" customHeight="1" x14ac:dyDescent="0.3">
      <c r="A338" s="2"/>
      <c r="B338" s="2"/>
      <c r="C338" s="3"/>
      <c r="D338" s="3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4"/>
      <c r="AA338" s="4"/>
      <c r="AB338" s="4"/>
      <c r="AC338" s="4"/>
      <c r="AD338" s="5"/>
      <c r="AE338" s="6"/>
      <c r="AF338" s="6"/>
      <c r="AG338" s="6"/>
      <c r="AH338" s="6"/>
    </row>
    <row r="339" spans="1:34" ht="12.75" customHeight="1" x14ac:dyDescent="0.3">
      <c r="A339" s="2"/>
      <c r="B339" s="2"/>
      <c r="C339" s="3"/>
      <c r="D339" s="3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4"/>
      <c r="AA339" s="4"/>
      <c r="AB339" s="4"/>
      <c r="AC339" s="4"/>
      <c r="AD339" s="5"/>
      <c r="AE339" s="6"/>
      <c r="AF339" s="6"/>
      <c r="AG339" s="6"/>
      <c r="AH339" s="6"/>
    </row>
    <row r="340" spans="1:34" ht="12.75" customHeight="1" x14ac:dyDescent="0.3">
      <c r="A340" s="2"/>
      <c r="B340" s="2"/>
      <c r="C340" s="3"/>
      <c r="D340" s="3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4"/>
      <c r="AA340" s="4"/>
      <c r="AB340" s="4"/>
      <c r="AC340" s="4"/>
      <c r="AD340" s="5"/>
      <c r="AE340" s="6"/>
      <c r="AF340" s="6"/>
      <c r="AG340" s="6"/>
      <c r="AH340" s="6"/>
    </row>
    <row r="341" spans="1:34" ht="12.75" customHeight="1" x14ac:dyDescent="0.3">
      <c r="A341" s="2"/>
      <c r="B341" s="2"/>
      <c r="C341" s="3"/>
      <c r="D341" s="3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4"/>
      <c r="AA341" s="4"/>
      <c r="AB341" s="4"/>
      <c r="AC341" s="4"/>
      <c r="AD341" s="5"/>
      <c r="AE341" s="6"/>
      <c r="AF341" s="6"/>
      <c r="AG341" s="6"/>
      <c r="AH341" s="6"/>
    </row>
    <row r="342" spans="1:34" ht="12.75" customHeight="1" x14ac:dyDescent="0.3">
      <c r="A342" s="2"/>
      <c r="B342" s="2"/>
      <c r="C342" s="3"/>
      <c r="D342" s="3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4"/>
      <c r="AA342" s="4"/>
      <c r="AB342" s="4"/>
      <c r="AC342" s="4"/>
      <c r="AD342" s="5"/>
      <c r="AE342" s="6"/>
      <c r="AF342" s="6"/>
      <c r="AG342" s="6"/>
      <c r="AH342" s="6"/>
    </row>
    <row r="343" spans="1:34" ht="12.75" customHeight="1" x14ac:dyDescent="0.3">
      <c r="A343" s="2"/>
      <c r="B343" s="2"/>
      <c r="C343" s="3"/>
      <c r="D343" s="3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4"/>
      <c r="AA343" s="4"/>
      <c r="AB343" s="4"/>
      <c r="AC343" s="4"/>
      <c r="AD343" s="5"/>
      <c r="AE343" s="6"/>
      <c r="AF343" s="6"/>
      <c r="AG343" s="6"/>
      <c r="AH343" s="6"/>
    </row>
    <row r="344" spans="1:34" ht="12.75" customHeight="1" x14ac:dyDescent="0.3">
      <c r="A344" s="2"/>
      <c r="B344" s="2"/>
      <c r="C344" s="3"/>
      <c r="D344" s="3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4"/>
      <c r="AA344" s="4"/>
      <c r="AB344" s="4"/>
      <c r="AC344" s="4"/>
      <c r="AD344" s="5"/>
      <c r="AE344" s="6"/>
      <c r="AF344" s="6"/>
      <c r="AG344" s="6"/>
      <c r="AH344" s="6"/>
    </row>
    <row r="345" spans="1:34" ht="12.75" customHeight="1" x14ac:dyDescent="0.3">
      <c r="A345" s="2"/>
      <c r="B345" s="2"/>
      <c r="C345" s="3"/>
      <c r="D345" s="3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4"/>
      <c r="AA345" s="4"/>
      <c r="AB345" s="4"/>
      <c r="AC345" s="4"/>
      <c r="AD345" s="5"/>
      <c r="AE345" s="6"/>
      <c r="AF345" s="6"/>
      <c r="AG345" s="6"/>
      <c r="AH345" s="6"/>
    </row>
    <row r="346" spans="1:34" ht="12.75" customHeight="1" x14ac:dyDescent="0.3">
      <c r="A346" s="2"/>
      <c r="B346" s="2"/>
      <c r="C346" s="3"/>
      <c r="D346" s="3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4"/>
      <c r="AA346" s="4"/>
      <c r="AB346" s="4"/>
      <c r="AC346" s="4"/>
      <c r="AD346" s="5"/>
      <c r="AE346" s="6"/>
      <c r="AF346" s="6"/>
      <c r="AG346" s="6"/>
      <c r="AH346" s="6"/>
    </row>
    <row r="347" spans="1:34" ht="12.75" customHeight="1" x14ac:dyDescent="0.3">
      <c r="A347" s="2"/>
      <c r="B347" s="2"/>
      <c r="C347" s="3"/>
      <c r="D347" s="3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4"/>
      <c r="AA347" s="4"/>
      <c r="AB347" s="4"/>
      <c r="AC347" s="4"/>
      <c r="AD347" s="5"/>
      <c r="AE347" s="6"/>
      <c r="AF347" s="6"/>
      <c r="AG347" s="6"/>
      <c r="AH347" s="6"/>
    </row>
    <row r="348" spans="1:34" ht="12.75" customHeight="1" x14ac:dyDescent="0.3">
      <c r="A348" s="2"/>
      <c r="B348" s="2"/>
      <c r="C348" s="3"/>
      <c r="D348" s="3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4"/>
      <c r="AA348" s="4"/>
      <c r="AB348" s="4"/>
      <c r="AC348" s="4"/>
      <c r="AD348" s="5"/>
      <c r="AE348" s="6"/>
      <c r="AF348" s="6"/>
      <c r="AG348" s="6"/>
      <c r="AH348" s="6"/>
    </row>
    <row r="349" spans="1:34" ht="12.75" customHeight="1" x14ac:dyDescent="0.3">
      <c r="A349" s="2"/>
      <c r="B349" s="2"/>
      <c r="C349" s="3"/>
      <c r="D349" s="3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4"/>
      <c r="AA349" s="4"/>
      <c r="AB349" s="4"/>
      <c r="AC349" s="4"/>
      <c r="AD349" s="5"/>
      <c r="AE349" s="6"/>
      <c r="AF349" s="6"/>
      <c r="AG349" s="6"/>
      <c r="AH349" s="6"/>
    </row>
    <row r="350" spans="1:34" ht="12.75" customHeight="1" x14ac:dyDescent="0.3">
      <c r="A350" s="2"/>
      <c r="B350" s="2"/>
      <c r="C350" s="3"/>
      <c r="D350" s="3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4"/>
      <c r="AA350" s="4"/>
      <c r="AB350" s="4"/>
      <c r="AC350" s="4"/>
      <c r="AD350" s="5"/>
      <c r="AE350" s="6"/>
      <c r="AF350" s="6"/>
      <c r="AG350" s="6"/>
      <c r="AH350" s="6"/>
    </row>
    <row r="351" spans="1:34" ht="12.75" customHeight="1" x14ac:dyDescent="0.3">
      <c r="A351" s="2"/>
      <c r="B351" s="2"/>
      <c r="C351" s="3"/>
      <c r="D351" s="3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4"/>
      <c r="AA351" s="4"/>
      <c r="AB351" s="4"/>
      <c r="AC351" s="4"/>
      <c r="AD351" s="5"/>
      <c r="AE351" s="6"/>
      <c r="AF351" s="6"/>
      <c r="AG351" s="6"/>
      <c r="AH351" s="6"/>
    </row>
    <row r="352" spans="1:34" ht="12.75" customHeight="1" x14ac:dyDescent="0.3">
      <c r="A352" s="2"/>
      <c r="B352" s="2"/>
      <c r="C352" s="3"/>
      <c r="D352" s="3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4"/>
      <c r="AA352" s="4"/>
      <c r="AB352" s="4"/>
      <c r="AC352" s="4"/>
      <c r="AD352" s="5"/>
      <c r="AE352" s="6"/>
      <c r="AF352" s="6"/>
      <c r="AG352" s="6"/>
      <c r="AH352" s="6"/>
    </row>
    <row r="353" spans="1:34" ht="12.75" customHeight="1" x14ac:dyDescent="0.3">
      <c r="A353" s="2"/>
      <c r="B353" s="2"/>
      <c r="C353" s="3"/>
      <c r="D353" s="3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4"/>
      <c r="AA353" s="4"/>
      <c r="AB353" s="4"/>
      <c r="AC353" s="4"/>
      <c r="AD353" s="5"/>
      <c r="AE353" s="6"/>
      <c r="AF353" s="6"/>
      <c r="AG353" s="6"/>
      <c r="AH353" s="6"/>
    </row>
    <row r="354" spans="1:34" ht="12.75" customHeight="1" x14ac:dyDescent="0.3">
      <c r="A354" s="2"/>
      <c r="B354" s="2"/>
      <c r="C354" s="3"/>
      <c r="D354" s="3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4"/>
      <c r="AA354" s="4"/>
      <c r="AB354" s="4"/>
      <c r="AC354" s="4"/>
      <c r="AD354" s="5"/>
      <c r="AE354" s="6"/>
      <c r="AF354" s="6"/>
      <c r="AG354" s="6"/>
      <c r="AH354" s="6"/>
    </row>
    <row r="355" spans="1:34" ht="12.75" customHeight="1" x14ac:dyDescent="0.3">
      <c r="A355" s="2"/>
      <c r="B355" s="2"/>
      <c r="C355" s="3"/>
      <c r="D355" s="3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4"/>
      <c r="AA355" s="4"/>
      <c r="AB355" s="4"/>
      <c r="AC355" s="4"/>
      <c r="AD355" s="5"/>
      <c r="AE355" s="6"/>
      <c r="AF355" s="6"/>
      <c r="AG355" s="6"/>
      <c r="AH355" s="6"/>
    </row>
    <row r="356" spans="1:34" ht="12.75" customHeight="1" x14ac:dyDescent="0.3">
      <c r="A356" s="2"/>
      <c r="B356" s="2"/>
      <c r="C356" s="3"/>
      <c r="D356" s="3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4"/>
      <c r="AA356" s="4"/>
      <c r="AB356" s="4"/>
      <c r="AC356" s="4"/>
      <c r="AD356" s="5"/>
      <c r="AE356" s="6"/>
      <c r="AF356" s="6"/>
      <c r="AG356" s="6"/>
      <c r="AH356" s="6"/>
    </row>
    <row r="357" spans="1:34" ht="12.75" customHeight="1" x14ac:dyDescent="0.3">
      <c r="A357" s="2"/>
      <c r="B357" s="2"/>
      <c r="C357" s="3"/>
      <c r="D357" s="3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4"/>
      <c r="AA357" s="4"/>
      <c r="AB357" s="4"/>
      <c r="AC357" s="4"/>
      <c r="AD357" s="5"/>
      <c r="AE357" s="6"/>
      <c r="AF357" s="6"/>
      <c r="AG357" s="6"/>
      <c r="AH357" s="6"/>
    </row>
    <row r="358" spans="1:34" ht="12.75" customHeight="1" x14ac:dyDescent="0.3">
      <c r="A358" s="2"/>
      <c r="B358" s="2"/>
      <c r="C358" s="3"/>
      <c r="D358" s="3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4"/>
      <c r="AA358" s="4"/>
      <c r="AB358" s="4"/>
      <c r="AC358" s="4"/>
      <c r="AD358" s="5"/>
      <c r="AE358" s="6"/>
      <c r="AF358" s="6"/>
      <c r="AG358" s="6"/>
      <c r="AH358" s="6"/>
    </row>
    <row r="359" spans="1:34" ht="12.75" customHeight="1" x14ac:dyDescent="0.3">
      <c r="A359" s="2"/>
      <c r="B359" s="2"/>
      <c r="C359" s="3"/>
      <c r="D359" s="3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4"/>
      <c r="AA359" s="4"/>
      <c r="AB359" s="4"/>
      <c r="AC359" s="4"/>
      <c r="AD359" s="5"/>
      <c r="AE359" s="6"/>
      <c r="AF359" s="6"/>
      <c r="AG359" s="6"/>
      <c r="AH359" s="6"/>
    </row>
    <row r="360" spans="1:34" ht="12.75" customHeight="1" x14ac:dyDescent="0.3">
      <c r="A360" s="2"/>
      <c r="B360" s="2"/>
      <c r="C360" s="3"/>
      <c r="D360" s="3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4"/>
      <c r="AA360" s="4"/>
      <c r="AB360" s="4"/>
      <c r="AC360" s="4"/>
      <c r="AD360" s="5"/>
      <c r="AE360" s="6"/>
      <c r="AF360" s="6"/>
      <c r="AG360" s="6"/>
      <c r="AH360" s="6"/>
    </row>
    <row r="361" spans="1:34" ht="12.75" customHeight="1" x14ac:dyDescent="0.3">
      <c r="A361" s="2"/>
      <c r="B361" s="2"/>
      <c r="C361" s="3"/>
      <c r="D361" s="3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4"/>
      <c r="AA361" s="4"/>
      <c r="AB361" s="4"/>
      <c r="AC361" s="4"/>
      <c r="AD361" s="5"/>
      <c r="AE361" s="6"/>
      <c r="AF361" s="6"/>
      <c r="AG361" s="6"/>
      <c r="AH361" s="6"/>
    </row>
    <row r="362" spans="1:34" ht="12.75" customHeight="1" x14ac:dyDescent="0.3">
      <c r="A362" s="2"/>
      <c r="B362" s="2"/>
      <c r="C362" s="3"/>
      <c r="D362" s="3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4"/>
      <c r="AA362" s="4"/>
      <c r="AB362" s="4"/>
      <c r="AC362" s="4"/>
      <c r="AD362" s="5"/>
      <c r="AE362" s="6"/>
      <c r="AF362" s="6"/>
      <c r="AG362" s="6"/>
      <c r="AH362" s="6"/>
    </row>
    <row r="363" spans="1:34" ht="12.75" customHeight="1" x14ac:dyDescent="0.3">
      <c r="A363" s="2"/>
      <c r="B363" s="2"/>
      <c r="C363" s="3"/>
      <c r="D363" s="3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4"/>
      <c r="AA363" s="4"/>
      <c r="AB363" s="4"/>
      <c r="AC363" s="4"/>
      <c r="AD363" s="5"/>
      <c r="AE363" s="6"/>
      <c r="AF363" s="6"/>
      <c r="AG363" s="6"/>
      <c r="AH363" s="6"/>
    </row>
    <row r="364" spans="1:34" ht="12.75" customHeight="1" x14ac:dyDescent="0.3">
      <c r="A364" s="2"/>
      <c r="B364" s="2"/>
      <c r="C364" s="3"/>
      <c r="D364" s="3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4"/>
      <c r="AA364" s="4"/>
      <c r="AB364" s="4"/>
      <c r="AC364" s="4"/>
      <c r="AD364" s="5"/>
      <c r="AE364" s="6"/>
      <c r="AF364" s="6"/>
      <c r="AG364" s="6"/>
      <c r="AH364" s="6"/>
    </row>
    <row r="365" spans="1:34" ht="12.75" customHeight="1" x14ac:dyDescent="0.3">
      <c r="A365" s="2"/>
      <c r="B365" s="2"/>
      <c r="C365" s="3"/>
      <c r="D365" s="3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4"/>
      <c r="AA365" s="4"/>
      <c r="AB365" s="4"/>
      <c r="AC365" s="4"/>
      <c r="AD365" s="5"/>
      <c r="AE365" s="6"/>
      <c r="AF365" s="6"/>
      <c r="AG365" s="6"/>
      <c r="AH365" s="6"/>
    </row>
    <row r="366" spans="1:34" ht="12.75" customHeight="1" x14ac:dyDescent="0.3">
      <c r="A366" s="2"/>
      <c r="B366" s="2"/>
      <c r="C366" s="3"/>
      <c r="D366" s="3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4"/>
      <c r="AA366" s="4"/>
      <c r="AB366" s="4"/>
      <c r="AC366" s="4"/>
      <c r="AD366" s="5"/>
      <c r="AE366" s="6"/>
      <c r="AF366" s="6"/>
      <c r="AG366" s="6"/>
      <c r="AH366" s="6"/>
    </row>
    <row r="367" spans="1:34" ht="12.75" customHeight="1" x14ac:dyDescent="0.3">
      <c r="A367" s="2"/>
      <c r="B367" s="2"/>
      <c r="C367" s="3"/>
      <c r="D367" s="3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4"/>
      <c r="AA367" s="4"/>
      <c r="AB367" s="4"/>
      <c r="AC367" s="4"/>
      <c r="AD367" s="5"/>
      <c r="AE367" s="6"/>
      <c r="AF367" s="6"/>
      <c r="AG367" s="6"/>
      <c r="AH367" s="6"/>
    </row>
    <row r="368" spans="1:34" ht="12.75" customHeight="1" x14ac:dyDescent="0.3">
      <c r="A368" s="2"/>
      <c r="B368" s="2"/>
      <c r="C368" s="3"/>
      <c r="D368" s="3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4"/>
      <c r="AA368" s="4"/>
      <c r="AB368" s="4"/>
      <c r="AC368" s="4"/>
      <c r="AD368" s="5"/>
      <c r="AE368" s="6"/>
      <c r="AF368" s="6"/>
      <c r="AG368" s="6"/>
      <c r="AH368" s="6"/>
    </row>
    <row r="369" spans="1:34" ht="12.75" customHeight="1" x14ac:dyDescent="0.3">
      <c r="A369" s="2"/>
      <c r="B369" s="2"/>
      <c r="C369" s="3"/>
      <c r="D369" s="3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4"/>
      <c r="AA369" s="4"/>
      <c r="AB369" s="4"/>
      <c r="AC369" s="4"/>
      <c r="AD369" s="5"/>
      <c r="AE369" s="6"/>
      <c r="AF369" s="6"/>
      <c r="AG369" s="6"/>
      <c r="AH369" s="6"/>
    </row>
    <row r="370" spans="1:34" ht="12.75" customHeight="1" x14ac:dyDescent="0.3">
      <c r="A370" s="2"/>
      <c r="B370" s="2"/>
      <c r="C370" s="3"/>
      <c r="D370" s="3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4"/>
      <c r="AA370" s="4"/>
      <c r="AB370" s="4"/>
      <c r="AC370" s="4"/>
      <c r="AD370" s="5"/>
      <c r="AE370" s="6"/>
      <c r="AF370" s="6"/>
      <c r="AG370" s="6"/>
      <c r="AH370" s="6"/>
    </row>
    <row r="371" spans="1:34" ht="12.75" customHeight="1" x14ac:dyDescent="0.3">
      <c r="A371" s="2"/>
      <c r="B371" s="2"/>
      <c r="C371" s="3"/>
      <c r="D371" s="3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4"/>
      <c r="AA371" s="4"/>
      <c r="AB371" s="4"/>
      <c r="AC371" s="4"/>
      <c r="AD371" s="5"/>
      <c r="AE371" s="6"/>
      <c r="AF371" s="6"/>
      <c r="AG371" s="6"/>
      <c r="AH371" s="6"/>
    </row>
    <row r="372" spans="1:34" ht="12.75" customHeight="1" x14ac:dyDescent="0.3">
      <c r="A372" s="2"/>
      <c r="B372" s="2"/>
      <c r="C372" s="3"/>
      <c r="D372" s="3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4"/>
      <c r="AA372" s="4"/>
      <c r="AB372" s="4"/>
      <c r="AC372" s="4"/>
      <c r="AD372" s="5"/>
      <c r="AE372" s="6"/>
      <c r="AF372" s="6"/>
      <c r="AG372" s="6"/>
      <c r="AH372" s="6"/>
    </row>
    <row r="373" spans="1:34" ht="12.75" customHeight="1" x14ac:dyDescent="0.3">
      <c r="A373" s="2"/>
      <c r="B373" s="2"/>
      <c r="C373" s="3"/>
      <c r="D373" s="3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4"/>
      <c r="AA373" s="4"/>
      <c r="AB373" s="4"/>
      <c r="AC373" s="4"/>
      <c r="AD373" s="5"/>
      <c r="AE373" s="6"/>
      <c r="AF373" s="6"/>
      <c r="AG373" s="6"/>
      <c r="AH373" s="6"/>
    </row>
    <row r="374" spans="1:34" ht="12.75" customHeight="1" x14ac:dyDescent="0.3">
      <c r="A374" s="2"/>
      <c r="B374" s="2"/>
      <c r="C374" s="3"/>
      <c r="D374" s="3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4"/>
      <c r="AA374" s="4"/>
      <c r="AB374" s="4"/>
      <c r="AC374" s="4"/>
      <c r="AD374" s="5"/>
      <c r="AE374" s="6"/>
      <c r="AF374" s="6"/>
      <c r="AG374" s="6"/>
      <c r="AH374" s="6"/>
    </row>
    <row r="375" spans="1:34" ht="12.75" customHeight="1" x14ac:dyDescent="0.3">
      <c r="A375" s="2"/>
      <c r="B375" s="2"/>
      <c r="C375" s="3"/>
      <c r="D375" s="3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4"/>
      <c r="AA375" s="4"/>
      <c r="AB375" s="4"/>
      <c r="AC375" s="4"/>
      <c r="AD375" s="5"/>
      <c r="AE375" s="6"/>
      <c r="AF375" s="6"/>
      <c r="AG375" s="6"/>
      <c r="AH375" s="6"/>
    </row>
    <row r="376" spans="1:34" ht="12.75" customHeight="1" x14ac:dyDescent="0.3">
      <c r="A376" s="2"/>
      <c r="B376" s="2"/>
      <c r="C376" s="3"/>
      <c r="D376" s="3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4"/>
      <c r="AA376" s="4"/>
      <c r="AB376" s="4"/>
      <c r="AC376" s="4"/>
      <c r="AD376" s="5"/>
      <c r="AE376" s="6"/>
      <c r="AF376" s="6"/>
      <c r="AG376" s="6"/>
      <c r="AH376" s="6"/>
    </row>
    <row r="377" spans="1:34" ht="12.75" customHeight="1" x14ac:dyDescent="0.3">
      <c r="A377" s="2"/>
      <c r="B377" s="2"/>
      <c r="C377" s="3"/>
      <c r="D377" s="3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4"/>
      <c r="AA377" s="4"/>
      <c r="AB377" s="4"/>
      <c r="AC377" s="4"/>
      <c r="AD377" s="5"/>
      <c r="AE377" s="6"/>
      <c r="AF377" s="6"/>
      <c r="AG377" s="6"/>
      <c r="AH377" s="6"/>
    </row>
    <row r="378" spans="1:34" ht="12.75" customHeight="1" x14ac:dyDescent="0.3">
      <c r="A378" s="2"/>
      <c r="B378" s="2"/>
      <c r="C378" s="3"/>
      <c r="D378" s="3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4"/>
      <c r="AA378" s="4"/>
      <c r="AB378" s="4"/>
      <c r="AC378" s="4"/>
      <c r="AD378" s="5"/>
      <c r="AE378" s="6"/>
      <c r="AF378" s="6"/>
      <c r="AG378" s="6"/>
      <c r="AH378" s="6"/>
    </row>
    <row r="379" spans="1:34" ht="12.75" customHeight="1" x14ac:dyDescent="0.3">
      <c r="A379" s="2"/>
      <c r="B379" s="2"/>
      <c r="C379" s="3"/>
      <c r="D379" s="3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4"/>
      <c r="AA379" s="4"/>
      <c r="AB379" s="4"/>
      <c r="AC379" s="4"/>
      <c r="AD379" s="5"/>
      <c r="AE379" s="6"/>
      <c r="AF379" s="6"/>
      <c r="AG379" s="6"/>
      <c r="AH379" s="6"/>
    </row>
    <row r="380" spans="1:34" ht="12.75" customHeight="1" x14ac:dyDescent="0.3">
      <c r="A380" s="2"/>
      <c r="B380" s="2"/>
      <c r="C380" s="3"/>
      <c r="D380" s="3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4"/>
      <c r="AA380" s="4"/>
      <c r="AB380" s="4"/>
      <c r="AC380" s="4"/>
      <c r="AD380" s="5"/>
      <c r="AE380" s="6"/>
      <c r="AF380" s="6"/>
      <c r="AG380" s="6"/>
      <c r="AH380" s="6"/>
    </row>
    <row r="381" spans="1:34" ht="12.75" customHeight="1" x14ac:dyDescent="0.3">
      <c r="A381" s="2"/>
      <c r="B381" s="2"/>
      <c r="C381" s="3"/>
      <c r="D381" s="3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4"/>
      <c r="AA381" s="4"/>
      <c r="AB381" s="4"/>
      <c r="AC381" s="4"/>
      <c r="AD381" s="5"/>
      <c r="AE381" s="6"/>
      <c r="AF381" s="6"/>
      <c r="AG381" s="6"/>
      <c r="AH381" s="6"/>
    </row>
    <row r="382" spans="1:34" ht="12.75" customHeight="1" x14ac:dyDescent="0.3">
      <c r="A382" s="2"/>
      <c r="B382" s="2"/>
      <c r="C382" s="3"/>
      <c r="D382" s="3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4"/>
      <c r="AA382" s="4"/>
      <c r="AB382" s="4"/>
      <c r="AC382" s="4"/>
      <c r="AD382" s="5"/>
      <c r="AE382" s="6"/>
      <c r="AF382" s="6"/>
      <c r="AG382" s="6"/>
      <c r="AH382" s="6"/>
    </row>
    <row r="383" spans="1:34" ht="12.75" customHeight="1" x14ac:dyDescent="0.3">
      <c r="A383" s="2"/>
      <c r="B383" s="2"/>
      <c r="C383" s="3"/>
      <c r="D383" s="3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4"/>
      <c r="AA383" s="4"/>
      <c r="AB383" s="4"/>
      <c r="AC383" s="4"/>
      <c r="AD383" s="5"/>
      <c r="AE383" s="6"/>
      <c r="AF383" s="6"/>
      <c r="AG383" s="6"/>
      <c r="AH383" s="6"/>
    </row>
    <row r="384" spans="1:34" ht="12.75" customHeight="1" x14ac:dyDescent="0.3">
      <c r="A384" s="2"/>
      <c r="B384" s="2"/>
      <c r="C384" s="3"/>
      <c r="D384" s="3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4"/>
      <c r="AA384" s="4"/>
      <c r="AB384" s="4"/>
      <c r="AC384" s="4"/>
      <c r="AD384" s="5"/>
      <c r="AE384" s="6"/>
      <c r="AF384" s="6"/>
      <c r="AG384" s="6"/>
      <c r="AH384" s="6"/>
    </row>
    <row r="385" spans="1:34" ht="12.75" customHeight="1" x14ac:dyDescent="0.3">
      <c r="A385" s="2"/>
      <c r="B385" s="2"/>
      <c r="C385" s="3"/>
      <c r="D385" s="3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4"/>
      <c r="AA385" s="4"/>
      <c r="AB385" s="4"/>
      <c r="AC385" s="4"/>
      <c r="AD385" s="5"/>
      <c r="AE385" s="6"/>
      <c r="AF385" s="6"/>
      <c r="AG385" s="6"/>
      <c r="AH385" s="6"/>
    </row>
    <row r="386" spans="1:34" ht="12.75" customHeight="1" x14ac:dyDescent="0.3">
      <c r="A386" s="2"/>
      <c r="B386" s="2"/>
      <c r="C386" s="3"/>
      <c r="D386" s="3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4"/>
      <c r="AA386" s="4"/>
      <c r="AB386" s="4"/>
      <c r="AC386" s="4"/>
      <c r="AD386" s="5"/>
      <c r="AE386" s="6"/>
      <c r="AF386" s="6"/>
      <c r="AG386" s="6"/>
      <c r="AH386" s="6"/>
    </row>
    <row r="387" spans="1:34" ht="12.75" customHeight="1" x14ac:dyDescent="0.3">
      <c r="A387" s="2"/>
      <c r="B387" s="2"/>
      <c r="C387" s="3"/>
      <c r="D387" s="3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4"/>
      <c r="AA387" s="4"/>
      <c r="AB387" s="4"/>
      <c r="AC387" s="4"/>
      <c r="AD387" s="5"/>
      <c r="AE387" s="6"/>
      <c r="AF387" s="6"/>
      <c r="AG387" s="6"/>
      <c r="AH387" s="6"/>
    </row>
    <row r="388" spans="1:34" ht="12.75" customHeight="1" x14ac:dyDescent="0.3">
      <c r="A388" s="2"/>
      <c r="B388" s="2"/>
      <c r="C388" s="3"/>
      <c r="D388" s="3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4"/>
      <c r="AA388" s="4"/>
      <c r="AB388" s="4"/>
      <c r="AC388" s="4"/>
      <c r="AD388" s="5"/>
      <c r="AE388" s="6"/>
      <c r="AF388" s="6"/>
      <c r="AG388" s="6"/>
      <c r="AH388" s="6"/>
    </row>
    <row r="389" spans="1:34" ht="12.75" customHeight="1" x14ac:dyDescent="0.3">
      <c r="A389" s="2"/>
      <c r="B389" s="2"/>
      <c r="C389" s="3"/>
      <c r="D389" s="3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4"/>
      <c r="AA389" s="4"/>
      <c r="AB389" s="4"/>
      <c r="AC389" s="4"/>
      <c r="AD389" s="5"/>
      <c r="AE389" s="6"/>
      <c r="AF389" s="6"/>
      <c r="AG389" s="6"/>
      <c r="AH389" s="6"/>
    </row>
    <row r="390" spans="1:34" ht="12.75" customHeight="1" x14ac:dyDescent="0.3">
      <c r="A390" s="2"/>
      <c r="B390" s="2"/>
      <c r="C390" s="3"/>
      <c r="D390" s="3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4"/>
      <c r="AA390" s="4"/>
      <c r="AB390" s="4"/>
      <c r="AC390" s="4"/>
      <c r="AD390" s="5"/>
      <c r="AE390" s="6"/>
      <c r="AF390" s="6"/>
      <c r="AG390" s="6"/>
      <c r="AH390" s="6"/>
    </row>
    <row r="391" spans="1:34" ht="12.75" customHeight="1" x14ac:dyDescent="0.3">
      <c r="A391" s="2"/>
      <c r="B391" s="2"/>
      <c r="C391" s="3"/>
      <c r="D391" s="3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4"/>
      <c r="AA391" s="4"/>
      <c r="AB391" s="4"/>
      <c r="AC391" s="4"/>
      <c r="AD391" s="5"/>
      <c r="AE391" s="6"/>
      <c r="AF391" s="6"/>
      <c r="AG391" s="6"/>
      <c r="AH391" s="6"/>
    </row>
    <row r="392" spans="1:34" ht="12.75" customHeight="1" x14ac:dyDescent="0.3">
      <c r="A392" s="2"/>
      <c r="B392" s="2"/>
      <c r="C392" s="3"/>
      <c r="D392" s="3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4"/>
      <c r="AA392" s="4"/>
      <c r="AB392" s="4"/>
      <c r="AC392" s="4"/>
      <c r="AD392" s="5"/>
      <c r="AE392" s="6"/>
      <c r="AF392" s="6"/>
      <c r="AG392" s="6"/>
      <c r="AH392" s="6"/>
    </row>
    <row r="393" spans="1:34" ht="12.75" customHeight="1" x14ac:dyDescent="0.3">
      <c r="A393" s="2"/>
      <c r="B393" s="2"/>
      <c r="C393" s="3"/>
      <c r="D393" s="3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4"/>
      <c r="AA393" s="4"/>
      <c r="AB393" s="4"/>
      <c r="AC393" s="4"/>
      <c r="AD393" s="5"/>
      <c r="AE393" s="6"/>
      <c r="AF393" s="6"/>
      <c r="AG393" s="6"/>
      <c r="AH393" s="6"/>
    </row>
    <row r="394" spans="1:34" ht="12.75" customHeight="1" x14ac:dyDescent="0.3">
      <c r="A394" s="2"/>
      <c r="B394" s="2"/>
      <c r="C394" s="3"/>
      <c r="D394" s="3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4"/>
      <c r="AA394" s="4"/>
      <c r="AB394" s="4"/>
      <c r="AC394" s="4"/>
      <c r="AD394" s="5"/>
      <c r="AE394" s="6"/>
      <c r="AF394" s="6"/>
      <c r="AG394" s="6"/>
      <c r="AH394" s="6"/>
    </row>
    <row r="395" spans="1:34" ht="12.75" customHeight="1" x14ac:dyDescent="0.3">
      <c r="A395" s="2"/>
      <c r="B395" s="2"/>
      <c r="C395" s="3"/>
      <c r="D395" s="3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4"/>
      <c r="AA395" s="4"/>
      <c r="AB395" s="4"/>
      <c r="AC395" s="4"/>
      <c r="AD395" s="5"/>
      <c r="AE395" s="6"/>
      <c r="AF395" s="6"/>
      <c r="AG395" s="6"/>
      <c r="AH395" s="6"/>
    </row>
    <row r="396" spans="1:34" ht="12.75" customHeight="1" x14ac:dyDescent="0.3">
      <c r="A396" s="2"/>
      <c r="B396" s="2"/>
      <c r="C396" s="3"/>
      <c r="D396" s="3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4"/>
      <c r="AA396" s="4"/>
      <c r="AB396" s="4"/>
      <c r="AC396" s="4"/>
      <c r="AD396" s="5"/>
      <c r="AE396" s="6"/>
      <c r="AF396" s="6"/>
      <c r="AG396" s="6"/>
      <c r="AH396" s="6"/>
    </row>
    <row r="397" spans="1:34" ht="12.75" customHeight="1" x14ac:dyDescent="0.3">
      <c r="A397" s="2"/>
      <c r="B397" s="2"/>
      <c r="C397" s="3"/>
      <c r="D397" s="3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4"/>
      <c r="AA397" s="4"/>
      <c r="AB397" s="4"/>
      <c r="AC397" s="4"/>
      <c r="AD397" s="5"/>
      <c r="AE397" s="6"/>
      <c r="AF397" s="6"/>
      <c r="AG397" s="6"/>
      <c r="AH397" s="6"/>
    </row>
    <row r="398" spans="1:34" ht="12.75" customHeight="1" x14ac:dyDescent="0.3">
      <c r="A398" s="2"/>
      <c r="B398" s="2"/>
      <c r="C398" s="3"/>
      <c r="D398" s="3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4"/>
      <c r="AA398" s="4"/>
      <c r="AB398" s="4"/>
      <c r="AC398" s="4"/>
      <c r="AD398" s="5"/>
      <c r="AE398" s="6"/>
      <c r="AF398" s="6"/>
      <c r="AG398" s="6"/>
      <c r="AH398" s="6"/>
    </row>
    <row r="399" spans="1:34" ht="12.75" customHeight="1" x14ac:dyDescent="0.3">
      <c r="A399" s="2"/>
      <c r="B399" s="2"/>
      <c r="C399" s="3"/>
      <c r="D399" s="3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4"/>
      <c r="AA399" s="4"/>
      <c r="AB399" s="4"/>
      <c r="AC399" s="4"/>
      <c r="AD399" s="5"/>
      <c r="AE399" s="6"/>
      <c r="AF399" s="6"/>
      <c r="AG399" s="6"/>
      <c r="AH399" s="6"/>
    </row>
    <row r="400" spans="1:34" ht="12.75" customHeight="1" x14ac:dyDescent="0.3">
      <c r="A400" s="2"/>
      <c r="B400" s="2"/>
      <c r="C400" s="3"/>
      <c r="D400" s="3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4"/>
      <c r="AA400" s="4"/>
      <c r="AB400" s="4"/>
      <c r="AC400" s="4"/>
      <c r="AD400" s="5"/>
      <c r="AE400" s="6"/>
      <c r="AF400" s="6"/>
      <c r="AG400" s="6"/>
      <c r="AH400" s="6"/>
    </row>
    <row r="401" spans="1:34" ht="12.75" customHeight="1" x14ac:dyDescent="0.3">
      <c r="A401" s="2"/>
      <c r="B401" s="2"/>
      <c r="C401" s="3"/>
      <c r="D401" s="3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4"/>
      <c r="AA401" s="4"/>
      <c r="AB401" s="4"/>
      <c r="AC401" s="4"/>
      <c r="AD401" s="5"/>
      <c r="AE401" s="6"/>
      <c r="AF401" s="6"/>
      <c r="AG401" s="6"/>
      <c r="AH401" s="6"/>
    </row>
    <row r="402" spans="1:34" ht="12.75" customHeight="1" x14ac:dyDescent="0.3">
      <c r="A402" s="2"/>
      <c r="B402" s="2"/>
      <c r="C402" s="3"/>
      <c r="D402" s="3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4"/>
      <c r="AA402" s="4"/>
      <c r="AB402" s="4"/>
      <c r="AC402" s="4"/>
      <c r="AD402" s="5"/>
      <c r="AE402" s="6"/>
      <c r="AF402" s="6"/>
      <c r="AG402" s="6"/>
      <c r="AH402" s="6"/>
    </row>
    <row r="403" spans="1:34" ht="12.75" customHeight="1" x14ac:dyDescent="0.3">
      <c r="A403" s="2"/>
      <c r="B403" s="2"/>
      <c r="C403" s="3"/>
      <c r="D403" s="3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4"/>
      <c r="AA403" s="4"/>
      <c r="AB403" s="4"/>
      <c r="AC403" s="4"/>
      <c r="AD403" s="5"/>
      <c r="AE403" s="6"/>
      <c r="AF403" s="6"/>
      <c r="AG403" s="6"/>
      <c r="AH403" s="6"/>
    </row>
    <row r="404" spans="1:34" ht="12.75" customHeight="1" x14ac:dyDescent="0.3">
      <c r="A404" s="2"/>
      <c r="B404" s="2"/>
      <c r="C404" s="3"/>
      <c r="D404" s="3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4"/>
      <c r="AA404" s="4"/>
      <c r="AB404" s="4"/>
      <c r="AC404" s="4"/>
      <c r="AD404" s="5"/>
      <c r="AE404" s="6"/>
      <c r="AF404" s="6"/>
      <c r="AG404" s="6"/>
      <c r="AH404" s="6"/>
    </row>
    <row r="405" spans="1:34" ht="12.75" customHeight="1" x14ac:dyDescent="0.3">
      <c r="A405" s="2"/>
      <c r="B405" s="2"/>
      <c r="C405" s="3"/>
      <c r="D405" s="3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4"/>
      <c r="AA405" s="4"/>
      <c r="AB405" s="4"/>
      <c r="AC405" s="4"/>
      <c r="AD405" s="5"/>
      <c r="AE405" s="6"/>
      <c r="AF405" s="6"/>
      <c r="AG405" s="6"/>
      <c r="AH405" s="6"/>
    </row>
    <row r="406" spans="1:34" ht="12.75" customHeight="1" x14ac:dyDescent="0.3">
      <c r="A406" s="2"/>
      <c r="B406" s="2"/>
      <c r="C406" s="3"/>
      <c r="D406" s="3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4"/>
      <c r="AA406" s="4"/>
      <c r="AB406" s="4"/>
      <c r="AC406" s="4"/>
      <c r="AD406" s="5"/>
      <c r="AE406" s="6"/>
      <c r="AF406" s="6"/>
      <c r="AG406" s="6"/>
      <c r="AH406" s="6"/>
    </row>
    <row r="407" spans="1:34" ht="12.75" customHeight="1" x14ac:dyDescent="0.3">
      <c r="A407" s="2"/>
      <c r="B407" s="2"/>
      <c r="C407" s="3"/>
      <c r="D407" s="3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4"/>
      <c r="AA407" s="4"/>
      <c r="AB407" s="4"/>
      <c r="AC407" s="4"/>
      <c r="AD407" s="5"/>
      <c r="AE407" s="6"/>
      <c r="AF407" s="6"/>
      <c r="AG407" s="6"/>
      <c r="AH407" s="6"/>
    </row>
    <row r="408" spans="1:34" ht="12.75" customHeight="1" x14ac:dyDescent="0.3">
      <c r="A408" s="2"/>
      <c r="B408" s="2"/>
      <c r="C408" s="3"/>
      <c r="D408" s="3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4"/>
      <c r="AA408" s="4"/>
      <c r="AB408" s="4"/>
      <c r="AC408" s="4"/>
      <c r="AD408" s="5"/>
      <c r="AE408" s="6"/>
      <c r="AF408" s="6"/>
      <c r="AG408" s="6"/>
      <c r="AH408" s="6"/>
    </row>
    <row r="409" spans="1:34" ht="12.75" customHeight="1" x14ac:dyDescent="0.3">
      <c r="A409" s="2"/>
      <c r="B409" s="2"/>
      <c r="C409" s="3"/>
      <c r="D409" s="3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4"/>
      <c r="AA409" s="4"/>
      <c r="AB409" s="4"/>
      <c r="AC409" s="4"/>
      <c r="AD409" s="5"/>
      <c r="AE409" s="6"/>
      <c r="AF409" s="6"/>
      <c r="AG409" s="6"/>
      <c r="AH409" s="6"/>
    </row>
    <row r="410" spans="1:34" ht="12.75" customHeight="1" x14ac:dyDescent="0.3">
      <c r="A410" s="2"/>
      <c r="B410" s="2"/>
      <c r="C410" s="3"/>
      <c r="D410" s="3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4"/>
      <c r="AA410" s="4"/>
      <c r="AB410" s="4"/>
      <c r="AC410" s="4"/>
      <c r="AD410" s="5"/>
      <c r="AE410" s="6"/>
      <c r="AF410" s="6"/>
      <c r="AG410" s="6"/>
      <c r="AH410" s="6"/>
    </row>
    <row r="411" spans="1:34" ht="12.75" customHeight="1" x14ac:dyDescent="0.3">
      <c r="A411" s="2"/>
      <c r="B411" s="2"/>
      <c r="C411" s="3"/>
      <c r="D411" s="3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4"/>
      <c r="AA411" s="4"/>
      <c r="AB411" s="4"/>
      <c r="AC411" s="4"/>
      <c r="AD411" s="5"/>
      <c r="AE411" s="6"/>
      <c r="AF411" s="6"/>
      <c r="AG411" s="6"/>
      <c r="AH411" s="6"/>
    </row>
    <row r="412" spans="1:34" ht="12.75" customHeight="1" x14ac:dyDescent="0.3">
      <c r="A412" s="2"/>
      <c r="B412" s="2"/>
      <c r="C412" s="3"/>
      <c r="D412" s="3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4"/>
      <c r="AA412" s="4"/>
      <c r="AB412" s="4"/>
      <c r="AC412" s="4"/>
      <c r="AD412" s="5"/>
      <c r="AE412" s="6"/>
      <c r="AF412" s="6"/>
      <c r="AG412" s="6"/>
      <c r="AH412" s="6"/>
    </row>
    <row r="413" spans="1:34" ht="12.75" customHeight="1" x14ac:dyDescent="0.3">
      <c r="A413" s="2"/>
      <c r="B413" s="2"/>
      <c r="C413" s="3"/>
      <c r="D413" s="3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4"/>
      <c r="AA413" s="4"/>
      <c r="AB413" s="4"/>
      <c r="AC413" s="4"/>
      <c r="AD413" s="5"/>
      <c r="AE413" s="6"/>
      <c r="AF413" s="6"/>
      <c r="AG413" s="6"/>
      <c r="AH413" s="6"/>
    </row>
    <row r="414" spans="1:34" ht="12.75" customHeight="1" x14ac:dyDescent="0.3">
      <c r="A414" s="2"/>
      <c r="B414" s="2"/>
      <c r="C414" s="3"/>
      <c r="D414" s="3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4"/>
      <c r="AA414" s="4"/>
      <c r="AB414" s="4"/>
      <c r="AC414" s="4"/>
      <c r="AD414" s="5"/>
      <c r="AE414" s="6"/>
      <c r="AF414" s="6"/>
      <c r="AG414" s="6"/>
      <c r="AH414" s="6"/>
    </row>
    <row r="415" spans="1:34" ht="12.75" customHeight="1" x14ac:dyDescent="0.3">
      <c r="A415" s="2"/>
      <c r="B415" s="2"/>
      <c r="C415" s="3"/>
      <c r="D415" s="3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4"/>
      <c r="AA415" s="4"/>
      <c r="AB415" s="4"/>
      <c r="AC415" s="4"/>
      <c r="AD415" s="5"/>
      <c r="AE415" s="6"/>
      <c r="AF415" s="6"/>
      <c r="AG415" s="6"/>
      <c r="AH415" s="6"/>
    </row>
    <row r="416" spans="1:34" ht="12.75" customHeight="1" x14ac:dyDescent="0.3">
      <c r="A416" s="2"/>
      <c r="B416" s="2"/>
      <c r="C416" s="3"/>
      <c r="D416" s="3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4"/>
      <c r="AA416" s="4"/>
      <c r="AB416" s="4"/>
      <c r="AC416" s="4"/>
      <c r="AD416" s="5"/>
      <c r="AE416" s="6"/>
      <c r="AF416" s="6"/>
      <c r="AG416" s="6"/>
      <c r="AH416" s="6"/>
    </row>
    <row r="417" spans="1:34" ht="12.75" customHeight="1" x14ac:dyDescent="0.3">
      <c r="A417" s="2"/>
      <c r="B417" s="2"/>
      <c r="C417" s="3"/>
      <c r="D417" s="3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4"/>
      <c r="AA417" s="4"/>
      <c r="AB417" s="4"/>
      <c r="AC417" s="4"/>
      <c r="AD417" s="5"/>
      <c r="AE417" s="6"/>
      <c r="AF417" s="6"/>
      <c r="AG417" s="6"/>
      <c r="AH417" s="6"/>
    </row>
    <row r="418" spans="1:34" ht="12.75" customHeight="1" x14ac:dyDescent="0.3">
      <c r="A418" s="2"/>
      <c r="B418" s="2"/>
      <c r="C418" s="3"/>
      <c r="D418" s="3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4"/>
      <c r="AA418" s="4"/>
      <c r="AB418" s="4"/>
      <c r="AC418" s="4"/>
      <c r="AD418" s="5"/>
      <c r="AE418" s="6"/>
      <c r="AF418" s="6"/>
      <c r="AG418" s="6"/>
      <c r="AH418" s="6"/>
    </row>
    <row r="419" spans="1:34" ht="12.75" customHeight="1" x14ac:dyDescent="0.3">
      <c r="A419" s="2"/>
      <c r="B419" s="2"/>
      <c r="C419" s="3"/>
      <c r="D419" s="3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4"/>
      <c r="AA419" s="4"/>
      <c r="AB419" s="4"/>
      <c r="AC419" s="4"/>
      <c r="AD419" s="5"/>
      <c r="AE419" s="6"/>
      <c r="AF419" s="6"/>
      <c r="AG419" s="6"/>
      <c r="AH419" s="6"/>
    </row>
    <row r="420" spans="1:34" ht="12.75" customHeight="1" x14ac:dyDescent="0.3">
      <c r="A420" s="2"/>
      <c r="B420" s="2"/>
      <c r="C420" s="3"/>
      <c r="D420" s="3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4"/>
      <c r="AA420" s="4"/>
      <c r="AB420" s="4"/>
      <c r="AC420" s="4"/>
      <c r="AD420" s="5"/>
      <c r="AE420" s="6"/>
      <c r="AF420" s="6"/>
      <c r="AG420" s="6"/>
      <c r="AH420" s="6"/>
    </row>
    <row r="421" spans="1:34" ht="12.75" customHeight="1" x14ac:dyDescent="0.3">
      <c r="A421" s="2"/>
      <c r="B421" s="2"/>
      <c r="C421" s="3"/>
      <c r="D421" s="3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4"/>
      <c r="AA421" s="4"/>
      <c r="AB421" s="4"/>
      <c r="AC421" s="4"/>
      <c r="AD421" s="5"/>
      <c r="AE421" s="6"/>
      <c r="AF421" s="6"/>
      <c r="AG421" s="6"/>
      <c r="AH421" s="6"/>
    </row>
    <row r="422" spans="1:34" ht="12.75" customHeight="1" x14ac:dyDescent="0.3">
      <c r="A422" s="2"/>
      <c r="B422" s="2"/>
      <c r="C422" s="3"/>
      <c r="D422" s="3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4"/>
      <c r="AA422" s="4"/>
      <c r="AB422" s="4"/>
      <c r="AC422" s="4"/>
      <c r="AD422" s="5"/>
      <c r="AE422" s="6"/>
      <c r="AF422" s="6"/>
      <c r="AG422" s="6"/>
      <c r="AH422" s="6"/>
    </row>
    <row r="423" spans="1:34" ht="12.75" customHeight="1" x14ac:dyDescent="0.3">
      <c r="A423" s="2"/>
      <c r="B423" s="2"/>
      <c r="C423" s="3"/>
      <c r="D423" s="3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4"/>
      <c r="AA423" s="4"/>
      <c r="AB423" s="4"/>
      <c r="AC423" s="4"/>
      <c r="AD423" s="5"/>
      <c r="AE423" s="6"/>
      <c r="AF423" s="6"/>
      <c r="AG423" s="6"/>
      <c r="AH423" s="6"/>
    </row>
    <row r="424" spans="1:34" ht="12.75" customHeight="1" x14ac:dyDescent="0.3">
      <c r="A424" s="2"/>
      <c r="B424" s="2"/>
      <c r="C424" s="3"/>
      <c r="D424" s="3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4"/>
      <c r="AA424" s="4"/>
      <c r="AB424" s="4"/>
      <c r="AC424" s="4"/>
      <c r="AD424" s="5"/>
      <c r="AE424" s="6"/>
      <c r="AF424" s="6"/>
      <c r="AG424" s="6"/>
      <c r="AH424" s="6"/>
    </row>
    <row r="425" spans="1:34" ht="12.75" customHeight="1" x14ac:dyDescent="0.3">
      <c r="A425" s="2"/>
      <c r="B425" s="2"/>
      <c r="C425" s="3"/>
      <c r="D425" s="3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4"/>
      <c r="AA425" s="4"/>
      <c r="AB425" s="4"/>
      <c r="AC425" s="4"/>
      <c r="AD425" s="5"/>
      <c r="AE425" s="6"/>
      <c r="AF425" s="6"/>
      <c r="AG425" s="6"/>
      <c r="AH425" s="6"/>
    </row>
    <row r="426" spans="1:34" ht="12.75" customHeight="1" x14ac:dyDescent="0.3">
      <c r="A426" s="2"/>
      <c r="B426" s="2"/>
      <c r="C426" s="3"/>
      <c r="D426" s="3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4"/>
      <c r="AA426" s="4"/>
      <c r="AB426" s="4"/>
      <c r="AC426" s="4"/>
      <c r="AD426" s="5"/>
      <c r="AE426" s="6"/>
      <c r="AF426" s="6"/>
      <c r="AG426" s="6"/>
      <c r="AH426" s="6"/>
    </row>
    <row r="427" spans="1:34" ht="12.75" customHeight="1" x14ac:dyDescent="0.3">
      <c r="A427" s="2"/>
      <c r="B427" s="2"/>
      <c r="C427" s="3"/>
      <c r="D427" s="3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4"/>
      <c r="AA427" s="4"/>
      <c r="AB427" s="4"/>
      <c r="AC427" s="4"/>
      <c r="AD427" s="5"/>
      <c r="AE427" s="6"/>
      <c r="AF427" s="6"/>
      <c r="AG427" s="6"/>
      <c r="AH427" s="6"/>
    </row>
    <row r="428" spans="1:34" ht="12.75" customHeight="1" x14ac:dyDescent="0.3">
      <c r="A428" s="2"/>
      <c r="B428" s="2"/>
      <c r="C428" s="3"/>
      <c r="D428" s="3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4"/>
      <c r="AA428" s="4"/>
      <c r="AB428" s="4"/>
      <c r="AC428" s="4"/>
      <c r="AD428" s="5"/>
      <c r="AE428" s="6"/>
      <c r="AF428" s="6"/>
      <c r="AG428" s="6"/>
      <c r="AH428" s="6"/>
    </row>
    <row r="429" spans="1:34" ht="12.75" customHeight="1" x14ac:dyDescent="0.3">
      <c r="A429" s="2"/>
      <c r="B429" s="2"/>
      <c r="C429" s="3"/>
      <c r="D429" s="3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4"/>
      <c r="AA429" s="4"/>
      <c r="AB429" s="4"/>
      <c r="AC429" s="4"/>
      <c r="AD429" s="5"/>
      <c r="AE429" s="6"/>
      <c r="AF429" s="6"/>
      <c r="AG429" s="6"/>
      <c r="AH429" s="6"/>
    </row>
    <row r="430" spans="1:34" ht="12.75" customHeight="1" x14ac:dyDescent="0.3">
      <c r="A430" s="2"/>
      <c r="B430" s="2"/>
      <c r="C430" s="3"/>
      <c r="D430" s="3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4"/>
      <c r="AA430" s="4"/>
      <c r="AB430" s="4"/>
      <c r="AC430" s="4"/>
      <c r="AD430" s="5"/>
      <c r="AE430" s="6"/>
      <c r="AF430" s="6"/>
      <c r="AG430" s="6"/>
      <c r="AH430" s="6"/>
    </row>
    <row r="431" spans="1:34" ht="12.75" customHeight="1" x14ac:dyDescent="0.3">
      <c r="A431" s="2"/>
      <c r="B431" s="2"/>
      <c r="C431" s="3"/>
      <c r="D431" s="3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4"/>
      <c r="AA431" s="4"/>
      <c r="AB431" s="4"/>
      <c r="AC431" s="4"/>
      <c r="AD431" s="5"/>
      <c r="AE431" s="6"/>
      <c r="AF431" s="6"/>
      <c r="AG431" s="6"/>
      <c r="AH431" s="6"/>
    </row>
    <row r="432" spans="1:34" ht="12.75" customHeight="1" x14ac:dyDescent="0.3">
      <c r="A432" s="2"/>
      <c r="B432" s="2"/>
      <c r="C432" s="3"/>
      <c r="D432" s="3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4"/>
      <c r="AA432" s="4"/>
      <c r="AB432" s="4"/>
      <c r="AC432" s="4"/>
      <c r="AD432" s="5"/>
      <c r="AE432" s="6"/>
      <c r="AF432" s="6"/>
      <c r="AG432" s="6"/>
      <c r="AH432" s="6"/>
    </row>
    <row r="433" spans="1:34" ht="12.75" customHeight="1" x14ac:dyDescent="0.3">
      <c r="A433" s="2"/>
      <c r="B433" s="2"/>
      <c r="C433" s="3"/>
      <c r="D433" s="3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4"/>
      <c r="AA433" s="4"/>
      <c r="AB433" s="4"/>
      <c r="AC433" s="4"/>
      <c r="AD433" s="5"/>
      <c r="AE433" s="6"/>
      <c r="AF433" s="6"/>
      <c r="AG433" s="6"/>
      <c r="AH433" s="6"/>
    </row>
    <row r="434" spans="1:34" ht="12.75" customHeight="1" x14ac:dyDescent="0.3">
      <c r="A434" s="2"/>
      <c r="B434" s="2"/>
      <c r="C434" s="3"/>
      <c r="D434" s="3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4"/>
      <c r="AA434" s="4"/>
      <c r="AB434" s="4"/>
      <c r="AC434" s="4"/>
      <c r="AD434" s="5"/>
      <c r="AE434" s="6"/>
      <c r="AF434" s="6"/>
      <c r="AG434" s="6"/>
      <c r="AH434" s="6"/>
    </row>
    <row r="435" spans="1:34" ht="12.75" customHeight="1" x14ac:dyDescent="0.3">
      <c r="A435" s="2"/>
      <c r="B435" s="2"/>
      <c r="C435" s="3"/>
      <c r="D435" s="3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4"/>
      <c r="AA435" s="4"/>
      <c r="AB435" s="4"/>
      <c r="AC435" s="4"/>
      <c r="AD435" s="5"/>
      <c r="AE435" s="6"/>
      <c r="AF435" s="6"/>
      <c r="AG435" s="6"/>
      <c r="AH435" s="6"/>
    </row>
    <row r="436" spans="1:34" ht="12.75" customHeight="1" x14ac:dyDescent="0.3">
      <c r="A436" s="2"/>
      <c r="B436" s="2"/>
      <c r="C436" s="3"/>
      <c r="D436" s="3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4"/>
      <c r="AA436" s="4"/>
      <c r="AB436" s="4"/>
      <c r="AC436" s="4"/>
      <c r="AD436" s="5"/>
      <c r="AE436" s="6"/>
      <c r="AF436" s="6"/>
      <c r="AG436" s="6"/>
      <c r="AH436" s="6"/>
    </row>
    <row r="437" spans="1:34" ht="12.75" customHeight="1" x14ac:dyDescent="0.3">
      <c r="A437" s="2"/>
      <c r="B437" s="2"/>
      <c r="C437" s="3"/>
      <c r="D437" s="3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4"/>
      <c r="AA437" s="4"/>
      <c r="AB437" s="4"/>
      <c r="AC437" s="4"/>
      <c r="AD437" s="5"/>
      <c r="AE437" s="6"/>
      <c r="AF437" s="6"/>
      <c r="AG437" s="6"/>
      <c r="AH437" s="6"/>
    </row>
    <row r="438" spans="1:34" ht="12.75" customHeight="1" x14ac:dyDescent="0.3">
      <c r="A438" s="2"/>
      <c r="B438" s="2"/>
      <c r="C438" s="3"/>
      <c r="D438" s="3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4"/>
      <c r="AA438" s="4"/>
      <c r="AB438" s="4"/>
      <c r="AC438" s="4"/>
      <c r="AD438" s="5"/>
      <c r="AE438" s="6"/>
      <c r="AF438" s="6"/>
      <c r="AG438" s="6"/>
      <c r="AH438" s="6"/>
    </row>
    <row r="439" spans="1:34" ht="12.75" customHeight="1" x14ac:dyDescent="0.3">
      <c r="A439" s="2"/>
      <c r="B439" s="2"/>
      <c r="C439" s="3"/>
      <c r="D439" s="3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4"/>
      <c r="AA439" s="4"/>
      <c r="AB439" s="4"/>
      <c r="AC439" s="4"/>
      <c r="AD439" s="5"/>
      <c r="AE439" s="6"/>
      <c r="AF439" s="6"/>
      <c r="AG439" s="6"/>
      <c r="AH439" s="6"/>
    </row>
    <row r="440" spans="1:34" ht="12.75" customHeight="1" x14ac:dyDescent="0.3">
      <c r="A440" s="2"/>
      <c r="B440" s="2"/>
      <c r="C440" s="3"/>
      <c r="D440" s="3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4"/>
      <c r="AA440" s="4"/>
      <c r="AB440" s="4"/>
      <c r="AC440" s="4"/>
      <c r="AD440" s="5"/>
      <c r="AE440" s="6"/>
      <c r="AF440" s="6"/>
      <c r="AG440" s="6"/>
      <c r="AH440" s="6"/>
    </row>
    <row r="441" spans="1:34" ht="12.75" customHeight="1" x14ac:dyDescent="0.3">
      <c r="A441" s="2"/>
      <c r="B441" s="2"/>
      <c r="C441" s="3"/>
      <c r="D441" s="3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4"/>
      <c r="AA441" s="4"/>
      <c r="AB441" s="4"/>
      <c r="AC441" s="4"/>
      <c r="AD441" s="5"/>
      <c r="AE441" s="6"/>
      <c r="AF441" s="6"/>
      <c r="AG441" s="6"/>
      <c r="AH441" s="6"/>
    </row>
    <row r="442" spans="1:34" ht="12.75" customHeight="1" x14ac:dyDescent="0.3">
      <c r="A442" s="2"/>
      <c r="B442" s="2"/>
      <c r="C442" s="3"/>
      <c r="D442" s="3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4"/>
      <c r="AA442" s="4"/>
      <c r="AB442" s="4"/>
      <c r="AC442" s="4"/>
      <c r="AD442" s="5"/>
      <c r="AE442" s="6"/>
      <c r="AF442" s="6"/>
      <c r="AG442" s="6"/>
      <c r="AH442" s="6"/>
    </row>
    <row r="443" spans="1:34" ht="12.75" customHeight="1" x14ac:dyDescent="0.3">
      <c r="A443" s="2"/>
      <c r="B443" s="2"/>
      <c r="C443" s="3"/>
      <c r="D443" s="3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4"/>
      <c r="AA443" s="4"/>
      <c r="AB443" s="4"/>
      <c r="AC443" s="4"/>
      <c r="AD443" s="5"/>
      <c r="AE443" s="6"/>
      <c r="AF443" s="6"/>
      <c r="AG443" s="6"/>
      <c r="AH443" s="6"/>
    </row>
    <row r="444" spans="1:34" ht="12.75" customHeight="1" x14ac:dyDescent="0.3">
      <c r="A444" s="2"/>
      <c r="B444" s="2"/>
      <c r="C444" s="3"/>
      <c r="D444" s="3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4"/>
      <c r="AA444" s="4"/>
      <c r="AB444" s="4"/>
      <c r="AC444" s="4"/>
      <c r="AD444" s="5"/>
      <c r="AE444" s="6"/>
      <c r="AF444" s="6"/>
      <c r="AG444" s="6"/>
      <c r="AH444" s="6"/>
    </row>
    <row r="445" spans="1:34" ht="12.75" customHeight="1" x14ac:dyDescent="0.3">
      <c r="A445" s="2"/>
      <c r="B445" s="2"/>
      <c r="C445" s="3"/>
      <c r="D445" s="3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4"/>
      <c r="AA445" s="4"/>
      <c r="AB445" s="4"/>
      <c r="AC445" s="4"/>
      <c r="AD445" s="5"/>
      <c r="AE445" s="6"/>
      <c r="AF445" s="6"/>
      <c r="AG445" s="6"/>
      <c r="AH445" s="6"/>
    </row>
    <row r="446" spans="1:34" ht="12.75" customHeight="1" x14ac:dyDescent="0.3">
      <c r="A446" s="2"/>
      <c r="B446" s="2"/>
      <c r="C446" s="3"/>
      <c r="D446" s="3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4"/>
      <c r="AA446" s="4"/>
      <c r="AB446" s="4"/>
      <c r="AC446" s="4"/>
      <c r="AD446" s="5"/>
      <c r="AE446" s="6"/>
      <c r="AF446" s="6"/>
      <c r="AG446" s="6"/>
      <c r="AH446" s="6"/>
    </row>
    <row r="447" spans="1:34" ht="12.75" customHeight="1" x14ac:dyDescent="0.3">
      <c r="A447" s="2"/>
      <c r="B447" s="2"/>
      <c r="C447" s="3"/>
      <c r="D447" s="3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4"/>
      <c r="AA447" s="4"/>
      <c r="AB447" s="4"/>
      <c r="AC447" s="4"/>
      <c r="AD447" s="5"/>
      <c r="AE447" s="6"/>
      <c r="AF447" s="6"/>
      <c r="AG447" s="6"/>
      <c r="AH447" s="6"/>
    </row>
    <row r="448" spans="1:34" ht="12.75" customHeight="1" x14ac:dyDescent="0.3">
      <c r="A448" s="2"/>
      <c r="B448" s="2"/>
      <c r="C448" s="3"/>
      <c r="D448" s="3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4"/>
      <c r="AA448" s="4"/>
      <c r="AB448" s="4"/>
      <c r="AC448" s="4"/>
      <c r="AD448" s="5"/>
      <c r="AE448" s="6"/>
      <c r="AF448" s="6"/>
      <c r="AG448" s="6"/>
      <c r="AH448" s="6"/>
    </row>
    <row r="449" spans="1:34" ht="12.75" customHeight="1" x14ac:dyDescent="0.3">
      <c r="A449" s="2"/>
      <c r="B449" s="2"/>
      <c r="C449" s="3"/>
      <c r="D449" s="3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4"/>
      <c r="AA449" s="4"/>
      <c r="AB449" s="4"/>
      <c r="AC449" s="4"/>
      <c r="AD449" s="5"/>
      <c r="AE449" s="6"/>
      <c r="AF449" s="6"/>
      <c r="AG449" s="6"/>
      <c r="AH449" s="6"/>
    </row>
    <row r="450" spans="1:34" ht="12.75" customHeight="1" x14ac:dyDescent="0.3">
      <c r="A450" s="2"/>
      <c r="B450" s="2"/>
      <c r="C450" s="3"/>
      <c r="D450" s="3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4"/>
      <c r="AA450" s="4"/>
      <c r="AB450" s="4"/>
      <c r="AC450" s="4"/>
      <c r="AD450" s="5"/>
      <c r="AE450" s="6"/>
      <c r="AF450" s="6"/>
      <c r="AG450" s="6"/>
      <c r="AH450" s="6"/>
    </row>
    <row r="451" spans="1:34" ht="12.75" customHeight="1" x14ac:dyDescent="0.3">
      <c r="A451" s="2"/>
      <c r="B451" s="2"/>
      <c r="C451" s="3"/>
      <c r="D451" s="3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4"/>
      <c r="AA451" s="4"/>
      <c r="AB451" s="4"/>
      <c r="AC451" s="4"/>
      <c r="AD451" s="5"/>
      <c r="AE451" s="6"/>
      <c r="AF451" s="6"/>
      <c r="AG451" s="6"/>
      <c r="AH451" s="6"/>
    </row>
    <row r="452" spans="1:34" ht="12.75" customHeight="1" x14ac:dyDescent="0.3">
      <c r="A452" s="2"/>
      <c r="B452" s="2"/>
      <c r="C452" s="3"/>
      <c r="D452" s="3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4"/>
      <c r="AA452" s="4"/>
      <c r="AB452" s="4"/>
      <c r="AC452" s="4"/>
      <c r="AD452" s="5"/>
      <c r="AE452" s="6"/>
      <c r="AF452" s="6"/>
      <c r="AG452" s="6"/>
      <c r="AH452" s="6"/>
    </row>
    <row r="453" spans="1:34" ht="12.75" customHeight="1" x14ac:dyDescent="0.3">
      <c r="A453" s="2"/>
      <c r="B453" s="2"/>
      <c r="C453" s="3"/>
      <c r="D453" s="3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4"/>
      <c r="AA453" s="4"/>
      <c r="AB453" s="4"/>
      <c r="AC453" s="4"/>
      <c r="AD453" s="5"/>
      <c r="AE453" s="6"/>
      <c r="AF453" s="6"/>
      <c r="AG453" s="6"/>
      <c r="AH453" s="6"/>
    </row>
    <row r="454" spans="1:34" ht="12.75" customHeight="1" x14ac:dyDescent="0.3">
      <c r="A454" s="2"/>
      <c r="B454" s="2"/>
      <c r="C454" s="3"/>
      <c r="D454" s="3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4"/>
      <c r="AA454" s="4"/>
      <c r="AB454" s="4"/>
      <c r="AC454" s="4"/>
      <c r="AD454" s="5"/>
      <c r="AE454" s="6"/>
      <c r="AF454" s="6"/>
      <c r="AG454" s="6"/>
      <c r="AH454" s="6"/>
    </row>
    <row r="455" spans="1:34" ht="12.75" customHeight="1" x14ac:dyDescent="0.3">
      <c r="A455" s="2"/>
      <c r="B455" s="2"/>
      <c r="C455" s="3"/>
      <c r="D455" s="3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4"/>
      <c r="AA455" s="4"/>
      <c r="AB455" s="4"/>
      <c r="AC455" s="4"/>
      <c r="AD455" s="5"/>
      <c r="AE455" s="6"/>
      <c r="AF455" s="6"/>
      <c r="AG455" s="6"/>
      <c r="AH455" s="6"/>
    </row>
    <row r="456" spans="1:34" ht="12.75" customHeight="1" x14ac:dyDescent="0.3">
      <c r="A456" s="2"/>
      <c r="B456" s="2"/>
      <c r="C456" s="3"/>
      <c r="D456" s="3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4"/>
      <c r="AA456" s="4"/>
      <c r="AB456" s="4"/>
      <c r="AC456" s="4"/>
      <c r="AD456" s="5"/>
      <c r="AE456" s="6"/>
      <c r="AF456" s="6"/>
      <c r="AG456" s="6"/>
      <c r="AH456" s="6"/>
    </row>
    <row r="457" spans="1:34" ht="12.75" customHeight="1" x14ac:dyDescent="0.3">
      <c r="A457" s="2"/>
      <c r="B457" s="2"/>
      <c r="C457" s="3"/>
      <c r="D457" s="3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4"/>
      <c r="AA457" s="4"/>
      <c r="AB457" s="4"/>
      <c r="AC457" s="4"/>
      <c r="AD457" s="5"/>
      <c r="AE457" s="6"/>
      <c r="AF457" s="6"/>
      <c r="AG457" s="6"/>
      <c r="AH457" s="6"/>
    </row>
    <row r="458" spans="1:34" ht="12.75" customHeight="1" x14ac:dyDescent="0.3">
      <c r="A458" s="2"/>
      <c r="B458" s="2"/>
      <c r="C458" s="3"/>
      <c r="D458" s="3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4"/>
      <c r="AA458" s="4"/>
      <c r="AB458" s="4"/>
      <c r="AC458" s="4"/>
      <c r="AD458" s="5"/>
      <c r="AE458" s="6"/>
      <c r="AF458" s="6"/>
      <c r="AG458" s="6"/>
      <c r="AH458" s="6"/>
    </row>
    <row r="459" spans="1:34" ht="12.75" customHeight="1" x14ac:dyDescent="0.3">
      <c r="A459" s="2"/>
      <c r="B459" s="2"/>
      <c r="C459" s="3"/>
      <c r="D459" s="3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4"/>
      <c r="AA459" s="4"/>
      <c r="AB459" s="4"/>
      <c r="AC459" s="4"/>
      <c r="AD459" s="5"/>
      <c r="AE459" s="6"/>
      <c r="AF459" s="6"/>
      <c r="AG459" s="6"/>
      <c r="AH459" s="6"/>
    </row>
    <row r="460" spans="1:34" ht="12.75" customHeight="1" x14ac:dyDescent="0.3">
      <c r="A460" s="2"/>
      <c r="B460" s="2"/>
      <c r="C460" s="3"/>
      <c r="D460" s="3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4"/>
      <c r="AA460" s="4"/>
      <c r="AB460" s="4"/>
      <c r="AC460" s="4"/>
      <c r="AD460" s="5"/>
      <c r="AE460" s="6"/>
      <c r="AF460" s="6"/>
      <c r="AG460" s="6"/>
      <c r="AH460" s="6"/>
    </row>
    <row r="461" spans="1:34" ht="12.75" customHeight="1" x14ac:dyDescent="0.3">
      <c r="A461" s="2"/>
      <c r="B461" s="2"/>
      <c r="C461" s="3"/>
      <c r="D461" s="3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4"/>
      <c r="AA461" s="4"/>
      <c r="AB461" s="4"/>
      <c r="AC461" s="4"/>
      <c r="AD461" s="5"/>
      <c r="AE461" s="6"/>
      <c r="AF461" s="6"/>
      <c r="AG461" s="6"/>
      <c r="AH461" s="6"/>
    </row>
    <row r="462" spans="1:34" ht="12.75" customHeight="1" x14ac:dyDescent="0.3">
      <c r="A462" s="2"/>
      <c r="B462" s="2"/>
      <c r="C462" s="3"/>
      <c r="D462" s="3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4"/>
      <c r="AA462" s="4"/>
      <c r="AB462" s="4"/>
      <c r="AC462" s="4"/>
      <c r="AD462" s="5"/>
      <c r="AE462" s="6"/>
      <c r="AF462" s="6"/>
      <c r="AG462" s="6"/>
      <c r="AH462" s="6"/>
    </row>
    <row r="463" spans="1:34" ht="12.75" customHeight="1" x14ac:dyDescent="0.3">
      <c r="A463" s="2"/>
      <c r="B463" s="2"/>
      <c r="C463" s="3"/>
      <c r="D463" s="3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4"/>
      <c r="AA463" s="4"/>
      <c r="AB463" s="4"/>
      <c r="AC463" s="4"/>
      <c r="AD463" s="5"/>
      <c r="AE463" s="6"/>
      <c r="AF463" s="6"/>
      <c r="AG463" s="6"/>
      <c r="AH463" s="6"/>
    </row>
    <row r="464" spans="1:34" ht="12.75" customHeight="1" x14ac:dyDescent="0.3">
      <c r="A464" s="2"/>
      <c r="B464" s="2"/>
      <c r="C464" s="3"/>
      <c r="D464" s="3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4"/>
      <c r="AA464" s="4"/>
      <c r="AB464" s="4"/>
      <c r="AC464" s="4"/>
      <c r="AD464" s="5"/>
      <c r="AE464" s="6"/>
      <c r="AF464" s="6"/>
      <c r="AG464" s="6"/>
      <c r="AH464" s="6"/>
    </row>
    <row r="465" spans="1:34" ht="12.75" customHeight="1" x14ac:dyDescent="0.3">
      <c r="A465" s="2"/>
      <c r="B465" s="2"/>
      <c r="C465" s="3"/>
      <c r="D465" s="3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4"/>
      <c r="AA465" s="4"/>
      <c r="AB465" s="4"/>
      <c r="AC465" s="4"/>
      <c r="AD465" s="5"/>
      <c r="AE465" s="6"/>
      <c r="AF465" s="6"/>
      <c r="AG465" s="6"/>
      <c r="AH465" s="6"/>
    </row>
    <row r="466" spans="1:34" ht="12.75" customHeight="1" x14ac:dyDescent="0.3">
      <c r="A466" s="2"/>
      <c r="B466" s="2"/>
      <c r="C466" s="3"/>
      <c r="D466" s="3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4"/>
      <c r="AA466" s="4"/>
      <c r="AB466" s="4"/>
      <c r="AC466" s="4"/>
      <c r="AD466" s="5"/>
      <c r="AE466" s="6"/>
      <c r="AF466" s="6"/>
      <c r="AG466" s="6"/>
      <c r="AH466" s="6"/>
    </row>
    <row r="467" spans="1:34" ht="12.75" customHeight="1" x14ac:dyDescent="0.3">
      <c r="A467" s="2"/>
      <c r="B467" s="2"/>
      <c r="C467" s="3"/>
      <c r="D467" s="3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4"/>
      <c r="AA467" s="4"/>
      <c r="AB467" s="4"/>
      <c r="AC467" s="4"/>
      <c r="AD467" s="5"/>
      <c r="AE467" s="6"/>
      <c r="AF467" s="6"/>
      <c r="AG467" s="6"/>
      <c r="AH467" s="6"/>
    </row>
    <row r="468" spans="1:34" ht="12.75" customHeight="1" x14ac:dyDescent="0.3">
      <c r="A468" s="2"/>
      <c r="B468" s="2"/>
      <c r="C468" s="3"/>
      <c r="D468" s="3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4"/>
      <c r="AA468" s="4"/>
      <c r="AB468" s="4"/>
      <c r="AC468" s="4"/>
      <c r="AD468" s="5"/>
      <c r="AE468" s="6"/>
      <c r="AF468" s="6"/>
      <c r="AG468" s="6"/>
      <c r="AH468" s="6"/>
    </row>
    <row r="469" spans="1:34" ht="12.75" customHeight="1" x14ac:dyDescent="0.3">
      <c r="A469" s="2"/>
      <c r="B469" s="2"/>
      <c r="C469" s="3"/>
      <c r="D469" s="3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4"/>
      <c r="AA469" s="4"/>
      <c r="AB469" s="4"/>
      <c r="AC469" s="4"/>
      <c r="AD469" s="5"/>
      <c r="AE469" s="6"/>
      <c r="AF469" s="6"/>
      <c r="AG469" s="6"/>
      <c r="AH469" s="6"/>
    </row>
    <row r="470" spans="1:34" ht="12.75" customHeight="1" x14ac:dyDescent="0.3">
      <c r="A470" s="2"/>
      <c r="B470" s="2"/>
      <c r="C470" s="3"/>
      <c r="D470" s="3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4"/>
      <c r="AA470" s="4"/>
      <c r="AB470" s="4"/>
      <c r="AC470" s="4"/>
      <c r="AD470" s="5"/>
      <c r="AE470" s="6"/>
      <c r="AF470" s="6"/>
      <c r="AG470" s="6"/>
      <c r="AH470" s="6"/>
    </row>
    <row r="471" spans="1:34" ht="12.75" customHeight="1" x14ac:dyDescent="0.3">
      <c r="A471" s="2"/>
      <c r="B471" s="2"/>
      <c r="C471" s="3"/>
      <c r="D471" s="3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4"/>
      <c r="AA471" s="4"/>
      <c r="AB471" s="4"/>
      <c r="AC471" s="4"/>
      <c r="AD471" s="5"/>
      <c r="AE471" s="6"/>
      <c r="AF471" s="6"/>
      <c r="AG471" s="6"/>
      <c r="AH471" s="6"/>
    </row>
    <row r="472" spans="1:34" ht="12.75" customHeight="1" x14ac:dyDescent="0.3">
      <c r="A472" s="2"/>
      <c r="B472" s="2"/>
      <c r="C472" s="3"/>
      <c r="D472" s="3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4"/>
      <c r="AA472" s="4"/>
      <c r="AB472" s="4"/>
      <c r="AC472" s="4"/>
      <c r="AD472" s="5"/>
      <c r="AE472" s="6"/>
      <c r="AF472" s="6"/>
      <c r="AG472" s="6"/>
      <c r="AH472" s="6"/>
    </row>
    <row r="473" spans="1:34" ht="12.75" customHeight="1" x14ac:dyDescent="0.3">
      <c r="A473" s="2"/>
      <c r="B473" s="2"/>
      <c r="C473" s="3"/>
      <c r="D473" s="3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4"/>
      <c r="AA473" s="4"/>
      <c r="AB473" s="4"/>
      <c r="AC473" s="4"/>
      <c r="AD473" s="5"/>
      <c r="AE473" s="6"/>
      <c r="AF473" s="6"/>
      <c r="AG473" s="6"/>
      <c r="AH473" s="6"/>
    </row>
    <row r="474" spans="1:34" ht="12.75" customHeight="1" x14ac:dyDescent="0.3">
      <c r="A474" s="2"/>
      <c r="B474" s="2"/>
      <c r="C474" s="3"/>
      <c r="D474" s="3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4"/>
      <c r="AA474" s="4"/>
      <c r="AB474" s="4"/>
      <c r="AC474" s="4"/>
      <c r="AD474" s="5"/>
      <c r="AE474" s="6"/>
      <c r="AF474" s="6"/>
      <c r="AG474" s="6"/>
      <c r="AH474" s="6"/>
    </row>
    <row r="475" spans="1:34" ht="12.75" customHeight="1" x14ac:dyDescent="0.3">
      <c r="A475" s="2"/>
      <c r="B475" s="2"/>
      <c r="C475" s="3"/>
      <c r="D475" s="3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4"/>
      <c r="AA475" s="4"/>
      <c r="AB475" s="4"/>
      <c r="AC475" s="4"/>
      <c r="AD475" s="5"/>
      <c r="AE475" s="6"/>
      <c r="AF475" s="6"/>
      <c r="AG475" s="6"/>
      <c r="AH475" s="6"/>
    </row>
    <row r="476" spans="1:34" ht="12.75" customHeight="1" x14ac:dyDescent="0.3">
      <c r="A476" s="2"/>
      <c r="B476" s="2"/>
      <c r="C476" s="3"/>
      <c r="D476" s="3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4"/>
      <c r="AA476" s="4"/>
      <c r="AB476" s="4"/>
      <c r="AC476" s="4"/>
      <c r="AD476" s="5"/>
      <c r="AE476" s="6"/>
      <c r="AF476" s="6"/>
      <c r="AG476" s="6"/>
      <c r="AH476" s="6"/>
    </row>
    <row r="477" spans="1:34" ht="12.75" customHeight="1" x14ac:dyDescent="0.3">
      <c r="A477" s="2"/>
      <c r="B477" s="2"/>
      <c r="C477" s="3"/>
      <c r="D477" s="3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4"/>
      <c r="AA477" s="4"/>
      <c r="AB477" s="4"/>
      <c r="AC477" s="4"/>
      <c r="AD477" s="5"/>
      <c r="AE477" s="6"/>
      <c r="AF477" s="6"/>
      <c r="AG477" s="6"/>
      <c r="AH477" s="6"/>
    </row>
    <row r="478" spans="1:34" ht="12.75" customHeight="1" x14ac:dyDescent="0.3">
      <c r="A478" s="2"/>
      <c r="B478" s="2"/>
      <c r="C478" s="3"/>
      <c r="D478" s="3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4"/>
      <c r="AA478" s="4"/>
      <c r="AB478" s="4"/>
      <c r="AC478" s="4"/>
      <c r="AD478" s="5"/>
      <c r="AE478" s="6"/>
      <c r="AF478" s="6"/>
      <c r="AG478" s="6"/>
      <c r="AH478" s="6"/>
    </row>
    <row r="479" spans="1:34" ht="12.75" customHeight="1" x14ac:dyDescent="0.3">
      <c r="A479" s="2"/>
      <c r="B479" s="2"/>
      <c r="C479" s="3"/>
      <c r="D479" s="3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4"/>
      <c r="AA479" s="4"/>
      <c r="AB479" s="4"/>
      <c r="AC479" s="4"/>
      <c r="AD479" s="5"/>
      <c r="AE479" s="6"/>
      <c r="AF479" s="6"/>
      <c r="AG479" s="6"/>
      <c r="AH479" s="6"/>
    </row>
    <row r="480" spans="1:34" ht="12.75" customHeight="1" x14ac:dyDescent="0.3">
      <c r="A480" s="2"/>
      <c r="B480" s="2"/>
      <c r="C480" s="3"/>
      <c r="D480" s="3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4"/>
      <c r="AA480" s="4"/>
      <c r="AB480" s="4"/>
      <c r="AC480" s="4"/>
      <c r="AD480" s="5"/>
      <c r="AE480" s="6"/>
      <c r="AF480" s="6"/>
      <c r="AG480" s="6"/>
      <c r="AH480" s="6"/>
    </row>
    <row r="481" spans="1:34" ht="12.75" customHeight="1" x14ac:dyDescent="0.3">
      <c r="A481" s="2"/>
      <c r="B481" s="2"/>
      <c r="C481" s="3"/>
      <c r="D481" s="3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4"/>
      <c r="AA481" s="4"/>
      <c r="AB481" s="4"/>
      <c r="AC481" s="4"/>
      <c r="AD481" s="5"/>
      <c r="AE481" s="6"/>
      <c r="AF481" s="6"/>
      <c r="AG481" s="6"/>
      <c r="AH481" s="6"/>
    </row>
    <row r="482" spans="1:34" ht="12.75" customHeight="1" x14ac:dyDescent="0.3">
      <c r="A482" s="2"/>
      <c r="B482" s="2"/>
      <c r="C482" s="3"/>
      <c r="D482" s="3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4"/>
      <c r="AA482" s="4"/>
      <c r="AB482" s="4"/>
      <c r="AC482" s="4"/>
      <c r="AD482" s="5"/>
      <c r="AE482" s="6"/>
      <c r="AF482" s="6"/>
      <c r="AG482" s="6"/>
      <c r="AH482" s="6"/>
    </row>
    <row r="483" spans="1:34" ht="12.75" customHeight="1" x14ac:dyDescent="0.3">
      <c r="A483" s="2"/>
      <c r="B483" s="2"/>
      <c r="C483" s="3"/>
      <c r="D483" s="3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4"/>
      <c r="AA483" s="4"/>
      <c r="AB483" s="4"/>
      <c r="AC483" s="4"/>
      <c r="AD483" s="5"/>
      <c r="AE483" s="6"/>
      <c r="AF483" s="6"/>
      <c r="AG483" s="6"/>
      <c r="AH483" s="6"/>
    </row>
    <row r="484" spans="1:34" ht="12.75" customHeight="1" x14ac:dyDescent="0.3">
      <c r="A484" s="2"/>
      <c r="B484" s="2"/>
      <c r="C484" s="3"/>
      <c r="D484" s="3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4"/>
      <c r="AA484" s="4"/>
      <c r="AB484" s="4"/>
      <c r="AC484" s="4"/>
      <c r="AD484" s="5"/>
      <c r="AE484" s="6"/>
      <c r="AF484" s="6"/>
      <c r="AG484" s="6"/>
      <c r="AH484" s="6"/>
    </row>
    <row r="485" spans="1:34" ht="12.75" customHeight="1" x14ac:dyDescent="0.3">
      <c r="A485" s="2"/>
      <c r="B485" s="2"/>
      <c r="C485" s="3"/>
      <c r="D485" s="3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4"/>
      <c r="AA485" s="4"/>
      <c r="AB485" s="4"/>
      <c r="AC485" s="4"/>
      <c r="AD485" s="5"/>
      <c r="AE485" s="6"/>
      <c r="AF485" s="6"/>
      <c r="AG485" s="6"/>
      <c r="AH485" s="6"/>
    </row>
    <row r="486" spans="1:34" ht="12.75" customHeight="1" x14ac:dyDescent="0.3">
      <c r="A486" s="2"/>
      <c r="B486" s="2"/>
      <c r="C486" s="3"/>
      <c r="D486" s="3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4"/>
      <c r="AA486" s="4"/>
      <c r="AB486" s="4"/>
      <c r="AC486" s="4"/>
      <c r="AD486" s="5"/>
      <c r="AE486" s="6"/>
      <c r="AF486" s="6"/>
      <c r="AG486" s="6"/>
      <c r="AH486" s="6"/>
    </row>
    <row r="487" spans="1:34" ht="12.75" customHeight="1" x14ac:dyDescent="0.3">
      <c r="A487" s="2"/>
      <c r="B487" s="2"/>
      <c r="C487" s="3"/>
      <c r="D487" s="3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4"/>
      <c r="AA487" s="4"/>
      <c r="AB487" s="4"/>
      <c r="AC487" s="4"/>
      <c r="AD487" s="5"/>
      <c r="AE487" s="6"/>
      <c r="AF487" s="6"/>
      <c r="AG487" s="6"/>
      <c r="AH487" s="6"/>
    </row>
    <row r="488" spans="1:34" ht="12.75" customHeight="1" x14ac:dyDescent="0.3">
      <c r="A488" s="2"/>
      <c r="B488" s="2"/>
      <c r="C488" s="3"/>
      <c r="D488" s="3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4"/>
      <c r="AA488" s="4"/>
      <c r="AB488" s="4"/>
      <c r="AC488" s="4"/>
      <c r="AD488" s="5"/>
      <c r="AE488" s="6"/>
      <c r="AF488" s="6"/>
      <c r="AG488" s="6"/>
      <c r="AH488" s="6"/>
    </row>
    <row r="489" spans="1:34" ht="12.75" customHeight="1" x14ac:dyDescent="0.3">
      <c r="A489" s="2"/>
      <c r="B489" s="2"/>
      <c r="C489" s="3"/>
      <c r="D489" s="3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4"/>
      <c r="AA489" s="4"/>
      <c r="AB489" s="4"/>
      <c r="AC489" s="4"/>
      <c r="AD489" s="5"/>
      <c r="AE489" s="6"/>
      <c r="AF489" s="6"/>
      <c r="AG489" s="6"/>
      <c r="AH489" s="6"/>
    </row>
    <row r="490" spans="1:34" ht="12.75" customHeight="1" x14ac:dyDescent="0.3">
      <c r="A490" s="2"/>
      <c r="B490" s="2"/>
      <c r="C490" s="3"/>
      <c r="D490" s="3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4"/>
      <c r="AA490" s="4"/>
      <c r="AB490" s="4"/>
      <c r="AC490" s="4"/>
      <c r="AD490" s="5"/>
      <c r="AE490" s="6"/>
      <c r="AF490" s="6"/>
      <c r="AG490" s="6"/>
      <c r="AH490" s="6"/>
    </row>
    <row r="491" spans="1:34" ht="12.75" customHeight="1" x14ac:dyDescent="0.3">
      <c r="A491" s="2"/>
      <c r="B491" s="2"/>
      <c r="C491" s="3"/>
      <c r="D491" s="3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4"/>
      <c r="AA491" s="4"/>
      <c r="AB491" s="4"/>
      <c r="AC491" s="4"/>
      <c r="AD491" s="5"/>
      <c r="AE491" s="6"/>
      <c r="AF491" s="6"/>
      <c r="AG491" s="6"/>
      <c r="AH491" s="6"/>
    </row>
    <row r="492" spans="1:34" ht="12.75" customHeight="1" x14ac:dyDescent="0.3">
      <c r="A492" s="2"/>
      <c r="B492" s="2"/>
      <c r="C492" s="3"/>
      <c r="D492" s="3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4"/>
      <c r="AA492" s="4"/>
      <c r="AB492" s="4"/>
      <c r="AC492" s="4"/>
      <c r="AD492" s="5"/>
      <c r="AE492" s="6"/>
      <c r="AF492" s="6"/>
      <c r="AG492" s="6"/>
      <c r="AH492" s="6"/>
    </row>
    <row r="493" spans="1:34" ht="12.75" customHeight="1" x14ac:dyDescent="0.3">
      <c r="A493" s="2"/>
      <c r="B493" s="2"/>
      <c r="C493" s="3"/>
      <c r="D493" s="3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4"/>
      <c r="AA493" s="4"/>
      <c r="AB493" s="4"/>
      <c r="AC493" s="4"/>
      <c r="AD493" s="5"/>
      <c r="AE493" s="6"/>
      <c r="AF493" s="6"/>
      <c r="AG493" s="6"/>
      <c r="AH493" s="6"/>
    </row>
    <row r="494" spans="1:34" ht="12.75" customHeight="1" x14ac:dyDescent="0.3">
      <c r="A494" s="2"/>
      <c r="B494" s="2"/>
      <c r="C494" s="3"/>
      <c r="D494" s="3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4"/>
      <c r="AA494" s="4"/>
      <c r="AB494" s="4"/>
      <c r="AC494" s="4"/>
      <c r="AD494" s="5"/>
      <c r="AE494" s="6"/>
      <c r="AF494" s="6"/>
      <c r="AG494" s="6"/>
      <c r="AH494" s="6"/>
    </row>
    <row r="495" spans="1:34" ht="12.75" customHeight="1" x14ac:dyDescent="0.3">
      <c r="A495" s="2"/>
      <c r="B495" s="2"/>
      <c r="C495" s="3"/>
      <c r="D495" s="3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4"/>
      <c r="AA495" s="4"/>
      <c r="AB495" s="4"/>
      <c r="AC495" s="4"/>
      <c r="AD495" s="5"/>
      <c r="AE495" s="6"/>
      <c r="AF495" s="6"/>
      <c r="AG495" s="6"/>
      <c r="AH495" s="6"/>
    </row>
    <row r="496" spans="1:34" ht="12.75" customHeight="1" x14ac:dyDescent="0.3">
      <c r="A496" s="2"/>
      <c r="B496" s="2"/>
      <c r="C496" s="3"/>
      <c r="D496" s="3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4"/>
      <c r="AA496" s="4"/>
      <c r="AB496" s="4"/>
      <c r="AC496" s="4"/>
      <c r="AD496" s="5"/>
      <c r="AE496" s="6"/>
      <c r="AF496" s="6"/>
      <c r="AG496" s="6"/>
      <c r="AH496" s="6"/>
    </row>
    <row r="497" spans="1:34" ht="12.75" customHeight="1" x14ac:dyDescent="0.3">
      <c r="A497" s="2"/>
      <c r="B497" s="2"/>
      <c r="C497" s="3"/>
      <c r="D497" s="3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4"/>
      <c r="AA497" s="4"/>
      <c r="AB497" s="4"/>
      <c r="AC497" s="4"/>
      <c r="AD497" s="5"/>
      <c r="AE497" s="6"/>
      <c r="AF497" s="6"/>
      <c r="AG497" s="6"/>
      <c r="AH497" s="6"/>
    </row>
    <row r="498" spans="1:34" ht="12.75" customHeight="1" x14ac:dyDescent="0.3">
      <c r="A498" s="2"/>
      <c r="B498" s="2"/>
      <c r="C498" s="3"/>
      <c r="D498" s="3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4"/>
      <c r="AA498" s="4"/>
      <c r="AB498" s="4"/>
      <c r="AC498" s="4"/>
      <c r="AD498" s="5"/>
      <c r="AE498" s="6"/>
      <c r="AF498" s="6"/>
      <c r="AG498" s="6"/>
      <c r="AH498" s="6"/>
    </row>
    <row r="499" spans="1:34" ht="12.75" customHeight="1" x14ac:dyDescent="0.3">
      <c r="A499" s="2"/>
      <c r="B499" s="2"/>
      <c r="C499" s="3"/>
      <c r="D499" s="3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4"/>
      <c r="AA499" s="4"/>
      <c r="AB499" s="4"/>
      <c r="AC499" s="4"/>
      <c r="AD499" s="5"/>
      <c r="AE499" s="6"/>
      <c r="AF499" s="6"/>
      <c r="AG499" s="6"/>
      <c r="AH499" s="6"/>
    </row>
    <row r="500" spans="1:34" ht="12.75" customHeight="1" x14ac:dyDescent="0.3">
      <c r="A500" s="2"/>
      <c r="B500" s="2"/>
      <c r="C500" s="3"/>
      <c r="D500" s="3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4"/>
      <c r="AA500" s="4"/>
      <c r="AB500" s="4"/>
      <c r="AC500" s="4"/>
      <c r="AD500" s="5"/>
      <c r="AE500" s="6"/>
      <c r="AF500" s="6"/>
      <c r="AG500" s="6"/>
      <c r="AH500" s="6"/>
    </row>
    <row r="501" spans="1:34" ht="12.75" customHeight="1" x14ac:dyDescent="0.3">
      <c r="A501" s="2"/>
      <c r="B501" s="2"/>
      <c r="C501" s="3"/>
      <c r="D501" s="3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4"/>
      <c r="AA501" s="4"/>
      <c r="AB501" s="4"/>
      <c r="AC501" s="4"/>
      <c r="AD501" s="5"/>
      <c r="AE501" s="6"/>
      <c r="AF501" s="6"/>
      <c r="AG501" s="6"/>
      <c r="AH501" s="6"/>
    </row>
    <row r="502" spans="1:34" ht="12.75" customHeight="1" x14ac:dyDescent="0.3">
      <c r="A502" s="2"/>
      <c r="B502" s="2"/>
      <c r="C502" s="3"/>
      <c r="D502" s="3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4"/>
      <c r="AA502" s="4"/>
      <c r="AB502" s="4"/>
      <c r="AC502" s="4"/>
      <c r="AD502" s="5"/>
      <c r="AE502" s="6"/>
      <c r="AF502" s="6"/>
      <c r="AG502" s="6"/>
      <c r="AH502" s="6"/>
    </row>
    <row r="503" spans="1:34" ht="12.75" customHeight="1" x14ac:dyDescent="0.3">
      <c r="A503" s="2"/>
      <c r="B503" s="2"/>
      <c r="C503" s="3"/>
      <c r="D503" s="3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4"/>
      <c r="AA503" s="4"/>
      <c r="AB503" s="4"/>
      <c r="AC503" s="4"/>
      <c r="AD503" s="5"/>
      <c r="AE503" s="6"/>
      <c r="AF503" s="6"/>
      <c r="AG503" s="6"/>
      <c r="AH503" s="6"/>
    </row>
    <row r="504" spans="1:34" ht="12.75" customHeight="1" x14ac:dyDescent="0.3">
      <c r="A504" s="2"/>
      <c r="B504" s="2"/>
      <c r="C504" s="3"/>
      <c r="D504" s="3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4"/>
      <c r="AA504" s="4"/>
      <c r="AB504" s="4"/>
      <c r="AC504" s="4"/>
      <c r="AD504" s="5"/>
      <c r="AE504" s="6"/>
      <c r="AF504" s="6"/>
      <c r="AG504" s="6"/>
      <c r="AH504" s="6"/>
    </row>
    <row r="505" spans="1:34" ht="12.75" customHeight="1" x14ac:dyDescent="0.3">
      <c r="A505" s="2"/>
      <c r="B505" s="2"/>
      <c r="C505" s="3"/>
      <c r="D505" s="3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4"/>
      <c r="AA505" s="4"/>
      <c r="AB505" s="4"/>
      <c r="AC505" s="4"/>
      <c r="AD505" s="5"/>
      <c r="AE505" s="6"/>
      <c r="AF505" s="6"/>
      <c r="AG505" s="6"/>
      <c r="AH505" s="6"/>
    </row>
    <row r="506" spans="1:34" ht="12.75" customHeight="1" x14ac:dyDescent="0.3">
      <c r="A506" s="2"/>
      <c r="B506" s="2"/>
      <c r="C506" s="3"/>
      <c r="D506" s="3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4"/>
      <c r="AA506" s="4"/>
      <c r="AB506" s="4"/>
      <c r="AC506" s="4"/>
      <c r="AD506" s="5"/>
      <c r="AE506" s="6"/>
      <c r="AF506" s="6"/>
      <c r="AG506" s="6"/>
      <c r="AH506" s="6"/>
    </row>
    <row r="507" spans="1:34" ht="12.75" customHeight="1" x14ac:dyDescent="0.3">
      <c r="A507" s="2"/>
      <c r="B507" s="2"/>
      <c r="C507" s="3"/>
      <c r="D507" s="3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4"/>
      <c r="AA507" s="4"/>
      <c r="AB507" s="4"/>
      <c r="AC507" s="4"/>
      <c r="AD507" s="5"/>
      <c r="AE507" s="6"/>
      <c r="AF507" s="6"/>
      <c r="AG507" s="6"/>
      <c r="AH507" s="6"/>
    </row>
    <row r="508" spans="1:34" ht="12.75" customHeight="1" x14ac:dyDescent="0.3">
      <c r="A508" s="2"/>
      <c r="B508" s="2"/>
      <c r="C508" s="3"/>
      <c r="D508" s="3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4"/>
      <c r="AA508" s="4"/>
      <c r="AB508" s="4"/>
      <c r="AC508" s="4"/>
      <c r="AD508" s="5"/>
      <c r="AE508" s="6"/>
      <c r="AF508" s="6"/>
      <c r="AG508" s="6"/>
      <c r="AH508" s="6"/>
    </row>
    <row r="509" spans="1:34" ht="12.75" customHeight="1" x14ac:dyDescent="0.3">
      <c r="A509" s="2"/>
      <c r="B509" s="2"/>
      <c r="C509" s="3"/>
      <c r="D509" s="3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4"/>
      <c r="AA509" s="4"/>
      <c r="AB509" s="4"/>
      <c r="AC509" s="4"/>
      <c r="AD509" s="5"/>
      <c r="AE509" s="6"/>
      <c r="AF509" s="6"/>
      <c r="AG509" s="6"/>
      <c r="AH509" s="6"/>
    </row>
    <row r="510" spans="1:34" ht="12.75" customHeight="1" x14ac:dyDescent="0.3">
      <c r="A510" s="2"/>
      <c r="B510" s="2"/>
      <c r="C510" s="3"/>
      <c r="D510" s="3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4"/>
      <c r="AA510" s="4"/>
      <c r="AB510" s="4"/>
      <c r="AC510" s="4"/>
      <c r="AD510" s="5"/>
      <c r="AE510" s="6"/>
      <c r="AF510" s="6"/>
      <c r="AG510" s="6"/>
      <c r="AH510" s="6"/>
    </row>
    <row r="511" spans="1:34" ht="12.75" customHeight="1" x14ac:dyDescent="0.3">
      <c r="A511" s="2"/>
      <c r="B511" s="2"/>
      <c r="C511" s="3"/>
      <c r="D511" s="3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4"/>
      <c r="AA511" s="4"/>
      <c r="AB511" s="4"/>
      <c r="AC511" s="4"/>
      <c r="AD511" s="5"/>
      <c r="AE511" s="6"/>
      <c r="AF511" s="6"/>
      <c r="AG511" s="6"/>
      <c r="AH511" s="6"/>
    </row>
    <row r="512" spans="1:34" ht="12.75" customHeight="1" x14ac:dyDescent="0.3">
      <c r="A512" s="2"/>
      <c r="B512" s="2"/>
      <c r="C512" s="3"/>
      <c r="D512" s="3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4"/>
      <c r="AA512" s="4"/>
      <c r="AB512" s="4"/>
      <c r="AC512" s="4"/>
      <c r="AD512" s="5"/>
      <c r="AE512" s="6"/>
      <c r="AF512" s="6"/>
      <c r="AG512" s="6"/>
      <c r="AH512" s="6"/>
    </row>
    <row r="513" spans="1:34" ht="12.75" customHeight="1" x14ac:dyDescent="0.3">
      <c r="A513" s="2"/>
      <c r="B513" s="2"/>
      <c r="C513" s="3"/>
      <c r="D513" s="3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4"/>
      <c r="AA513" s="4"/>
      <c r="AB513" s="4"/>
      <c r="AC513" s="4"/>
      <c r="AD513" s="5"/>
      <c r="AE513" s="6"/>
      <c r="AF513" s="6"/>
      <c r="AG513" s="6"/>
      <c r="AH513" s="6"/>
    </row>
    <row r="514" spans="1:34" ht="12.75" customHeight="1" x14ac:dyDescent="0.3">
      <c r="A514" s="2"/>
      <c r="B514" s="2"/>
      <c r="C514" s="3"/>
      <c r="D514" s="3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4"/>
      <c r="AA514" s="4"/>
      <c r="AB514" s="4"/>
      <c r="AC514" s="4"/>
      <c r="AD514" s="5"/>
      <c r="AE514" s="6"/>
      <c r="AF514" s="6"/>
      <c r="AG514" s="6"/>
      <c r="AH514" s="6"/>
    </row>
    <row r="515" spans="1:34" ht="12.75" customHeight="1" x14ac:dyDescent="0.3">
      <c r="A515" s="2"/>
      <c r="B515" s="2"/>
      <c r="C515" s="3"/>
      <c r="D515" s="3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4"/>
      <c r="AA515" s="4"/>
      <c r="AB515" s="4"/>
      <c r="AC515" s="4"/>
      <c r="AD515" s="5"/>
      <c r="AE515" s="6"/>
      <c r="AF515" s="6"/>
      <c r="AG515" s="6"/>
      <c r="AH515" s="6"/>
    </row>
    <row r="516" spans="1:34" ht="12.75" customHeight="1" x14ac:dyDescent="0.3">
      <c r="A516" s="2"/>
      <c r="B516" s="2"/>
      <c r="C516" s="3"/>
      <c r="D516" s="3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4"/>
      <c r="AA516" s="4"/>
      <c r="AB516" s="4"/>
      <c r="AC516" s="4"/>
      <c r="AD516" s="5"/>
      <c r="AE516" s="6"/>
      <c r="AF516" s="6"/>
      <c r="AG516" s="6"/>
      <c r="AH516" s="6"/>
    </row>
    <row r="517" spans="1:34" ht="12.75" customHeight="1" x14ac:dyDescent="0.3">
      <c r="A517" s="2"/>
      <c r="B517" s="2"/>
      <c r="C517" s="3"/>
      <c r="D517" s="3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4"/>
      <c r="AA517" s="4"/>
      <c r="AB517" s="4"/>
      <c r="AC517" s="4"/>
      <c r="AD517" s="5"/>
      <c r="AE517" s="6"/>
      <c r="AF517" s="6"/>
      <c r="AG517" s="6"/>
      <c r="AH517" s="6"/>
    </row>
    <row r="518" spans="1:34" ht="12.75" customHeight="1" x14ac:dyDescent="0.3">
      <c r="A518" s="2"/>
      <c r="B518" s="2"/>
      <c r="C518" s="3"/>
      <c r="D518" s="3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4"/>
      <c r="AA518" s="4"/>
      <c r="AB518" s="4"/>
      <c r="AC518" s="4"/>
      <c r="AD518" s="5"/>
      <c r="AE518" s="6"/>
      <c r="AF518" s="6"/>
      <c r="AG518" s="6"/>
      <c r="AH518" s="6"/>
    </row>
    <row r="519" spans="1:34" ht="12.75" customHeight="1" x14ac:dyDescent="0.3">
      <c r="A519" s="2"/>
      <c r="B519" s="2"/>
      <c r="C519" s="3"/>
      <c r="D519" s="3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4"/>
      <c r="AA519" s="4"/>
      <c r="AB519" s="4"/>
      <c r="AC519" s="4"/>
      <c r="AD519" s="5"/>
      <c r="AE519" s="6"/>
      <c r="AF519" s="6"/>
      <c r="AG519" s="6"/>
      <c r="AH519" s="6"/>
    </row>
    <row r="520" spans="1:34" ht="12.75" customHeight="1" x14ac:dyDescent="0.3">
      <c r="A520" s="2"/>
      <c r="B520" s="2"/>
      <c r="C520" s="3"/>
      <c r="D520" s="3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4"/>
      <c r="AA520" s="4"/>
      <c r="AB520" s="4"/>
      <c r="AC520" s="4"/>
      <c r="AD520" s="5"/>
      <c r="AE520" s="6"/>
      <c r="AF520" s="6"/>
      <c r="AG520" s="6"/>
      <c r="AH520" s="6"/>
    </row>
    <row r="521" spans="1:34" ht="12.75" customHeight="1" x14ac:dyDescent="0.3">
      <c r="A521" s="2"/>
      <c r="B521" s="2"/>
      <c r="C521" s="3"/>
      <c r="D521" s="3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4"/>
      <c r="AA521" s="4"/>
      <c r="AB521" s="4"/>
      <c r="AC521" s="4"/>
      <c r="AD521" s="5"/>
      <c r="AE521" s="6"/>
      <c r="AF521" s="6"/>
      <c r="AG521" s="6"/>
      <c r="AH521" s="6"/>
    </row>
    <row r="522" spans="1:34" ht="12.75" customHeight="1" x14ac:dyDescent="0.3">
      <c r="A522" s="2"/>
      <c r="B522" s="2"/>
      <c r="C522" s="3"/>
      <c r="D522" s="3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4"/>
      <c r="AA522" s="4"/>
      <c r="AB522" s="4"/>
      <c r="AC522" s="4"/>
      <c r="AD522" s="5"/>
      <c r="AE522" s="6"/>
      <c r="AF522" s="6"/>
      <c r="AG522" s="6"/>
      <c r="AH522" s="6"/>
    </row>
    <row r="523" spans="1:34" ht="12.75" customHeight="1" x14ac:dyDescent="0.3">
      <c r="A523" s="2"/>
      <c r="B523" s="2"/>
      <c r="C523" s="3"/>
      <c r="D523" s="3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4"/>
      <c r="AA523" s="4"/>
      <c r="AB523" s="4"/>
      <c r="AC523" s="4"/>
      <c r="AD523" s="5"/>
      <c r="AE523" s="6"/>
      <c r="AF523" s="6"/>
      <c r="AG523" s="6"/>
      <c r="AH523" s="6"/>
    </row>
    <row r="524" spans="1:34" ht="12.75" customHeight="1" x14ac:dyDescent="0.3">
      <c r="A524" s="2"/>
      <c r="B524" s="2"/>
      <c r="C524" s="3"/>
      <c r="D524" s="3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4"/>
      <c r="AA524" s="4"/>
      <c r="AB524" s="4"/>
      <c r="AC524" s="4"/>
      <c r="AD524" s="5"/>
      <c r="AE524" s="6"/>
      <c r="AF524" s="6"/>
      <c r="AG524" s="6"/>
      <c r="AH524" s="6"/>
    </row>
    <row r="525" spans="1:34" ht="12.75" customHeight="1" x14ac:dyDescent="0.3">
      <c r="A525" s="2"/>
      <c r="B525" s="2"/>
      <c r="C525" s="3"/>
      <c r="D525" s="3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4"/>
      <c r="AA525" s="4"/>
      <c r="AB525" s="4"/>
      <c r="AC525" s="4"/>
      <c r="AD525" s="5"/>
      <c r="AE525" s="6"/>
      <c r="AF525" s="6"/>
      <c r="AG525" s="6"/>
      <c r="AH525" s="6"/>
    </row>
    <row r="526" spans="1:34" ht="12.75" customHeight="1" x14ac:dyDescent="0.3">
      <c r="A526" s="2"/>
      <c r="B526" s="2"/>
      <c r="C526" s="3"/>
      <c r="D526" s="3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4"/>
      <c r="AA526" s="4"/>
      <c r="AB526" s="4"/>
      <c r="AC526" s="4"/>
      <c r="AD526" s="5"/>
      <c r="AE526" s="6"/>
      <c r="AF526" s="6"/>
      <c r="AG526" s="6"/>
      <c r="AH526" s="6"/>
    </row>
    <row r="527" spans="1:34" ht="12.75" customHeight="1" x14ac:dyDescent="0.3">
      <c r="A527" s="2"/>
      <c r="B527" s="2"/>
      <c r="C527" s="3"/>
      <c r="D527" s="3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4"/>
      <c r="AA527" s="4"/>
      <c r="AB527" s="4"/>
      <c r="AC527" s="4"/>
      <c r="AD527" s="5"/>
      <c r="AE527" s="6"/>
      <c r="AF527" s="6"/>
      <c r="AG527" s="6"/>
      <c r="AH527" s="6"/>
    </row>
    <row r="528" spans="1:34" ht="12.75" customHeight="1" x14ac:dyDescent="0.3">
      <c r="A528" s="2"/>
      <c r="B528" s="2"/>
      <c r="C528" s="3"/>
      <c r="D528" s="3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4"/>
      <c r="AA528" s="4"/>
      <c r="AB528" s="4"/>
      <c r="AC528" s="4"/>
      <c r="AD528" s="5"/>
      <c r="AE528" s="6"/>
      <c r="AF528" s="6"/>
      <c r="AG528" s="6"/>
      <c r="AH528" s="6"/>
    </row>
    <row r="529" spans="1:34" ht="12.75" customHeight="1" x14ac:dyDescent="0.3">
      <c r="A529" s="2"/>
      <c r="B529" s="2"/>
      <c r="C529" s="3"/>
      <c r="D529" s="3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4"/>
      <c r="AA529" s="4"/>
      <c r="AB529" s="4"/>
      <c r="AC529" s="4"/>
      <c r="AD529" s="5"/>
      <c r="AE529" s="6"/>
      <c r="AF529" s="6"/>
      <c r="AG529" s="6"/>
      <c r="AH529" s="6"/>
    </row>
    <row r="530" spans="1:34" ht="12.75" customHeight="1" x14ac:dyDescent="0.3">
      <c r="A530" s="2"/>
      <c r="B530" s="2"/>
      <c r="C530" s="3"/>
      <c r="D530" s="3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4"/>
      <c r="AA530" s="4"/>
      <c r="AB530" s="4"/>
      <c r="AC530" s="4"/>
      <c r="AD530" s="5"/>
      <c r="AE530" s="6"/>
      <c r="AF530" s="6"/>
      <c r="AG530" s="6"/>
      <c r="AH530" s="6"/>
    </row>
    <row r="531" spans="1:34" ht="12.75" customHeight="1" x14ac:dyDescent="0.3">
      <c r="A531" s="2"/>
      <c r="B531" s="2"/>
      <c r="C531" s="3"/>
      <c r="D531" s="3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4"/>
      <c r="AA531" s="4"/>
      <c r="AB531" s="4"/>
      <c r="AC531" s="4"/>
      <c r="AD531" s="5"/>
      <c r="AE531" s="6"/>
      <c r="AF531" s="6"/>
      <c r="AG531" s="6"/>
      <c r="AH531" s="6"/>
    </row>
    <row r="532" spans="1:34" ht="12.75" customHeight="1" x14ac:dyDescent="0.3">
      <c r="A532" s="2"/>
      <c r="B532" s="2"/>
      <c r="C532" s="3"/>
      <c r="D532" s="3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4"/>
      <c r="AA532" s="4"/>
      <c r="AB532" s="4"/>
      <c r="AC532" s="4"/>
      <c r="AD532" s="5"/>
      <c r="AE532" s="6"/>
      <c r="AF532" s="6"/>
      <c r="AG532" s="6"/>
      <c r="AH532" s="6"/>
    </row>
    <row r="533" spans="1:34" ht="12.75" customHeight="1" x14ac:dyDescent="0.3">
      <c r="A533" s="2"/>
      <c r="B533" s="2"/>
      <c r="C533" s="3"/>
      <c r="D533" s="3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4"/>
      <c r="AA533" s="4"/>
      <c r="AB533" s="4"/>
      <c r="AC533" s="4"/>
      <c r="AD533" s="5"/>
      <c r="AE533" s="6"/>
      <c r="AF533" s="6"/>
      <c r="AG533" s="6"/>
      <c r="AH533" s="6"/>
    </row>
    <row r="534" spans="1:34" ht="12.75" customHeight="1" x14ac:dyDescent="0.3">
      <c r="A534" s="2"/>
      <c r="B534" s="2"/>
      <c r="C534" s="3"/>
      <c r="D534" s="3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4"/>
      <c r="AA534" s="4"/>
      <c r="AB534" s="4"/>
      <c r="AC534" s="4"/>
      <c r="AD534" s="5"/>
      <c r="AE534" s="6"/>
      <c r="AF534" s="6"/>
      <c r="AG534" s="6"/>
      <c r="AH534" s="6"/>
    </row>
    <row r="535" spans="1:34" ht="12.75" customHeight="1" x14ac:dyDescent="0.3">
      <c r="A535" s="2"/>
      <c r="B535" s="2"/>
      <c r="C535" s="3"/>
      <c r="D535" s="3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4"/>
      <c r="AA535" s="4"/>
      <c r="AB535" s="4"/>
      <c r="AC535" s="4"/>
      <c r="AD535" s="5"/>
      <c r="AE535" s="6"/>
      <c r="AF535" s="6"/>
      <c r="AG535" s="6"/>
      <c r="AH535" s="6"/>
    </row>
    <row r="536" spans="1:34" ht="12.75" customHeight="1" x14ac:dyDescent="0.3">
      <c r="A536" s="2"/>
      <c r="B536" s="2"/>
      <c r="C536" s="3"/>
      <c r="D536" s="3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4"/>
      <c r="AA536" s="4"/>
      <c r="AB536" s="4"/>
      <c r="AC536" s="4"/>
      <c r="AD536" s="5"/>
      <c r="AE536" s="6"/>
      <c r="AF536" s="6"/>
      <c r="AG536" s="6"/>
      <c r="AH536" s="6"/>
    </row>
    <row r="537" spans="1:34" ht="12.75" customHeight="1" x14ac:dyDescent="0.3">
      <c r="A537" s="2"/>
      <c r="B537" s="2"/>
      <c r="C537" s="3"/>
      <c r="D537" s="3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4"/>
      <c r="AA537" s="4"/>
      <c r="AB537" s="4"/>
      <c r="AC537" s="4"/>
      <c r="AD537" s="5"/>
      <c r="AE537" s="6"/>
      <c r="AF537" s="6"/>
      <c r="AG537" s="6"/>
      <c r="AH537" s="6"/>
    </row>
    <row r="538" spans="1:34" ht="12.75" customHeight="1" x14ac:dyDescent="0.3">
      <c r="A538" s="2"/>
      <c r="B538" s="2"/>
      <c r="C538" s="3"/>
      <c r="D538" s="3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4"/>
      <c r="AA538" s="4"/>
      <c r="AB538" s="4"/>
      <c r="AC538" s="4"/>
      <c r="AD538" s="5"/>
      <c r="AE538" s="6"/>
      <c r="AF538" s="6"/>
      <c r="AG538" s="6"/>
      <c r="AH538" s="6"/>
    </row>
    <row r="539" spans="1:34" ht="12.75" customHeight="1" x14ac:dyDescent="0.3">
      <c r="A539" s="2"/>
      <c r="B539" s="2"/>
      <c r="C539" s="3"/>
      <c r="D539" s="3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4"/>
      <c r="AA539" s="4"/>
      <c r="AB539" s="4"/>
      <c r="AC539" s="4"/>
      <c r="AD539" s="5"/>
      <c r="AE539" s="6"/>
      <c r="AF539" s="6"/>
      <c r="AG539" s="6"/>
      <c r="AH539" s="6"/>
    </row>
    <row r="540" spans="1:34" ht="12.75" customHeight="1" x14ac:dyDescent="0.3">
      <c r="A540" s="2"/>
      <c r="B540" s="2"/>
      <c r="C540" s="3"/>
      <c r="D540" s="3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4"/>
      <c r="AA540" s="4"/>
      <c r="AB540" s="4"/>
      <c r="AC540" s="4"/>
      <c r="AD540" s="5"/>
      <c r="AE540" s="6"/>
      <c r="AF540" s="6"/>
      <c r="AG540" s="6"/>
      <c r="AH540" s="6"/>
    </row>
    <row r="541" spans="1:34" ht="12.75" customHeight="1" x14ac:dyDescent="0.3">
      <c r="A541" s="2"/>
      <c r="B541" s="2"/>
      <c r="C541" s="3"/>
      <c r="D541" s="3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4"/>
      <c r="AA541" s="4"/>
      <c r="AB541" s="4"/>
      <c r="AC541" s="4"/>
      <c r="AD541" s="5"/>
      <c r="AE541" s="6"/>
      <c r="AF541" s="6"/>
      <c r="AG541" s="6"/>
      <c r="AH541" s="6"/>
    </row>
    <row r="542" spans="1:34" ht="12.75" customHeight="1" x14ac:dyDescent="0.3">
      <c r="A542" s="2"/>
      <c r="B542" s="2"/>
      <c r="C542" s="3"/>
      <c r="D542" s="3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4"/>
      <c r="AA542" s="4"/>
      <c r="AB542" s="4"/>
      <c r="AC542" s="4"/>
      <c r="AD542" s="5"/>
      <c r="AE542" s="6"/>
      <c r="AF542" s="6"/>
      <c r="AG542" s="6"/>
      <c r="AH542" s="6"/>
    </row>
    <row r="543" spans="1:34" ht="12.75" customHeight="1" x14ac:dyDescent="0.3">
      <c r="A543" s="2"/>
      <c r="B543" s="2"/>
      <c r="C543" s="3"/>
      <c r="D543" s="3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4"/>
      <c r="AA543" s="4"/>
      <c r="AB543" s="4"/>
      <c r="AC543" s="4"/>
      <c r="AD543" s="5"/>
      <c r="AE543" s="6"/>
      <c r="AF543" s="6"/>
      <c r="AG543" s="6"/>
      <c r="AH543" s="6"/>
    </row>
    <row r="544" spans="1:34" ht="12.75" customHeight="1" x14ac:dyDescent="0.3">
      <c r="A544" s="2"/>
      <c r="B544" s="2"/>
      <c r="C544" s="3"/>
      <c r="D544" s="3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4"/>
      <c r="AA544" s="4"/>
      <c r="AB544" s="4"/>
      <c r="AC544" s="4"/>
      <c r="AD544" s="5"/>
      <c r="AE544" s="6"/>
      <c r="AF544" s="6"/>
      <c r="AG544" s="6"/>
      <c r="AH544" s="6"/>
    </row>
    <row r="545" spans="1:34" ht="12.75" customHeight="1" x14ac:dyDescent="0.3">
      <c r="A545" s="2"/>
      <c r="B545" s="2"/>
      <c r="C545" s="3"/>
      <c r="D545" s="3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4"/>
      <c r="AA545" s="4"/>
      <c r="AB545" s="4"/>
      <c r="AC545" s="4"/>
      <c r="AD545" s="5"/>
      <c r="AE545" s="6"/>
      <c r="AF545" s="6"/>
      <c r="AG545" s="6"/>
      <c r="AH545" s="6"/>
    </row>
    <row r="546" spans="1:34" ht="12.75" customHeight="1" x14ac:dyDescent="0.3">
      <c r="A546" s="2"/>
      <c r="B546" s="2"/>
      <c r="C546" s="3"/>
      <c r="D546" s="3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4"/>
      <c r="AA546" s="4"/>
      <c r="AB546" s="4"/>
      <c r="AC546" s="4"/>
      <c r="AD546" s="5"/>
      <c r="AE546" s="6"/>
      <c r="AF546" s="6"/>
      <c r="AG546" s="6"/>
      <c r="AH546" s="6"/>
    </row>
    <row r="547" spans="1:34" ht="12.75" customHeight="1" x14ac:dyDescent="0.3">
      <c r="A547" s="2"/>
      <c r="B547" s="2"/>
      <c r="C547" s="3"/>
      <c r="D547" s="3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4"/>
      <c r="AA547" s="4"/>
      <c r="AB547" s="4"/>
      <c r="AC547" s="4"/>
      <c r="AD547" s="5"/>
      <c r="AE547" s="6"/>
      <c r="AF547" s="6"/>
      <c r="AG547" s="6"/>
      <c r="AH547" s="6"/>
    </row>
    <row r="548" spans="1:34" ht="12.75" customHeight="1" x14ac:dyDescent="0.3">
      <c r="A548" s="2"/>
      <c r="B548" s="2"/>
      <c r="C548" s="3"/>
      <c r="D548" s="3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4"/>
      <c r="AA548" s="4"/>
      <c r="AB548" s="4"/>
      <c r="AC548" s="4"/>
      <c r="AD548" s="5"/>
      <c r="AE548" s="6"/>
      <c r="AF548" s="6"/>
      <c r="AG548" s="6"/>
      <c r="AH548" s="6"/>
    </row>
    <row r="549" spans="1:34" ht="12.75" customHeight="1" x14ac:dyDescent="0.3">
      <c r="A549" s="2"/>
      <c r="B549" s="2"/>
      <c r="C549" s="3"/>
      <c r="D549" s="3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4"/>
      <c r="AA549" s="4"/>
      <c r="AB549" s="4"/>
      <c r="AC549" s="4"/>
      <c r="AD549" s="5"/>
      <c r="AE549" s="6"/>
      <c r="AF549" s="6"/>
      <c r="AG549" s="6"/>
      <c r="AH549" s="6"/>
    </row>
    <row r="550" spans="1:34" ht="12.75" customHeight="1" x14ac:dyDescent="0.3">
      <c r="A550" s="2"/>
      <c r="B550" s="2"/>
      <c r="C550" s="3"/>
      <c r="D550" s="3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4"/>
      <c r="AA550" s="4"/>
      <c r="AB550" s="4"/>
      <c r="AC550" s="4"/>
      <c r="AD550" s="5"/>
      <c r="AE550" s="6"/>
      <c r="AF550" s="6"/>
      <c r="AG550" s="6"/>
      <c r="AH550" s="6"/>
    </row>
    <row r="551" spans="1:34" ht="12.75" customHeight="1" x14ac:dyDescent="0.3">
      <c r="A551" s="2"/>
      <c r="B551" s="2"/>
      <c r="C551" s="3"/>
      <c r="D551" s="3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4"/>
      <c r="AA551" s="4"/>
      <c r="AB551" s="4"/>
      <c r="AC551" s="4"/>
      <c r="AD551" s="5"/>
      <c r="AE551" s="6"/>
      <c r="AF551" s="6"/>
      <c r="AG551" s="6"/>
      <c r="AH551" s="6"/>
    </row>
    <row r="552" spans="1:34" ht="12.75" customHeight="1" x14ac:dyDescent="0.3">
      <c r="A552" s="2"/>
      <c r="B552" s="2"/>
      <c r="C552" s="3"/>
      <c r="D552" s="3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4"/>
      <c r="AA552" s="4"/>
      <c r="AB552" s="4"/>
      <c r="AC552" s="4"/>
      <c r="AD552" s="5"/>
      <c r="AE552" s="6"/>
      <c r="AF552" s="6"/>
      <c r="AG552" s="6"/>
      <c r="AH552" s="6"/>
    </row>
    <row r="553" spans="1:34" ht="12.75" customHeight="1" x14ac:dyDescent="0.3">
      <c r="A553" s="2"/>
      <c r="B553" s="2"/>
      <c r="C553" s="3"/>
      <c r="D553" s="3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4"/>
      <c r="AA553" s="4"/>
      <c r="AB553" s="4"/>
      <c r="AC553" s="4"/>
      <c r="AD553" s="5"/>
      <c r="AE553" s="6"/>
      <c r="AF553" s="6"/>
      <c r="AG553" s="6"/>
      <c r="AH553" s="6"/>
    </row>
    <row r="554" spans="1:34" ht="12.75" customHeight="1" x14ac:dyDescent="0.3">
      <c r="A554" s="2"/>
      <c r="B554" s="2"/>
      <c r="C554" s="3"/>
      <c r="D554" s="3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4"/>
      <c r="AA554" s="4"/>
      <c r="AB554" s="4"/>
      <c r="AC554" s="4"/>
      <c r="AD554" s="5"/>
      <c r="AE554" s="6"/>
      <c r="AF554" s="6"/>
      <c r="AG554" s="6"/>
      <c r="AH554" s="6"/>
    </row>
    <row r="555" spans="1:34" ht="12.75" customHeight="1" x14ac:dyDescent="0.3">
      <c r="A555" s="2"/>
      <c r="B555" s="2"/>
      <c r="C555" s="3"/>
      <c r="D555" s="3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4"/>
      <c r="AA555" s="4"/>
      <c r="AB555" s="4"/>
      <c r="AC555" s="4"/>
      <c r="AD555" s="5"/>
      <c r="AE555" s="6"/>
      <c r="AF555" s="6"/>
      <c r="AG555" s="6"/>
      <c r="AH555" s="6"/>
    </row>
    <row r="556" spans="1:34" ht="12.75" customHeight="1" x14ac:dyDescent="0.3">
      <c r="A556" s="2"/>
      <c r="B556" s="2"/>
      <c r="C556" s="3"/>
      <c r="D556" s="3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4"/>
      <c r="AA556" s="4"/>
      <c r="AB556" s="4"/>
      <c r="AC556" s="4"/>
      <c r="AD556" s="5"/>
      <c r="AE556" s="6"/>
      <c r="AF556" s="6"/>
      <c r="AG556" s="6"/>
      <c r="AH556" s="6"/>
    </row>
    <row r="557" spans="1:34" ht="12.75" customHeight="1" x14ac:dyDescent="0.3">
      <c r="A557" s="2"/>
      <c r="B557" s="2"/>
      <c r="C557" s="3"/>
      <c r="D557" s="3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4"/>
      <c r="AA557" s="4"/>
      <c r="AB557" s="4"/>
      <c r="AC557" s="4"/>
      <c r="AD557" s="5"/>
      <c r="AE557" s="6"/>
      <c r="AF557" s="6"/>
      <c r="AG557" s="6"/>
      <c r="AH557" s="6"/>
    </row>
    <row r="558" spans="1:34" ht="12.75" customHeight="1" x14ac:dyDescent="0.3">
      <c r="A558" s="2"/>
      <c r="B558" s="2"/>
      <c r="C558" s="3"/>
      <c r="D558" s="3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4"/>
      <c r="AA558" s="4"/>
      <c r="AB558" s="4"/>
      <c r="AC558" s="4"/>
      <c r="AD558" s="5"/>
      <c r="AE558" s="6"/>
      <c r="AF558" s="6"/>
      <c r="AG558" s="6"/>
      <c r="AH558" s="6"/>
    </row>
    <row r="559" spans="1:34" ht="12.75" customHeight="1" x14ac:dyDescent="0.3">
      <c r="A559" s="2"/>
      <c r="B559" s="2"/>
      <c r="C559" s="3"/>
      <c r="D559" s="3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4"/>
      <c r="AA559" s="4"/>
      <c r="AB559" s="4"/>
      <c r="AC559" s="4"/>
      <c r="AD559" s="5"/>
      <c r="AE559" s="6"/>
      <c r="AF559" s="6"/>
      <c r="AG559" s="6"/>
      <c r="AH559" s="6"/>
    </row>
    <row r="560" spans="1:34" ht="12.75" customHeight="1" x14ac:dyDescent="0.3">
      <c r="A560" s="2"/>
      <c r="B560" s="2"/>
      <c r="C560" s="3"/>
      <c r="D560" s="3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4"/>
      <c r="AA560" s="4"/>
      <c r="AB560" s="4"/>
      <c r="AC560" s="4"/>
      <c r="AD560" s="5"/>
      <c r="AE560" s="6"/>
      <c r="AF560" s="6"/>
      <c r="AG560" s="6"/>
      <c r="AH560" s="6"/>
    </row>
    <row r="561" spans="1:34" ht="12.75" customHeight="1" x14ac:dyDescent="0.3">
      <c r="A561" s="2"/>
      <c r="B561" s="2"/>
      <c r="C561" s="3"/>
      <c r="D561" s="3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4"/>
      <c r="AA561" s="4"/>
      <c r="AB561" s="4"/>
      <c r="AC561" s="4"/>
      <c r="AD561" s="5"/>
      <c r="AE561" s="6"/>
      <c r="AF561" s="6"/>
      <c r="AG561" s="6"/>
      <c r="AH561" s="6"/>
    </row>
    <row r="562" spans="1:34" ht="12.75" customHeight="1" x14ac:dyDescent="0.3">
      <c r="A562" s="2"/>
      <c r="B562" s="2"/>
      <c r="C562" s="3"/>
      <c r="D562" s="3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4"/>
      <c r="AA562" s="4"/>
      <c r="AB562" s="4"/>
      <c r="AC562" s="4"/>
      <c r="AD562" s="5"/>
      <c r="AE562" s="6"/>
      <c r="AF562" s="6"/>
      <c r="AG562" s="6"/>
      <c r="AH562" s="6"/>
    </row>
    <row r="563" spans="1:34" ht="12.75" customHeight="1" x14ac:dyDescent="0.3">
      <c r="A563" s="2"/>
      <c r="B563" s="2"/>
      <c r="C563" s="3"/>
      <c r="D563" s="3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4"/>
      <c r="AA563" s="4"/>
      <c r="AB563" s="4"/>
      <c r="AC563" s="4"/>
      <c r="AD563" s="5"/>
      <c r="AE563" s="6"/>
      <c r="AF563" s="6"/>
      <c r="AG563" s="6"/>
      <c r="AH563" s="6"/>
    </row>
    <row r="564" spans="1:34" ht="12.75" customHeight="1" x14ac:dyDescent="0.3">
      <c r="A564" s="2"/>
      <c r="B564" s="2"/>
      <c r="C564" s="3"/>
      <c r="D564" s="3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4"/>
      <c r="AA564" s="4"/>
      <c r="AB564" s="4"/>
      <c r="AC564" s="4"/>
      <c r="AD564" s="5"/>
      <c r="AE564" s="6"/>
      <c r="AF564" s="6"/>
      <c r="AG564" s="6"/>
      <c r="AH564" s="6"/>
    </row>
    <row r="565" spans="1:34" ht="12.75" customHeight="1" x14ac:dyDescent="0.3">
      <c r="A565" s="2"/>
      <c r="B565" s="2"/>
      <c r="C565" s="3"/>
      <c r="D565" s="3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4"/>
      <c r="AA565" s="4"/>
      <c r="AB565" s="4"/>
      <c r="AC565" s="4"/>
      <c r="AD565" s="5"/>
      <c r="AE565" s="6"/>
      <c r="AF565" s="6"/>
      <c r="AG565" s="6"/>
      <c r="AH565" s="6"/>
    </row>
    <row r="566" spans="1:34" ht="12.75" customHeight="1" x14ac:dyDescent="0.3">
      <c r="A566" s="2"/>
      <c r="B566" s="2"/>
      <c r="C566" s="3"/>
      <c r="D566" s="3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4"/>
      <c r="AA566" s="4"/>
      <c r="AB566" s="4"/>
      <c r="AC566" s="4"/>
      <c r="AD566" s="5"/>
      <c r="AE566" s="6"/>
      <c r="AF566" s="6"/>
      <c r="AG566" s="6"/>
      <c r="AH566" s="6"/>
    </row>
    <row r="567" spans="1:34" ht="12.75" customHeight="1" x14ac:dyDescent="0.3">
      <c r="A567" s="2"/>
      <c r="B567" s="2"/>
      <c r="C567" s="3"/>
      <c r="D567" s="3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4"/>
      <c r="AA567" s="4"/>
      <c r="AB567" s="4"/>
      <c r="AC567" s="4"/>
      <c r="AD567" s="5"/>
      <c r="AE567" s="6"/>
      <c r="AF567" s="6"/>
      <c r="AG567" s="6"/>
      <c r="AH567" s="6"/>
    </row>
    <row r="568" spans="1:34" ht="12.75" customHeight="1" x14ac:dyDescent="0.3">
      <c r="A568" s="2"/>
      <c r="B568" s="2"/>
      <c r="C568" s="3"/>
      <c r="D568" s="3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4"/>
      <c r="AA568" s="4"/>
      <c r="AB568" s="4"/>
      <c r="AC568" s="4"/>
      <c r="AD568" s="5"/>
      <c r="AE568" s="6"/>
      <c r="AF568" s="6"/>
      <c r="AG568" s="6"/>
      <c r="AH568" s="6"/>
    </row>
    <row r="569" spans="1:34" ht="12.75" customHeight="1" x14ac:dyDescent="0.3">
      <c r="A569" s="2"/>
      <c r="B569" s="2"/>
      <c r="C569" s="3"/>
      <c r="D569" s="3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4"/>
      <c r="AA569" s="4"/>
      <c r="AB569" s="4"/>
      <c r="AC569" s="4"/>
      <c r="AD569" s="5"/>
      <c r="AE569" s="6"/>
      <c r="AF569" s="6"/>
      <c r="AG569" s="6"/>
      <c r="AH569" s="6"/>
    </row>
    <row r="570" spans="1:34" ht="12.75" customHeight="1" x14ac:dyDescent="0.3">
      <c r="A570" s="2"/>
      <c r="B570" s="2"/>
      <c r="C570" s="3"/>
      <c r="D570" s="3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4"/>
      <c r="AA570" s="4"/>
      <c r="AB570" s="4"/>
      <c r="AC570" s="4"/>
      <c r="AD570" s="5"/>
      <c r="AE570" s="6"/>
      <c r="AF570" s="6"/>
      <c r="AG570" s="6"/>
      <c r="AH570" s="6"/>
    </row>
    <row r="571" spans="1:34" ht="12.75" customHeight="1" x14ac:dyDescent="0.3">
      <c r="A571" s="2"/>
      <c r="B571" s="2"/>
      <c r="C571" s="3"/>
      <c r="D571" s="3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4"/>
      <c r="AA571" s="4"/>
      <c r="AB571" s="4"/>
      <c r="AC571" s="4"/>
      <c r="AD571" s="5"/>
      <c r="AE571" s="6"/>
      <c r="AF571" s="6"/>
      <c r="AG571" s="6"/>
      <c r="AH571" s="6"/>
    </row>
    <row r="572" spans="1:34" ht="12.75" customHeight="1" x14ac:dyDescent="0.3">
      <c r="A572" s="2"/>
      <c r="B572" s="2"/>
      <c r="C572" s="3"/>
      <c r="D572" s="3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4"/>
      <c r="AA572" s="4"/>
      <c r="AB572" s="4"/>
      <c r="AC572" s="4"/>
      <c r="AD572" s="5"/>
      <c r="AE572" s="6"/>
      <c r="AF572" s="6"/>
      <c r="AG572" s="6"/>
      <c r="AH572" s="6"/>
    </row>
    <row r="573" spans="1:34" ht="12.75" customHeight="1" x14ac:dyDescent="0.3">
      <c r="A573" s="2"/>
      <c r="B573" s="2"/>
      <c r="C573" s="3"/>
      <c r="D573" s="3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4"/>
      <c r="AA573" s="4"/>
      <c r="AB573" s="4"/>
      <c r="AC573" s="4"/>
      <c r="AD573" s="5"/>
      <c r="AE573" s="6"/>
      <c r="AF573" s="6"/>
      <c r="AG573" s="6"/>
      <c r="AH573" s="6"/>
    </row>
    <row r="574" spans="1:34" ht="12.75" customHeight="1" x14ac:dyDescent="0.3">
      <c r="A574" s="2"/>
      <c r="B574" s="2"/>
      <c r="C574" s="3"/>
      <c r="D574" s="3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4"/>
      <c r="AA574" s="4"/>
      <c r="AB574" s="4"/>
      <c r="AC574" s="4"/>
      <c r="AD574" s="5"/>
      <c r="AE574" s="6"/>
      <c r="AF574" s="6"/>
      <c r="AG574" s="6"/>
      <c r="AH574" s="6"/>
    </row>
    <row r="575" spans="1:34" ht="12.75" customHeight="1" x14ac:dyDescent="0.3">
      <c r="A575" s="2"/>
      <c r="B575" s="2"/>
      <c r="C575" s="3"/>
      <c r="D575" s="3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4"/>
      <c r="AA575" s="4"/>
      <c r="AB575" s="4"/>
      <c r="AC575" s="4"/>
      <c r="AD575" s="5"/>
      <c r="AE575" s="6"/>
      <c r="AF575" s="6"/>
      <c r="AG575" s="6"/>
      <c r="AH575" s="6"/>
    </row>
    <row r="576" spans="1:34" ht="12.75" customHeight="1" x14ac:dyDescent="0.3">
      <c r="A576" s="2"/>
      <c r="B576" s="2"/>
      <c r="C576" s="3"/>
      <c r="D576" s="3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4"/>
      <c r="AA576" s="4"/>
      <c r="AB576" s="4"/>
      <c r="AC576" s="4"/>
      <c r="AD576" s="5"/>
      <c r="AE576" s="6"/>
      <c r="AF576" s="6"/>
      <c r="AG576" s="6"/>
      <c r="AH576" s="6"/>
    </row>
    <row r="577" spans="1:34" ht="12.75" customHeight="1" x14ac:dyDescent="0.3">
      <c r="A577" s="2"/>
      <c r="B577" s="2"/>
      <c r="C577" s="3"/>
      <c r="D577" s="3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4"/>
      <c r="AA577" s="4"/>
      <c r="AB577" s="4"/>
      <c r="AC577" s="4"/>
      <c r="AD577" s="5"/>
      <c r="AE577" s="6"/>
      <c r="AF577" s="6"/>
      <c r="AG577" s="6"/>
      <c r="AH577" s="6"/>
    </row>
    <row r="578" spans="1:34" ht="12.75" customHeight="1" x14ac:dyDescent="0.3">
      <c r="A578" s="2"/>
      <c r="B578" s="2"/>
      <c r="C578" s="3"/>
      <c r="D578" s="3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4"/>
      <c r="AA578" s="4"/>
      <c r="AB578" s="4"/>
      <c r="AC578" s="4"/>
      <c r="AD578" s="5"/>
      <c r="AE578" s="6"/>
      <c r="AF578" s="6"/>
      <c r="AG578" s="6"/>
      <c r="AH578" s="6"/>
    </row>
    <row r="579" spans="1:34" ht="12.75" customHeight="1" x14ac:dyDescent="0.3">
      <c r="A579" s="2"/>
      <c r="B579" s="2"/>
      <c r="C579" s="3"/>
      <c r="D579" s="3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4"/>
      <c r="AA579" s="4"/>
      <c r="AB579" s="4"/>
      <c r="AC579" s="4"/>
      <c r="AD579" s="5"/>
      <c r="AE579" s="6"/>
      <c r="AF579" s="6"/>
      <c r="AG579" s="6"/>
      <c r="AH579" s="6"/>
    </row>
    <row r="580" spans="1:34" ht="12.75" customHeight="1" x14ac:dyDescent="0.3">
      <c r="A580" s="2"/>
      <c r="B580" s="2"/>
      <c r="C580" s="3"/>
      <c r="D580" s="3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4"/>
      <c r="AA580" s="4"/>
      <c r="AB580" s="4"/>
      <c r="AC580" s="4"/>
      <c r="AD580" s="5"/>
      <c r="AE580" s="6"/>
      <c r="AF580" s="6"/>
      <c r="AG580" s="6"/>
      <c r="AH580" s="6"/>
    </row>
    <row r="581" spans="1:34" ht="12.75" customHeight="1" x14ac:dyDescent="0.3">
      <c r="A581" s="2"/>
      <c r="B581" s="2"/>
      <c r="C581" s="3"/>
      <c r="D581" s="3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4"/>
      <c r="AA581" s="4"/>
      <c r="AB581" s="4"/>
      <c r="AC581" s="4"/>
      <c r="AD581" s="5"/>
      <c r="AE581" s="6"/>
      <c r="AF581" s="6"/>
      <c r="AG581" s="6"/>
      <c r="AH581" s="6"/>
    </row>
    <row r="582" spans="1:34" ht="12.75" customHeight="1" x14ac:dyDescent="0.3">
      <c r="A582" s="2"/>
      <c r="B582" s="2"/>
      <c r="C582" s="3"/>
      <c r="D582" s="3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4"/>
      <c r="AA582" s="4"/>
      <c r="AB582" s="4"/>
      <c r="AC582" s="4"/>
      <c r="AD582" s="5"/>
      <c r="AE582" s="6"/>
      <c r="AF582" s="6"/>
      <c r="AG582" s="6"/>
      <c r="AH582" s="6"/>
    </row>
    <row r="583" spans="1:34" ht="12.75" customHeight="1" x14ac:dyDescent="0.3">
      <c r="A583" s="2"/>
      <c r="B583" s="2"/>
      <c r="C583" s="3"/>
      <c r="D583" s="3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4"/>
      <c r="AA583" s="4"/>
      <c r="AB583" s="4"/>
      <c r="AC583" s="4"/>
      <c r="AD583" s="5"/>
      <c r="AE583" s="6"/>
      <c r="AF583" s="6"/>
      <c r="AG583" s="6"/>
      <c r="AH583" s="6"/>
    </row>
    <row r="584" spans="1:34" ht="12.75" customHeight="1" x14ac:dyDescent="0.3">
      <c r="A584" s="2"/>
      <c r="B584" s="2"/>
      <c r="C584" s="3"/>
      <c r="D584" s="3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4"/>
      <c r="AA584" s="4"/>
      <c r="AB584" s="4"/>
      <c r="AC584" s="4"/>
      <c r="AD584" s="5"/>
      <c r="AE584" s="6"/>
      <c r="AF584" s="6"/>
      <c r="AG584" s="6"/>
      <c r="AH584" s="6"/>
    </row>
    <row r="585" spans="1:34" ht="12.75" customHeight="1" x14ac:dyDescent="0.3">
      <c r="A585" s="2"/>
      <c r="B585" s="2"/>
      <c r="C585" s="3"/>
      <c r="D585" s="3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4"/>
      <c r="AA585" s="4"/>
      <c r="AB585" s="4"/>
      <c r="AC585" s="4"/>
      <c r="AD585" s="5"/>
      <c r="AE585" s="6"/>
      <c r="AF585" s="6"/>
      <c r="AG585" s="6"/>
      <c r="AH585" s="6"/>
    </row>
    <row r="586" spans="1:34" ht="12.75" customHeight="1" x14ac:dyDescent="0.3">
      <c r="A586" s="2"/>
      <c r="B586" s="2"/>
      <c r="C586" s="3"/>
      <c r="D586" s="3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4"/>
      <c r="AA586" s="4"/>
      <c r="AB586" s="4"/>
      <c r="AC586" s="4"/>
      <c r="AD586" s="5"/>
      <c r="AE586" s="6"/>
      <c r="AF586" s="6"/>
      <c r="AG586" s="6"/>
      <c r="AH586" s="6"/>
    </row>
    <row r="587" spans="1:34" ht="12.75" customHeight="1" x14ac:dyDescent="0.3">
      <c r="A587" s="2"/>
      <c r="B587" s="2"/>
      <c r="C587" s="3"/>
      <c r="D587" s="3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4"/>
      <c r="AA587" s="4"/>
      <c r="AB587" s="4"/>
      <c r="AC587" s="4"/>
      <c r="AD587" s="5"/>
      <c r="AE587" s="6"/>
      <c r="AF587" s="6"/>
      <c r="AG587" s="6"/>
      <c r="AH587" s="6"/>
    </row>
    <row r="588" spans="1:34" ht="12.75" customHeight="1" x14ac:dyDescent="0.3">
      <c r="A588" s="2"/>
      <c r="B588" s="2"/>
      <c r="C588" s="3"/>
      <c r="D588" s="3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4"/>
      <c r="AA588" s="4"/>
      <c r="AB588" s="4"/>
      <c r="AC588" s="4"/>
      <c r="AD588" s="5"/>
      <c r="AE588" s="6"/>
      <c r="AF588" s="6"/>
      <c r="AG588" s="6"/>
      <c r="AH588" s="6"/>
    </row>
    <row r="589" spans="1:34" ht="12.75" customHeight="1" x14ac:dyDescent="0.3">
      <c r="A589" s="2"/>
      <c r="B589" s="2"/>
      <c r="C589" s="3"/>
      <c r="D589" s="3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4"/>
      <c r="AA589" s="4"/>
      <c r="AB589" s="4"/>
      <c r="AC589" s="4"/>
      <c r="AD589" s="5"/>
      <c r="AE589" s="6"/>
      <c r="AF589" s="6"/>
      <c r="AG589" s="6"/>
      <c r="AH589" s="6"/>
    </row>
    <row r="590" spans="1:34" ht="12.75" customHeight="1" x14ac:dyDescent="0.3">
      <c r="A590" s="2"/>
      <c r="B590" s="2"/>
      <c r="C590" s="3"/>
      <c r="D590" s="3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4"/>
      <c r="AA590" s="4"/>
      <c r="AB590" s="4"/>
      <c r="AC590" s="4"/>
      <c r="AD590" s="5"/>
      <c r="AE590" s="6"/>
      <c r="AF590" s="6"/>
      <c r="AG590" s="6"/>
      <c r="AH590" s="6"/>
    </row>
    <row r="591" spans="1:34" ht="12.75" customHeight="1" x14ac:dyDescent="0.3">
      <c r="A591" s="2"/>
      <c r="B591" s="2"/>
      <c r="C591" s="3"/>
      <c r="D591" s="3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4"/>
      <c r="AA591" s="4"/>
      <c r="AB591" s="4"/>
      <c r="AC591" s="4"/>
      <c r="AD591" s="5"/>
      <c r="AE591" s="6"/>
      <c r="AF591" s="6"/>
      <c r="AG591" s="6"/>
      <c r="AH591" s="6"/>
    </row>
    <row r="592" spans="1:34" ht="12.75" customHeight="1" x14ac:dyDescent="0.3">
      <c r="A592" s="2"/>
      <c r="B592" s="2"/>
      <c r="C592" s="3"/>
      <c r="D592" s="3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4"/>
      <c r="AA592" s="4"/>
      <c r="AB592" s="4"/>
      <c r="AC592" s="4"/>
      <c r="AD592" s="5"/>
      <c r="AE592" s="6"/>
      <c r="AF592" s="6"/>
      <c r="AG592" s="6"/>
      <c r="AH592" s="6"/>
    </row>
    <row r="593" spans="1:34" ht="12.75" customHeight="1" x14ac:dyDescent="0.3">
      <c r="A593" s="2"/>
      <c r="B593" s="2"/>
      <c r="C593" s="3"/>
      <c r="D593" s="3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4"/>
      <c r="AA593" s="4"/>
      <c r="AB593" s="4"/>
      <c r="AC593" s="4"/>
      <c r="AD593" s="5"/>
      <c r="AE593" s="6"/>
      <c r="AF593" s="6"/>
      <c r="AG593" s="6"/>
      <c r="AH593" s="6"/>
    </row>
    <row r="594" spans="1:34" ht="12.75" customHeight="1" x14ac:dyDescent="0.3">
      <c r="A594" s="2"/>
      <c r="B594" s="2"/>
      <c r="C594" s="3"/>
      <c r="D594" s="3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4"/>
      <c r="AA594" s="4"/>
      <c r="AB594" s="4"/>
      <c r="AC594" s="4"/>
      <c r="AD594" s="5"/>
      <c r="AE594" s="6"/>
      <c r="AF594" s="6"/>
      <c r="AG594" s="6"/>
      <c r="AH594" s="6"/>
    </row>
    <row r="595" spans="1:34" ht="12.75" customHeight="1" x14ac:dyDescent="0.3">
      <c r="A595" s="2"/>
      <c r="B595" s="2"/>
      <c r="C595" s="3"/>
      <c r="D595" s="3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4"/>
      <c r="AA595" s="4"/>
      <c r="AB595" s="4"/>
      <c r="AC595" s="4"/>
      <c r="AD595" s="5"/>
      <c r="AE595" s="6"/>
      <c r="AF595" s="6"/>
      <c r="AG595" s="6"/>
      <c r="AH595" s="6"/>
    </row>
    <row r="596" spans="1:34" ht="12.75" customHeight="1" x14ac:dyDescent="0.3">
      <c r="A596" s="2"/>
      <c r="B596" s="2"/>
      <c r="C596" s="3"/>
      <c r="D596" s="3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4"/>
      <c r="AA596" s="4"/>
      <c r="AB596" s="4"/>
      <c r="AC596" s="4"/>
      <c r="AD596" s="5"/>
      <c r="AE596" s="6"/>
      <c r="AF596" s="6"/>
      <c r="AG596" s="6"/>
      <c r="AH596" s="6"/>
    </row>
    <row r="597" spans="1:34" ht="12.75" customHeight="1" x14ac:dyDescent="0.3">
      <c r="A597" s="2"/>
      <c r="B597" s="2"/>
      <c r="C597" s="3"/>
      <c r="D597" s="3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4"/>
      <c r="AA597" s="4"/>
      <c r="AB597" s="4"/>
      <c r="AC597" s="4"/>
      <c r="AD597" s="5"/>
      <c r="AE597" s="6"/>
      <c r="AF597" s="6"/>
      <c r="AG597" s="6"/>
      <c r="AH597" s="6"/>
    </row>
    <row r="598" spans="1:34" ht="12.75" customHeight="1" x14ac:dyDescent="0.3">
      <c r="A598" s="2"/>
      <c r="B598" s="2"/>
      <c r="C598" s="3"/>
      <c r="D598" s="3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4"/>
      <c r="AA598" s="4"/>
      <c r="AB598" s="4"/>
      <c r="AC598" s="4"/>
      <c r="AD598" s="5"/>
      <c r="AE598" s="6"/>
      <c r="AF598" s="6"/>
      <c r="AG598" s="6"/>
      <c r="AH598" s="6"/>
    </row>
    <row r="599" spans="1:34" ht="12.75" customHeight="1" x14ac:dyDescent="0.3">
      <c r="A599" s="2"/>
      <c r="B599" s="2"/>
      <c r="C599" s="3"/>
      <c r="D599" s="3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4"/>
      <c r="AA599" s="4"/>
      <c r="AB599" s="4"/>
      <c r="AC599" s="4"/>
      <c r="AD599" s="5"/>
      <c r="AE599" s="6"/>
      <c r="AF599" s="6"/>
      <c r="AG599" s="6"/>
      <c r="AH599" s="6"/>
    </row>
    <row r="600" spans="1:34" ht="12.75" customHeight="1" x14ac:dyDescent="0.3">
      <c r="A600" s="2"/>
      <c r="B600" s="2"/>
      <c r="C600" s="3"/>
      <c r="D600" s="3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4"/>
      <c r="AA600" s="4"/>
      <c r="AB600" s="4"/>
      <c r="AC600" s="4"/>
      <c r="AD600" s="5"/>
      <c r="AE600" s="6"/>
      <c r="AF600" s="6"/>
      <c r="AG600" s="6"/>
      <c r="AH600" s="6"/>
    </row>
    <row r="601" spans="1:34" ht="12.75" customHeight="1" x14ac:dyDescent="0.3">
      <c r="A601" s="2"/>
      <c r="B601" s="2"/>
      <c r="C601" s="3"/>
      <c r="D601" s="3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4"/>
      <c r="AA601" s="4"/>
      <c r="AB601" s="4"/>
      <c r="AC601" s="4"/>
      <c r="AD601" s="5"/>
      <c r="AE601" s="6"/>
      <c r="AF601" s="6"/>
      <c r="AG601" s="6"/>
      <c r="AH601" s="6"/>
    </row>
    <row r="602" spans="1:34" ht="12.75" customHeight="1" x14ac:dyDescent="0.3">
      <c r="A602" s="2"/>
      <c r="B602" s="2"/>
      <c r="C602" s="3"/>
      <c r="D602" s="3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4"/>
      <c r="AA602" s="4"/>
      <c r="AB602" s="4"/>
      <c r="AC602" s="4"/>
      <c r="AD602" s="5"/>
      <c r="AE602" s="6"/>
      <c r="AF602" s="6"/>
      <c r="AG602" s="6"/>
      <c r="AH602" s="6"/>
    </row>
    <row r="603" spans="1:34" ht="12.75" customHeight="1" x14ac:dyDescent="0.3">
      <c r="A603" s="2"/>
      <c r="B603" s="2"/>
      <c r="C603" s="3"/>
      <c r="D603" s="3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4"/>
      <c r="AA603" s="4"/>
      <c r="AB603" s="4"/>
      <c r="AC603" s="4"/>
      <c r="AD603" s="5"/>
      <c r="AE603" s="6"/>
      <c r="AF603" s="6"/>
      <c r="AG603" s="6"/>
      <c r="AH603" s="6"/>
    </row>
    <row r="604" spans="1:34" ht="12.75" customHeight="1" x14ac:dyDescent="0.3">
      <c r="A604" s="2"/>
      <c r="B604" s="2"/>
      <c r="C604" s="3"/>
      <c r="D604" s="3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4"/>
      <c r="AA604" s="4"/>
      <c r="AB604" s="4"/>
      <c r="AC604" s="4"/>
      <c r="AD604" s="5"/>
      <c r="AE604" s="6"/>
      <c r="AF604" s="6"/>
      <c r="AG604" s="6"/>
      <c r="AH604" s="6"/>
    </row>
    <row r="605" spans="1:34" ht="12.75" customHeight="1" x14ac:dyDescent="0.3">
      <c r="A605" s="2"/>
      <c r="B605" s="2"/>
      <c r="C605" s="3"/>
      <c r="D605" s="3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4"/>
      <c r="AA605" s="4"/>
      <c r="AB605" s="4"/>
      <c r="AC605" s="4"/>
      <c r="AD605" s="5"/>
      <c r="AE605" s="6"/>
      <c r="AF605" s="6"/>
      <c r="AG605" s="6"/>
      <c r="AH605" s="6"/>
    </row>
    <row r="606" spans="1:34" ht="12.75" customHeight="1" x14ac:dyDescent="0.3">
      <c r="A606" s="2"/>
      <c r="B606" s="2"/>
      <c r="C606" s="3"/>
      <c r="D606" s="3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4"/>
      <c r="AA606" s="4"/>
      <c r="AB606" s="4"/>
      <c r="AC606" s="4"/>
      <c r="AD606" s="5"/>
      <c r="AE606" s="6"/>
      <c r="AF606" s="6"/>
      <c r="AG606" s="6"/>
      <c r="AH606" s="6"/>
    </row>
    <row r="607" spans="1:34" ht="12.75" customHeight="1" x14ac:dyDescent="0.3">
      <c r="A607" s="2"/>
      <c r="B607" s="2"/>
      <c r="C607" s="3"/>
      <c r="D607" s="3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4"/>
      <c r="AA607" s="4"/>
      <c r="AB607" s="4"/>
      <c r="AC607" s="4"/>
      <c r="AD607" s="5"/>
      <c r="AE607" s="6"/>
      <c r="AF607" s="6"/>
      <c r="AG607" s="6"/>
      <c r="AH607" s="6"/>
    </row>
    <row r="608" spans="1:34" ht="12.75" customHeight="1" x14ac:dyDescent="0.3">
      <c r="A608" s="2"/>
      <c r="B608" s="2"/>
      <c r="C608" s="3"/>
      <c r="D608" s="3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4"/>
      <c r="AA608" s="4"/>
      <c r="AB608" s="4"/>
      <c r="AC608" s="4"/>
      <c r="AD608" s="5"/>
      <c r="AE608" s="6"/>
      <c r="AF608" s="6"/>
      <c r="AG608" s="6"/>
      <c r="AH608" s="6"/>
    </row>
    <row r="609" spans="1:34" ht="12.75" customHeight="1" x14ac:dyDescent="0.3">
      <c r="A609" s="2"/>
      <c r="B609" s="2"/>
      <c r="C609" s="3"/>
      <c r="D609" s="3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4"/>
      <c r="AA609" s="4"/>
      <c r="AB609" s="4"/>
      <c r="AC609" s="4"/>
      <c r="AD609" s="5"/>
      <c r="AE609" s="6"/>
      <c r="AF609" s="6"/>
      <c r="AG609" s="6"/>
      <c r="AH609" s="6"/>
    </row>
    <row r="610" spans="1:34" ht="12.75" customHeight="1" x14ac:dyDescent="0.3">
      <c r="A610" s="2"/>
      <c r="B610" s="2"/>
      <c r="C610" s="3"/>
      <c r="D610" s="3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4"/>
      <c r="AA610" s="4"/>
      <c r="AB610" s="4"/>
      <c r="AC610" s="4"/>
      <c r="AD610" s="5"/>
      <c r="AE610" s="6"/>
      <c r="AF610" s="6"/>
      <c r="AG610" s="6"/>
      <c r="AH610" s="6"/>
    </row>
    <row r="611" spans="1:34" ht="12.75" customHeight="1" x14ac:dyDescent="0.3">
      <c r="A611" s="2"/>
      <c r="B611" s="2"/>
      <c r="C611" s="3"/>
      <c r="D611" s="3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4"/>
      <c r="AA611" s="4"/>
      <c r="AB611" s="4"/>
      <c r="AC611" s="4"/>
      <c r="AD611" s="5"/>
      <c r="AE611" s="6"/>
      <c r="AF611" s="6"/>
      <c r="AG611" s="6"/>
      <c r="AH611" s="6"/>
    </row>
    <row r="612" spans="1:34" ht="12.75" customHeight="1" x14ac:dyDescent="0.3">
      <c r="A612" s="2"/>
      <c r="B612" s="2"/>
      <c r="C612" s="3"/>
      <c r="D612" s="3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4"/>
      <c r="AA612" s="4"/>
      <c r="AB612" s="4"/>
      <c r="AC612" s="4"/>
      <c r="AD612" s="5"/>
      <c r="AE612" s="6"/>
      <c r="AF612" s="6"/>
      <c r="AG612" s="6"/>
      <c r="AH612" s="6"/>
    </row>
    <row r="613" spans="1:34" ht="12.75" customHeight="1" x14ac:dyDescent="0.3">
      <c r="A613" s="2"/>
      <c r="B613" s="2"/>
      <c r="C613" s="3"/>
      <c r="D613" s="3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4"/>
      <c r="AA613" s="4"/>
      <c r="AB613" s="4"/>
      <c r="AC613" s="4"/>
      <c r="AD613" s="5"/>
      <c r="AE613" s="6"/>
      <c r="AF613" s="6"/>
      <c r="AG613" s="6"/>
      <c r="AH613" s="6"/>
    </row>
    <row r="614" spans="1:34" ht="12.75" customHeight="1" x14ac:dyDescent="0.3">
      <c r="A614" s="2"/>
      <c r="B614" s="2"/>
      <c r="C614" s="3"/>
      <c r="D614" s="3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4"/>
      <c r="AA614" s="4"/>
      <c r="AB614" s="4"/>
      <c r="AC614" s="4"/>
      <c r="AD614" s="5"/>
      <c r="AE614" s="6"/>
      <c r="AF614" s="6"/>
      <c r="AG614" s="6"/>
      <c r="AH614" s="6"/>
    </row>
    <row r="615" spans="1:34" ht="12.75" customHeight="1" x14ac:dyDescent="0.3">
      <c r="A615" s="2"/>
      <c r="B615" s="2"/>
      <c r="C615" s="3"/>
      <c r="D615" s="3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4"/>
      <c r="AA615" s="4"/>
      <c r="AB615" s="4"/>
      <c r="AC615" s="4"/>
      <c r="AD615" s="5"/>
      <c r="AE615" s="6"/>
      <c r="AF615" s="6"/>
      <c r="AG615" s="6"/>
      <c r="AH615" s="6"/>
    </row>
    <row r="616" spans="1:34" ht="12.75" customHeight="1" x14ac:dyDescent="0.3">
      <c r="A616" s="2"/>
      <c r="B616" s="2"/>
      <c r="C616" s="3"/>
      <c r="D616" s="3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4"/>
      <c r="AA616" s="4"/>
      <c r="AB616" s="4"/>
      <c r="AC616" s="4"/>
      <c r="AD616" s="5"/>
      <c r="AE616" s="6"/>
      <c r="AF616" s="6"/>
      <c r="AG616" s="6"/>
      <c r="AH616" s="6"/>
    </row>
    <row r="617" spans="1:34" ht="12.75" customHeight="1" x14ac:dyDescent="0.3">
      <c r="A617" s="2"/>
      <c r="B617" s="2"/>
      <c r="C617" s="3"/>
      <c r="D617" s="3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4"/>
      <c r="AA617" s="4"/>
      <c r="AB617" s="4"/>
      <c r="AC617" s="4"/>
      <c r="AD617" s="5"/>
      <c r="AE617" s="6"/>
      <c r="AF617" s="6"/>
      <c r="AG617" s="6"/>
      <c r="AH617" s="6"/>
    </row>
    <row r="618" spans="1:34" ht="12.75" customHeight="1" x14ac:dyDescent="0.3">
      <c r="A618" s="2"/>
      <c r="B618" s="2"/>
      <c r="C618" s="3"/>
      <c r="D618" s="3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4"/>
      <c r="AA618" s="4"/>
      <c r="AB618" s="4"/>
      <c r="AC618" s="4"/>
      <c r="AD618" s="5"/>
      <c r="AE618" s="6"/>
      <c r="AF618" s="6"/>
      <c r="AG618" s="6"/>
      <c r="AH618" s="6"/>
    </row>
    <row r="619" spans="1:34" ht="12.75" customHeight="1" x14ac:dyDescent="0.3">
      <c r="A619" s="2"/>
      <c r="B619" s="2"/>
      <c r="C619" s="3"/>
      <c r="D619" s="3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4"/>
      <c r="AA619" s="4"/>
      <c r="AB619" s="4"/>
      <c r="AC619" s="4"/>
      <c r="AD619" s="5"/>
      <c r="AE619" s="6"/>
      <c r="AF619" s="6"/>
      <c r="AG619" s="6"/>
      <c r="AH619" s="6"/>
    </row>
    <row r="620" spans="1:34" ht="12.75" customHeight="1" x14ac:dyDescent="0.3">
      <c r="A620" s="2"/>
      <c r="B620" s="2"/>
      <c r="C620" s="3"/>
      <c r="D620" s="3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4"/>
      <c r="AA620" s="4"/>
      <c r="AB620" s="4"/>
      <c r="AC620" s="4"/>
      <c r="AD620" s="5"/>
      <c r="AE620" s="6"/>
      <c r="AF620" s="6"/>
      <c r="AG620" s="6"/>
      <c r="AH620" s="6"/>
    </row>
    <row r="621" spans="1:34" ht="12.75" customHeight="1" x14ac:dyDescent="0.3">
      <c r="A621" s="2"/>
      <c r="B621" s="2"/>
      <c r="C621" s="3"/>
      <c r="D621" s="3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4"/>
      <c r="AA621" s="4"/>
      <c r="AB621" s="4"/>
      <c r="AC621" s="4"/>
      <c r="AD621" s="5"/>
      <c r="AE621" s="6"/>
      <c r="AF621" s="6"/>
      <c r="AG621" s="6"/>
      <c r="AH621" s="6"/>
    </row>
    <row r="622" spans="1:34" ht="12.75" customHeight="1" x14ac:dyDescent="0.3">
      <c r="A622" s="2"/>
      <c r="B622" s="2"/>
      <c r="C622" s="3"/>
      <c r="D622" s="3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4"/>
      <c r="AA622" s="4"/>
      <c r="AB622" s="4"/>
      <c r="AC622" s="4"/>
      <c r="AD622" s="5"/>
      <c r="AE622" s="6"/>
      <c r="AF622" s="6"/>
      <c r="AG622" s="6"/>
      <c r="AH622" s="6"/>
    </row>
    <row r="623" spans="1:34" ht="12.75" customHeight="1" x14ac:dyDescent="0.3">
      <c r="A623" s="2"/>
      <c r="B623" s="2"/>
      <c r="C623" s="3"/>
      <c r="D623" s="3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4"/>
      <c r="AA623" s="4"/>
      <c r="AB623" s="4"/>
      <c r="AC623" s="4"/>
      <c r="AD623" s="5"/>
      <c r="AE623" s="6"/>
      <c r="AF623" s="6"/>
      <c r="AG623" s="6"/>
      <c r="AH623" s="6"/>
    </row>
    <row r="624" spans="1:34" ht="12.75" customHeight="1" x14ac:dyDescent="0.3">
      <c r="A624" s="2"/>
      <c r="B624" s="2"/>
      <c r="C624" s="3"/>
      <c r="D624" s="3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4"/>
      <c r="AA624" s="4"/>
      <c r="AB624" s="4"/>
      <c r="AC624" s="4"/>
      <c r="AD624" s="5"/>
      <c r="AE624" s="6"/>
      <c r="AF624" s="6"/>
      <c r="AG624" s="6"/>
      <c r="AH624" s="6"/>
    </row>
    <row r="625" spans="1:34" ht="12.75" customHeight="1" x14ac:dyDescent="0.3">
      <c r="A625" s="2"/>
      <c r="B625" s="2"/>
      <c r="C625" s="3"/>
      <c r="D625" s="3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4"/>
      <c r="AA625" s="4"/>
      <c r="AB625" s="4"/>
      <c r="AC625" s="4"/>
      <c r="AD625" s="5"/>
      <c r="AE625" s="6"/>
      <c r="AF625" s="6"/>
      <c r="AG625" s="6"/>
      <c r="AH625" s="6"/>
    </row>
    <row r="626" spans="1:34" ht="12.75" customHeight="1" x14ac:dyDescent="0.3">
      <c r="A626" s="2"/>
      <c r="B626" s="2"/>
      <c r="C626" s="3"/>
      <c r="D626" s="3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4"/>
      <c r="AA626" s="4"/>
      <c r="AB626" s="4"/>
      <c r="AC626" s="4"/>
      <c r="AD626" s="5"/>
      <c r="AE626" s="6"/>
      <c r="AF626" s="6"/>
      <c r="AG626" s="6"/>
      <c r="AH626" s="6"/>
    </row>
    <row r="627" spans="1:34" ht="12.75" customHeight="1" x14ac:dyDescent="0.3">
      <c r="A627" s="2"/>
      <c r="B627" s="2"/>
      <c r="C627" s="3"/>
      <c r="D627" s="3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4"/>
      <c r="AA627" s="4"/>
      <c r="AB627" s="4"/>
      <c r="AC627" s="4"/>
      <c r="AD627" s="5"/>
      <c r="AE627" s="6"/>
      <c r="AF627" s="6"/>
      <c r="AG627" s="6"/>
      <c r="AH627" s="6"/>
    </row>
    <row r="628" spans="1:34" ht="12.75" customHeight="1" x14ac:dyDescent="0.3">
      <c r="A628" s="2"/>
      <c r="B628" s="2"/>
      <c r="C628" s="3"/>
      <c r="D628" s="3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4"/>
      <c r="AA628" s="4"/>
      <c r="AB628" s="4"/>
      <c r="AC628" s="4"/>
      <c r="AD628" s="5"/>
      <c r="AE628" s="6"/>
      <c r="AF628" s="6"/>
      <c r="AG628" s="6"/>
      <c r="AH628" s="6"/>
    </row>
    <row r="629" spans="1:34" ht="12.75" customHeight="1" x14ac:dyDescent="0.3">
      <c r="A629" s="2"/>
      <c r="B629" s="2"/>
      <c r="C629" s="3"/>
      <c r="D629" s="3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4"/>
      <c r="AA629" s="4"/>
      <c r="AB629" s="4"/>
      <c r="AC629" s="4"/>
      <c r="AD629" s="5"/>
      <c r="AE629" s="6"/>
      <c r="AF629" s="6"/>
      <c r="AG629" s="6"/>
      <c r="AH629" s="6"/>
    </row>
    <row r="630" spans="1:34" ht="12.75" customHeight="1" x14ac:dyDescent="0.3">
      <c r="A630" s="2"/>
      <c r="B630" s="2"/>
      <c r="C630" s="3"/>
      <c r="D630" s="3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4"/>
      <c r="AA630" s="4"/>
      <c r="AB630" s="4"/>
      <c r="AC630" s="4"/>
      <c r="AD630" s="5"/>
      <c r="AE630" s="6"/>
      <c r="AF630" s="6"/>
      <c r="AG630" s="6"/>
      <c r="AH630" s="6"/>
    </row>
    <row r="631" spans="1:34" ht="12.75" customHeight="1" x14ac:dyDescent="0.3">
      <c r="A631" s="2"/>
      <c r="B631" s="2"/>
      <c r="C631" s="3"/>
      <c r="D631" s="3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4"/>
      <c r="AA631" s="4"/>
      <c r="AB631" s="4"/>
      <c r="AC631" s="4"/>
      <c r="AD631" s="5"/>
      <c r="AE631" s="6"/>
      <c r="AF631" s="6"/>
      <c r="AG631" s="6"/>
      <c r="AH631" s="6"/>
    </row>
    <row r="632" spans="1:34" ht="12.75" customHeight="1" x14ac:dyDescent="0.3">
      <c r="A632" s="2"/>
      <c r="B632" s="2"/>
      <c r="C632" s="3"/>
      <c r="D632" s="3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4"/>
      <c r="AA632" s="4"/>
      <c r="AB632" s="4"/>
      <c r="AC632" s="4"/>
      <c r="AD632" s="5"/>
      <c r="AE632" s="6"/>
      <c r="AF632" s="6"/>
      <c r="AG632" s="6"/>
      <c r="AH632" s="6"/>
    </row>
    <row r="633" spans="1:34" ht="12.75" customHeight="1" x14ac:dyDescent="0.3">
      <c r="A633" s="2"/>
      <c r="B633" s="2"/>
      <c r="C633" s="3"/>
      <c r="D633" s="3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4"/>
      <c r="AA633" s="4"/>
      <c r="AB633" s="4"/>
      <c r="AC633" s="4"/>
      <c r="AD633" s="5"/>
      <c r="AE633" s="6"/>
      <c r="AF633" s="6"/>
      <c r="AG633" s="6"/>
      <c r="AH633" s="6"/>
    </row>
    <row r="634" spans="1:34" ht="12.75" customHeight="1" x14ac:dyDescent="0.3">
      <c r="A634" s="2"/>
      <c r="B634" s="2"/>
      <c r="C634" s="3"/>
      <c r="D634" s="3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4"/>
      <c r="AA634" s="4"/>
      <c r="AB634" s="4"/>
      <c r="AC634" s="4"/>
      <c r="AD634" s="5"/>
      <c r="AE634" s="6"/>
      <c r="AF634" s="6"/>
      <c r="AG634" s="6"/>
      <c r="AH634" s="6"/>
    </row>
    <row r="635" spans="1:34" ht="12.75" customHeight="1" x14ac:dyDescent="0.3">
      <c r="A635" s="2"/>
      <c r="B635" s="2"/>
      <c r="C635" s="3"/>
      <c r="D635" s="3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4"/>
      <c r="AA635" s="4"/>
      <c r="AB635" s="4"/>
      <c r="AC635" s="4"/>
      <c r="AD635" s="5"/>
      <c r="AE635" s="6"/>
      <c r="AF635" s="6"/>
      <c r="AG635" s="6"/>
      <c r="AH635" s="6"/>
    </row>
    <row r="636" spans="1:34" ht="12.75" customHeight="1" x14ac:dyDescent="0.3">
      <c r="A636" s="2"/>
      <c r="B636" s="2"/>
      <c r="C636" s="3"/>
      <c r="D636" s="3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4"/>
      <c r="AA636" s="4"/>
      <c r="AB636" s="4"/>
      <c r="AC636" s="4"/>
      <c r="AD636" s="5"/>
      <c r="AE636" s="6"/>
      <c r="AF636" s="6"/>
      <c r="AG636" s="6"/>
      <c r="AH636" s="6"/>
    </row>
    <row r="637" spans="1:34" ht="12.75" customHeight="1" x14ac:dyDescent="0.3">
      <c r="A637" s="2"/>
      <c r="B637" s="2"/>
      <c r="C637" s="3"/>
      <c r="D637" s="3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4"/>
      <c r="AA637" s="4"/>
      <c r="AB637" s="4"/>
      <c r="AC637" s="4"/>
      <c r="AD637" s="5"/>
      <c r="AE637" s="6"/>
      <c r="AF637" s="6"/>
      <c r="AG637" s="6"/>
      <c r="AH637" s="6"/>
    </row>
    <row r="638" spans="1:34" ht="12.75" customHeight="1" x14ac:dyDescent="0.3">
      <c r="A638" s="2"/>
      <c r="B638" s="2"/>
      <c r="C638" s="3"/>
      <c r="D638" s="3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4"/>
      <c r="AA638" s="4"/>
      <c r="AB638" s="4"/>
      <c r="AC638" s="4"/>
      <c r="AD638" s="5"/>
      <c r="AE638" s="6"/>
      <c r="AF638" s="6"/>
      <c r="AG638" s="6"/>
      <c r="AH638" s="6"/>
    </row>
    <row r="639" spans="1:34" ht="12.75" customHeight="1" x14ac:dyDescent="0.3">
      <c r="A639" s="2"/>
      <c r="B639" s="2"/>
      <c r="C639" s="3"/>
      <c r="D639" s="3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4"/>
      <c r="AA639" s="4"/>
      <c r="AB639" s="4"/>
      <c r="AC639" s="4"/>
      <c r="AD639" s="5"/>
      <c r="AE639" s="6"/>
      <c r="AF639" s="6"/>
      <c r="AG639" s="6"/>
      <c r="AH639" s="6"/>
    </row>
    <row r="640" spans="1:34" ht="12.75" customHeight="1" x14ac:dyDescent="0.3">
      <c r="A640" s="2"/>
      <c r="B640" s="2"/>
      <c r="C640" s="3"/>
      <c r="D640" s="3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4"/>
      <c r="AA640" s="4"/>
      <c r="AB640" s="4"/>
      <c r="AC640" s="4"/>
      <c r="AD640" s="5"/>
      <c r="AE640" s="6"/>
      <c r="AF640" s="6"/>
      <c r="AG640" s="6"/>
      <c r="AH640" s="6"/>
    </row>
    <row r="641" spans="1:34" ht="12.75" customHeight="1" x14ac:dyDescent="0.3">
      <c r="A641" s="2"/>
      <c r="B641" s="2"/>
      <c r="C641" s="3"/>
      <c r="D641" s="3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4"/>
      <c r="AA641" s="4"/>
      <c r="AB641" s="4"/>
      <c r="AC641" s="4"/>
      <c r="AD641" s="5"/>
      <c r="AE641" s="6"/>
      <c r="AF641" s="6"/>
      <c r="AG641" s="6"/>
      <c r="AH641" s="6"/>
    </row>
    <row r="642" spans="1:34" ht="12.75" customHeight="1" x14ac:dyDescent="0.3">
      <c r="A642" s="2"/>
      <c r="B642" s="2"/>
      <c r="C642" s="3"/>
      <c r="D642" s="3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4"/>
      <c r="AA642" s="4"/>
      <c r="AB642" s="4"/>
      <c r="AC642" s="4"/>
      <c r="AD642" s="5"/>
      <c r="AE642" s="6"/>
      <c r="AF642" s="6"/>
      <c r="AG642" s="6"/>
      <c r="AH642" s="6"/>
    </row>
    <row r="643" spans="1:34" ht="12.75" customHeight="1" x14ac:dyDescent="0.3">
      <c r="A643" s="2"/>
      <c r="B643" s="2"/>
      <c r="C643" s="3"/>
      <c r="D643" s="3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4"/>
      <c r="AA643" s="4"/>
      <c r="AB643" s="4"/>
      <c r="AC643" s="4"/>
      <c r="AD643" s="5"/>
      <c r="AE643" s="6"/>
      <c r="AF643" s="6"/>
      <c r="AG643" s="6"/>
      <c r="AH643" s="6"/>
    </row>
    <row r="644" spans="1:34" ht="12.75" customHeight="1" x14ac:dyDescent="0.3">
      <c r="A644" s="2"/>
      <c r="B644" s="2"/>
      <c r="C644" s="3"/>
      <c r="D644" s="3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4"/>
      <c r="AA644" s="4"/>
      <c r="AB644" s="4"/>
      <c r="AC644" s="4"/>
      <c r="AD644" s="5"/>
      <c r="AE644" s="6"/>
      <c r="AF644" s="6"/>
      <c r="AG644" s="6"/>
      <c r="AH644" s="6"/>
    </row>
    <row r="645" spans="1:34" ht="12.75" customHeight="1" x14ac:dyDescent="0.3">
      <c r="A645" s="2"/>
      <c r="B645" s="2"/>
      <c r="C645" s="3"/>
      <c r="D645" s="3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4"/>
      <c r="AA645" s="4"/>
      <c r="AB645" s="4"/>
      <c r="AC645" s="4"/>
      <c r="AD645" s="5"/>
      <c r="AE645" s="6"/>
      <c r="AF645" s="6"/>
      <c r="AG645" s="6"/>
      <c r="AH645" s="6"/>
    </row>
    <row r="646" spans="1:34" ht="12.75" customHeight="1" x14ac:dyDescent="0.3">
      <c r="A646" s="2"/>
      <c r="B646" s="2"/>
      <c r="C646" s="3"/>
      <c r="D646" s="3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4"/>
      <c r="AA646" s="4"/>
      <c r="AB646" s="4"/>
      <c r="AC646" s="4"/>
      <c r="AD646" s="5"/>
      <c r="AE646" s="6"/>
      <c r="AF646" s="6"/>
      <c r="AG646" s="6"/>
      <c r="AH646" s="6"/>
    </row>
    <row r="647" spans="1:34" ht="12.75" customHeight="1" x14ac:dyDescent="0.3">
      <c r="A647" s="2"/>
      <c r="B647" s="2"/>
      <c r="C647" s="3"/>
      <c r="D647" s="3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4"/>
      <c r="AA647" s="4"/>
      <c r="AB647" s="4"/>
      <c r="AC647" s="4"/>
      <c r="AD647" s="5"/>
      <c r="AE647" s="6"/>
      <c r="AF647" s="6"/>
      <c r="AG647" s="6"/>
      <c r="AH647" s="6"/>
    </row>
    <row r="648" spans="1:34" ht="12.75" customHeight="1" x14ac:dyDescent="0.3">
      <c r="A648" s="2"/>
      <c r="B648" s="2"/>
      <c r="C648" s="3"/>
      <c r="D648" s="3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4"/>
      <c r="AA648" s="4"/>
      <c r="AB648" s="4"/>
      <c r="AC648" s="4"/>
      <c r="AD648" s="5"/>
      <c r="AE648" s="6"/>
      <c r="AF648" s="6"/>
      <c r="AG648" s="6"/>
      <c r="AH648" s="6"/>
    </row>
    <row r="649" spans="1:34" ht="12.75" customHeight="1" x14ac:dyDescent="0.3">
      <c r="A649" s="2"/>
      <c r="B649" s="2"/>
      <c r="C649" s="3"/>
      <c r="D649" s="3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4"/>
      <c r="AA649" s="4"/>
      <c r="AB649" s="4"/>
      <c r="AC649" s="4"/>
      <c r="AD649" s="5"/>
      <c r="AE649" s="6"/>
      <c r="AF649" s="6"/>
      <c r="AG649" s="6"/>
      <c r="AH649" s="6"/>
    </row>
    <row r="650" spans="1:34" ht="12.75" customHeight="1" x14ac:dyDescent="0.3">
      <c r="A650" s="2"/>
      <c r="B650" s="2"/>
      <c r="C650" s="3"/>
      <c r="D650" s="3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4"/>
      <c r="AA650" s="4"/>
      <c r="AB650" s="4"/>
      <c r="AC650" s="4"/>
      <c r="AD650" s="5"/>
      <c r="AE650" s="6"/>
      <c r="AF650" s="6"/>
      <c r="AG650" s="6"/>
      <c r="AH650" s="6"/>
    </row>
    <row r="651" spans="1:34" ht="12.75" customHeight="1" x14ac:dyDescent="0.3">
      <c r="A651" s="2"/>
      <c r="B651" s="2"/>
      <c r="C651" s="3"/>
      <c r="D651" s="3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4"/>
      <c r="AA651" s="4"/>
      <c r="AB651" s="4"/>
      <c r="AC651" s="4"/>
      <c r="AD651" s="5"/>
      <c r="AE651" s="6"/>
      <c r="AF651" s="6"/>
      <c r="AG651" s="6"/>
      <c r="AH651" s="6"/>
    </row>
    <row r="652" spans="1:34" ht="12.75" customHeight="1" x14ac:dyDescent="0.3">
      <c r="A652" s="2"/>
      <c r="B652" s="2"/>
      <c r="C652" s="3"/>
      <c r="D652" s="3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4"/>
      <c r="AA652" s="4"/>
      <c r="AB652" s="4"/>
      <c r="AC652" s="4"/>
      <c r="AD652" s="5"/>
      <c r="AE652" s="6"/>
      <c r="AF652" s="6"/>
      <c r="AG652" s="6"/>
      <c r="AH652" s="6"/>
    </row>
    <row r="653" spans="1:34" ht="12.75" customHeight="1" x14ac:dyDescent="0.3">
      <c r="A653" s="2"/>
      <c r="B653" s="2"/>
      <c r="C653" s="3"/>
      <c r="D653" s="3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4"/>
      <c r="AA653" s="4"/>
      <c r="AB653" s="4"/>
      <c r="AC653" s="4"/>
      <c r="AD653" s="5"/>
      <c r="AE653" s="6"/>
      <c r="AF653" s="6"/>
      <c r="AG653" s="6"/>
      <c r="AH653" s="6"/>
    </row>
    <row r="654" spans="1:34" ht="12.75" customHeight="1" x14ac:dyDescent="0.3">
      <c r="A654" s="2"/>
      <c r="B654" s="2"/>
      <c r="C654" s="3"/>
      <c r="D654" s="3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4"/>
      <c r="AA654" s="4"/>
      <c r="AB654" s="4"/>
      <c r="AC654" s="4"/>
      <c r="AD654" s="5"/>
      <c r="AE654" s="6"/>
      <c r="AF654" s="6"/>
      <c r="AG654" s="6"/>
      <c r="AH654" s="6"/>
    </row>
    <row r="655" spans="1:34" ht="12.75" customHeight="1" x14ac:dyDescent="0.3">
      <c r="A655" s="2"/>
      <c r="B655" s="2"/>
      <c r="C655" s="3"/>
      <c r="D655" s="3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4"/>
      <c r="AA655" s="4"/>
      <c r="AB655" s="4"/>
      <c r="AC655" s="4"/>
      <c r="AD655" s="5"/>
      <c r="AE655" s="6"/>
      <c r="AF655" s="6"/>
      <c r="AG655" s="6"/>
      <c r="AH655" s="6"/>
    </row>
    <row r="656" spans="1:34" ht="12.75" customHeight="1" x14ac:dyDescent="0.3">
      <c r="A656" s="2"/>
      <c r="B656" s="2"/>
      <c r="C656" s="3"/>
      <c r="D656" s="3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4"/>
      <c r="AA656" s="4"/>
      <c r="AB656" s="4"/>
      <c r="AC656" s="4"/>
      <c r="AD656" s="5"/>
      <c r="AE656" s="6"/>
      <c r="AF656" s="6"/>
      <c r="AG656" s="6"/>
      <c r="AH656" s="6"/>
    </row>
    <row r="657" spans="1:34" ht="12.75" customHeight="1" x14ac:dyDescent="0.3">
      <c r="A657" s="2"/>
      <c r="B657" s="2"/>
      <c r="C657" s="3"/>
      <c r="D657" s="3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4"/>
      <c r="AA657" s="4"/>
      <c r="AB657" s="4"/>
      <c r="AC657" s="4"/>
      <c r="AD657" s="5"/>
      <c r="AE657" s="6"/>
      <c r="AF657" s="6"/>
      <c r="AG657" s="6"/>
      <c r="AH657" s="6"/>
    </row>
    <row r="658" spans="1:34" ht="12.75" customHeight="1" x14ac:dyDescent="0.3">
      <c r="A658" s="2"/>
      <c r="B658" s="2"/>
      <c r="C658" s="3"/>
      <c r="D658" s="3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4"/>
      <c r="AA658" s="4"/>
      <c r="AB658" s="4"/>
      <c r="AC658" s="4"/>
      <c r="AD658" s="5"/>
      <c r="AE658" s="6"/>
      <c r="AF658" s="6"/>
      <c r="AG658" s="6"/>
      <c r="AH658" s="6"/>
    </row>
    <row r="659" spans="1:34" ht="12.75" customHeight="1" x14ac:dyDescent="0.3">
      <c r="A659" s="2"/>
      <c r="B659" s="2"/>
      <c r="C659" s="3"/>
      <c r="D659" s="3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4"/>
      <c r="AA659" s="4"/>
      <c r="AB659" s="4"/>
      <c r="AC659" s="4"/>
      <c r="AD659" s="5"/>
      <c r="AE659" s="6"/>
      <c r="AF659" s="6"/>
      <c r="AG659" s="6"/>
      <c r="AH659" s="6"/>
    </row>
    <row r="660" spans="1:34" ht="12.75" customHeight="1" x14ac:dyDescent="0.3">
      <c r="A660" s="2"/>
      <c r="B660" s="2"/>
      <c r="C660" s="3"/>
      <c r="D660" s="3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4"/>
      <c r="AA660" s="4"/>
      <c r="AB660" s="4"/>
      <c r="AC660" s="4"/>
      <c r="AD660" s="5"/>
      <c r="AE660" s="6"/>
      <c r="AF660" s="6"/>
      <c r="AG660" s="6"/>
      <c r="AH660" s="6"/>
    </row>
    <row r="661" spans="1:34" ht="12.75" customHeight="1" x14ac:dyDescent="0.3">
      <c r="A661" s="2"/>
      <c r="B661" s="2"/>
      <c r="C661" s="3"/>
      <c r="D661" s="3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4"/>
      <c r="AA661" s="4"/>
      <c r="AB661" s="4"/>
      <c r="AC661" s="4"/>
      <c r="AD661" s="5"/>
      <c r="AE661" s="6"/>
      <c r="AF661" s="6"/>
      <c r="AG661" s="6"/>
      <c r="AH661" s="6"/>
    </row>
    <row r="662" spans="1:34" ht="12.75" customHeight="1" x14ac:dyDescent="0.3">
      <c r="A662" s="2"/>
      <c r="B662" s="2"/>
      <c r="C662" s="3"/>
      <c r="D662" s="3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4"/>
      <c r="AA662" s="4"/>
      <c r="AB662" s="4"/>
      <c r="AC662" s="4"/>
      <c r="AD662" s="5"/>
      <c r="AE662" s="6"/>
      <c r="AF662" s="6"/>
      <c r="AG662" s="6"/>
      <c r="AH662" s="6"/>
    </row>
    <row r="663" spans="1:34" ht="12.75" customHeight="1" x14ac:dyDescent="0.3">
      <c r="A663" s="2"/>
      <c r="B663" s="2"/>
      <c r="C663" s="3"/>
      <c r="D663" s="3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4"/>
      <c r="AA663" s="4"/>
      <c r="AB663" s="4"/>
      <c r="AC663" s="4"/>
      <c r="AD663" s="5"/>
      <c r="AE663" s="6"/>
      <c r="AF663" s="6"/>
      <c r="AG663" s="6"/>
      <c r="AH663" s="6"/>
    </row>
    <row r="664" spans="1:34" ht="12.75" customHeight="1" x14ac:dyDescent="0.3">
      <c r="A664" s="2"/>
      <c r="B664" s="2"/>
      <c r="C664" s="3"/>
      <c r="D664" s="3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4"/>
      <c r="AA664" s="4"/>
      <c r="AB664" s="4"/>
      <c r="AC664" s="4"/>
      <c r="AD664" s="5"/>
      <c r="AE664" s="6"/>
      <c r="AF664" s="6"/>
      <c r="AG664" s="6"/>
      <c r="AH664" s="6"/>
    </row>
    <row r="665" spans="1:34" ht="12.75" customHeight="1" x14ac:dyDescent="0.3">
      <c r="A665" s="2"/>
      <c r="B665" s="2"/>
      <c r="C665" s="3"/>
      <c r="D665" s="3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4"/>
      <c r="AA665" s="4"/>
      <c r="AB665" s="4"/>
      <c r="AC665" s="4"/>
      <c r="AD665" s="5"/>
      <c r="AE665" s="6"/>
      <c r="AF665" s="6"/>
      <c r="AG665" s="6"/>
      <c r="AH665" s="6"/>
    </row>
    <row r="666" spans="1:34" ht="12.75" customHeight="1" x14ac:dyDescent="0.3">
      <c r="A666" s="2"/>
      <c r="B666" s="2"/>
      <c r="C666" s="3"/>
      <c r="D666" s="3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4"/>
      <c r="AA666" s="4"/>
      <c r="AB666" s="4"/>
      <c r="AC666" s="4"/>
      <c r="AD666" s="5"/>
      <c r="AE666" s="6"/>
      <c r="AF666" s="6"/>
      <c r="AG666" s="6"/>
      <c r="AH666" s="6"/>
    </row>
    <row r="667" spans="1:34" ht="12.75" customHeight="1" x14ac:dyDescent="0.3">
      <c r="A667" s="2"/>
      <c r="B667" s="2"/>
      <c r="C667" s="3"/>
      <c r="D667" s="3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4"/>
      <c r="AA667" s="4"/>
      <c r="AB667" s="4"/>
      <c r="AC667" s="4"/>
      <c r="AD667" s="5"/>
      <c r="AE667" s="6"/>
      <c r="AF667" s="6"/>
      <c r="AG667" s="6"/>
      <c r="AH667" s="6"/>
    </row>
    <row r="668" spans="1:34" ht="12.75" customHeight="1" x14ac:dyDescent="0.3">
      <c r="A668" s="2"/>
      <c r="B668" s="2"/>
      <c r="C668" s="3"/>
      <c r="D668" s="3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4"/>
      <c r="AA668" s="4"/>
      <c r="AB668" s="4"/>
      <c r="AC668" s="4"/>
      <c r="AD668" s="5"/>
      <c r="AE668" s="6"/>
      <c r="AF668" s="6"/>
      <c r="AG668" s="6"/>
      <c r="AH668" s="6"/>
    </row>
    <row r="669" spans="1:34" ht="12.75" customHeight="1" x14ac:dyDescent="0.3">
      <c r="A669" s="2"/>
      <c r="B669" s="2"/>
      <c r="C669" s="3"/>
      <c r="D669" s="3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4"/>
      <c r="AA669" s="4"/>
      <c r="AB669" s="4"/>
      <c r="AC669" s="4"/>
      <c r="AD669" s="5"/>
      <c r="AE669" s="6"/>
      <c r="AF669" s="6"/>
      <c r="AG669" s="6"/>
      <c r="AH669" s="6"/>
    </row>
    <row r="670" spans="1:34" ht="12.75" customHeight="1" x14ac:dyDescent="0.3">
      <c r="A670" s="2"/>
      <c r="B670" s="2"/>
      <c r="C670" s="3"/>
      <c r="D670" s="3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4"/>
      <c r="AA670" s="4"/>
      <c r="AB670" s="4"/>
      <c r="AC670" s="4"/>
      <c r="AD670" s="5"/>
      <c r="AE670" s="6"/>
      <c r="AF670" s="6"/>
      <c r="AG670" s="6"/>
      <c r="AH670" s="6"/>
    </row>
    <row r="671" spans="1:34" ht="12.75" customHeight="1" x14ac:dyDescent="0.3">
      <c r="A671" s="2"/>
      <c r="B671" s="2"/>
      <c r="C671" s="3"/>
      <c r="D671" s="3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4"/>
      <c r="AA671" s="4"/>
      <c r="AB671" s="4"/>
      <c r="AC671" s="4"/>
      <c r="AD671" s="5"/>
      <c r="AE671" s="6"/>
      <c r="AF671" s="6"/>
      <c r="AG671" s="6"/>
      <c r="AH671" s="6"/>
    </row>
    <row r="672" spans="1:34" ht="12.75" customHeight="1" x14ac:dyDescent="0.3">
      <c r="A672" s="2"/>
      <c r="B672" s="2"/>
      <c r="C672" s="3"/>
      <c r="D672" s="3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4"/>
      <c r="AA672" s="4"/>
      <c r="AB672" s="4"/>
      <c r="AC672" s="4"/>
      <c r="AD672" s="5"/>
      <c r="AE672" s="6"/>
      <c r="AF672" s="6"/>
      <c r="AG672" s="6"/>
      <c r="AH672" s="6"/>
    </row>
    <row r="673" spans="1:34" ht="12.75" customHeight="1" x14ac:dyDescent="0.3">
      <c r="A673" s="2"/>
      <c r="B673" s="2"/>
      <c r="C673" s="3"/>
      <c r="D673" s="3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4"/>
      <c r="AA673" s="4"/>
      <c r="AB673" s="4"/>
      <c r="AC673" s="4"/>
      <c r="AD673" s="5"/>
      <c r="AE673" s="6"/>
      <c r="AF673" s="6"/>
      <c r="AG673" s="6"/>
      <c r="AH673" s="6"/>
    </row>
    <row r="674" spans="1:34" ht="12.75" customHeight="1" x14ac:dyDescent="0.3">
      <c r="A674" s="2"/>
      <c r="B674" s="2"/>
      <c r="C674" s="3"/>
      <c r="D674" s="3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4"/>
      <c r="AA674" s="4"/>
      <c r="AB674" s="4"/>
      <c r="AC674" s="4"/>
      <c r="AD674" s="5"/>
      <c r="AE674" s="6"/>
      <c r="AF674" s="6"/>
      <c r="AG674" s="6"/>
      <c r="AH674" s="6"/>
    </row>
    <row r="675" spans="1:34" ht="12.75" customHeight="1" x14ac:dyDescent="0.3">
      <c r="A675" s="2"/>
      <c r="B675" s="2"/>
      <c r="C675" s="3"/>
      <c r="D675" s="3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4"/>
      <c r="AA675" s="4"/>
      <c r="AB675" s="4"/>
      <c r="AC675" s="4"/>
      <c r="AD675" s="5"/>
      <c r="AE675" s="6"/>
      <c r="AF675" s="6"/>
      <c r="AG675" s="6"/>
      <c r="AH675" s="6"/>
    </row>
    <row r="676" spans="1:34" ht="12.75" customHeight="1" x14ac:dyDescent="0.3">
      <c r="A676" s="2"/>
      <c r="B676" s="2"/>
      <c r="C676" s="3"/>
      <c r="D676" s="3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4"/>
      <c r="AA676" s="4"/>
      <c r="AB676" s="4"/>
      <c r="AC676" s="4"/>
      <c r="AD676" s="5"/>
      <c r="AE676" s="6"/>
      <c r="AF676" s="6"/>
      <c r="AG676" s="6"/>
      <c r="AH676" s="6"/>
    </row>
    <row r="677" spans="1:34" ht="12.75" customHeight="1" x14ac:dyDescent="0.3">
      <c r="A677" s="2"/>
      <c r="B677" s="2"/>
      <c r="C677" s="3"/>
      <c r="D677" s="3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4"/>
      <c r="AA677" s="4"/>
      <c r="AB677" s="4"/>
      <c r="AC677" s="4"/>
      <c r="AD677" s="5"/>
      <c r="AE677" s="6"/>
      <c r="AF677" s="6"/>
      <c r="AG677" s="6"/>
      <c r="AH677" s="6"/>
    </row>
    <row r="678" spans="1:34" ht="12.75" customHeight="1" x14ac:dyDescent="0.3">
      <c r="A678" s="2"/>
      <c r="B678" s="2"/>
      <c r="C678" s="3"/>
      <c r="D678" s="3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4"/>
      <c r="AA678" s="4"/>
      <c r="AB678" s="4"/>
      <c r="AC678" s="4"/>
      <c r="AD678" s="5"/>
      <c r="AE678" s="6"/>
      <c r="AF678" s="6"/>
      <c r="AG678" s="6"/>
      <c r="AH678" s="6"/>
    </row>
    <row r="679" spans="1:34" ht="12.75" customHeight="1" x14ac:dyDescent="0.3">
      <c r="A679" s="2"/>
      <c r="B679" s="2"/>
      <c r="C679" s="3"/>
      <c r="D679" s="3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4"/>
      <c r="AA679" s="4"/>
      <c r="AB679" s="4"/>
      <c r="AC679" s="4"/>
      <c r="AD679" s="5"/>
      <c r="AE679" s="6"/>
      <c r="AF679" s="6"/>
      <c r="AG679" s="6"/>
      <c r="AH679" s="6"/>
    </row>
    <row r="680" spans="1:34" ht="12.75" customHeight="1" x14ac:dyDescent="0.3">
      <c r="A680" s="2"/>
      <c r="B680" s="2"/>
      <c r="C680" s="3"/>
      <c r="D680" s="3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4"/>
      <c r="AA680" s="4"/>
      <c r="AB680" s="4"/>
      <c r="AC680" s="4"/>
      <c r="AD680" s="5"/>
      <c r="AE680" s="6"/>
      <c r="AF680" s="6"/>
      <c r="AG680" s="6"/>
      <c r="AH680" s="6"/>
    </row>
    <row r="681" spans="1:34" ht="12.75" customHeight="1" x14ac:dyDescent="0.3">
      <c r="A681" s="2"/>
      <c r="B681" s="2"/>
      <c r="C681" s="3"/>
      <c r="D681" s="3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4"/>
      <c r="AA681" s="4"/>
      <c r="AB681" s="4"/>
      <c r="AC681" s="4"/>
      <c r="AD681" s="5"/>
      <c r="AE681" s="6"/>
      <c r="AF681" s="6"/>
      <c r="AG681" s="6"/>
      <c r="AH681" s="6"/>
    </row>
    <row r="682" spans="1:34" ht="12.75" customHeight="1" x14ac:dyDescent="0.3">
      <c r="A682" s="2"/>
      <c r="B682" s="2"/>
      <c r="C682" s="3"/>
      <c r="D682" s="3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4"/>
      <c r="AA682" s="4"/>
      <c r="AB682" s="4"/>
      <c r="AC682" s="4"/>
      <c r="AD682" s="5"/>
      <c r="AE682" s="6"/>
      <c r="AF682" s="6"/>
      <c r="AG682" s="6"/>
      <c r="AH682" s="6"/>
    </row>
    <row r="683" spans="1:34" ht="12.75" customHeight="1" x14ac:dyDescent="0.3">
      <c r="A683" s="2"/>
      <c r="B683" s="2"/>
      <c r="C683" s="3"/>
      <c r="D683" s="3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4"/>
      <c r="AA683" s="4"/>
      <c r="AB683" s="4"/>
      <c r="AC683" s="4"/>
      <c r="AD683" s="5"/>
      <c r="AE683" s="6"/>
      <c r="AF683" s="6"/>
      <c r="AG683" s="6"/>
      <c r="AH683" s="6"/>
    </row>
    <row r="684" spans="1:34" ht="12.75" customHeight="1" x14ac:dyDescent="0.3">
      <c r="A684" s="2"/>
      <c r="B684" s="2"/>
      <c r="C684" s="3"/>
      <c r="D684" s="3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4"/>
      <c r="AA684" s="4"/>
      <c r="AB684" s="4"/>
      <c r="AC684" s="4"/>
      <c r="AD684" s="5"/>
      <c r="AE684" s="6"/>
      <c r="AF684" s="6"/>
      <c r="AG684" s="6"/>
      <c r="AH684" s="6"/>
    </row>
    <row r="685" spans="1:34" ht="12.75" customHeight="1" x14ac:dyDescent="0.3">
      <c r="A685" s="2"/>
      <c r="B685" s="2"/>
      <c r="C685" s="3"/>
      <c r="D685" s="3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4"/>
      <c r="AA685" s="4"/>
      <c r="AB685" s="4"/>
      <c r="AC685" s="4"/>
      <c r="AD685" s="5"/>
      <c r="AE685" s="6"/>
      <c r="AF685" s="6"/>
      <c r="AG685" s="6"/>
      <c r="AH685" s="6"/>
    </row>
    <row r="686" spans="1:34" ht="12.75" customHeight="1" x14ac:dyDescent="0.3">
      <c r="A686" s="2"/>
      <c r="B686" s="2"/>
      <c r="C686" s="3"/>
      <c r="D686" s="3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4"/>
      <c r="AA686" s="4"/>
      <c r="AB686" s="4"/>
      <c r="AC686" s="4"/>
      <c r="AD686" s="5"/>
      <c r="AE686" s="6"/>
      <c r="AF686" s="6"/>
      <c r="AG686" s="6"/>
      <c r="AH686" s="6"/>
    </row>
    <row r="687" spans="1:34" ht="12.75" customHeight="1" x14ac:dyDescent="0.3">
      <c r="A687" s="2"/>
      <c r="B687" s="2"/>
      <c r="C687" s="3"/>
      <c r="D687" s="3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4"/>
      <c r="AA687" s="4"/>
      <c r="AB687" s="4"/>
      <c r="AC687" s="4"/>
      <c r="AD687" s="5"/>
      <c r="AE687" s="6"/>
      <c r="AF687" s="6"/>
      <c r="AG687" s="6"/>
      <c r="AH687" s="6"/>
    </row>
    <row r="688" spans="1:34" ht="12.75" customHeight="1" x14ac:dyDescent="0.3">
      <c r="A688" s="2"/>
      <c r="B688" s="2"/>
      <c r="C688" s="3"/>
      <c r="D688" s="3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4"/>
      <c r="AA688" s="4"/>
      <c r="AB688" s="4"/>
      <c r="AC688" s="4"/>
      <c r="AD688" s="5"/>
      <c r="AE688" s="6"/>
      <c r="AF688" s="6"/>
      <c r="AG688" s="6"/>
      <c r="AH688" s="6"/>
    </row>
    <row r="689" spans="1:34" ht="12.75" customHeight="1" x14ac:dyDescent="0.3">
      <c r="A689" s="2"/>
      <c r="B689" s="2"/>
      <c r="C689" s="3"/>
      <c r="D689" s="3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4"/>
      <c r="AA689" s="4"/>
      <c r="AB689" s="4"/>
      <c r="AC689" s="4"/>
      <c r="AD689" s="5"/>
      <c r="AE689" s="6"/>
      <c r="AF689" s="6"/>
      <c r="AG689" s="6"/>
      <c r="AH689" s="6"/>
    </row>
    <row r="690" spans="1:34" ht="12.75" customHeight="1" x14ac:dyDescent="0.3">
      <c r="A690" s="2"/>
      <c r="B690" s="2"/>
      <c r="C690" s="3"/>
      <c r="D690" s="3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4"/>
      <c r="AA690" s="4"/>
      <c r="AB690" s="4"/>
      <c r="AC690" s="4"/>
      <c r="AD690" s="5"/>
      <c r="AE690" s="6"/>
      <c r="AF690" s="6"/>
      <c r="AG690" s="6"/>
      <c r="AH690" s="6"/>
    </row>
    <row r="691" spans="1:34" ht="12.75" customHeight="1" x14ac:dyDescent="0.3">
      <c r="A691" s="2"/>
      <c r="B691" s="2"/>
      <c r="C691" s="3"/>
      <c r="D691" s="3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4"/>
      <c r="AA691" s="4"/>
      <c r="AB691" s="4"/>
      <c r="AC691" s="4"/>
      <c r="AD691" s="5"/>
      <c r="AE691" s="6"/>
      <c r="AF691" s="6"/>
      <c r="AG691" s="6"/>
      <c r="AH691" s="6"/>
    </row>
    <row r="692" spans="1:34" ht="12.75" customHeight="1" x14ac:dyDescent="0.3">
      <c r="A692" s="2"/>
      <c r="B692" s="2"/>
      <c r="C692" s="3"/>
      <c r="D692" s="3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4"/>
      <c r="AA692" s="4"/>
      <c r="AB692" s="4"/>
      <c r="AC692" s="4"/>
      <c r="AD692" s="5"/>
      <c r="AE692" s="6"/>
      <c r="AF692" s="6"/>
      <c r="AG692" s="6"/>
      <c r="AH692" s="6"/>
    </row>
    <row r="693" spans="1:34" ht="12.75" customHeight="1" x14ac:dyDescent="0.3">
      <c r="A693" s="2"/>
      <c r="B693" s="2"/>
      <c r="C693" s="3"/>
      <c r="D693" s="3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4"/>
      <c r="AA693" s="4"/>
      <c r="AB693" s="4"/>
      <c r="AC693" s="4"/>
      <c r="AD693" s="5"/>
      <c r="AE693" s="6"/>
      <c r="AF693" s="6"/>
      <c r="AG693" s="6"/>
      <c r="AH693" s="6"/>
    </row>
    <row r="694" spans="1:34" ht="12.75" customHeight="1" x14ac:dyDescent="0.3">
      <c r="A694" s="2"/>
      <c r="B694" s="2"/>
      <c r="C694" s="3"/>
      <c r="D694" s="3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4"/>
      <c r="AA694" s="4"/>
      <c r="AB694" s="4"/>
      <c r="AC694" s="4"/>
      <c r="AD694" s="5"/>
      <c r="AE694" s="6"/>
      <c r="AF694" s="6"/>
      <c r="AG694" s="6"/>
      <c r="AH694" s="6"/>
    </row>
    <row r="695" spans="1:34" ht="12.75" customHeight="1" x14ac:dyDescent="0.3">
      <c r="A695" s="2"/>
      <c r="B695" s="2"/>
      <c r="C695" s="3"/>
      <c r="D695" s="3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4"/>
      <c r="AA695" s="4"/>
      <c r="AB695" s="4"/>
      <c r="AC695" s="4"/>
      <c r="AD695" s="5"/>
      <c r="AE695" s="6"/>
      <c r="AF695" s="6"/>
      <c r="AG695" s="6"/>
      <c r="AH695" s="6"/>
    </row>
    <row r="696" spans="1:34" ht="12.75" customHeight="1" x14ac:dyDescent="0.3">
      <c r="A696" s="2"/>
      <c r="B696" s="2"/>
      <c r="C696" s="3"/>
      <c r="D696" s="3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4"/>
      <c r="AA696" s="4"/>
      <c r="AB696" s="4"/>
      <c r="AC696" s="4"/>
      <c r="AD696" s="5"/>
      <c r="AE696" s="6"/>
      <c r="AF696" s="6"/>
      <c r="AG696" s="6"/>
      <c r="AH696" s="6"/>
    </row>
    <row r="697" spans="1:34" ht="12.75" customHeight="1" x14ac:dyDescent="0.3">
      <c r="A697" s="2"/>
      <c r="B697" s="2"/>
      <c r="C697" s="3"/>
      <c r="D697" s="3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4"/>
      <c r="AA697" s="4"/>
      <c r="AB697" s="4"/>
      <c r="AC697" s="4"/>
      <c r="AD697" s="5"/>
      <c r="AE697" s="6"/>
      <c r="AF697" s="6"/>
      <c r="AG697" s="6"/>
      <c r="AH697" s="6"/>
    </row>
    <row r="698" spans="1:34" ht="12.75" customHeight="1" x14ac:dyDescent="0.3">
      <c r="A698" s="2"/>
      <c r="B698" s="2"/>
      <c r="C698" s="3"/>
      <c r="D698" s="3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4"/>
      <c r="AA698" s="4"/>
      <c r="AB698" s="4"/>
      <c r="AC698" s="4"/>
      <c r="AD698" s="5"/>
      <c r="AE698" s="6"/>
      <c r="AF698" s="6"/>
      <c r="AG698" s="6"/>
      <c r="AH698" s="6"/>
    </row>
    <row r="699" spans="1:34" ht="12.75" customHeight="1" x14ac:dyDescent="0.3">
      <c r="A699" s="2"/>
      <c r="B699" s="2"/>
      <c r="C699" s="3"/>
      <c r="D699" s="3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4"/>
      <c r="AA699" s="4"/>
      <c r="AB699" s="4"/>
      <c r="AC699" s="4"/>
      <c r="AD699" s="5"/>
      <c r="AE699" s="6"/>
      <c r="AF699" s="6"/>
      <c r="AG699" s="6"/>
      <c r="AH699" s="6"/>
    </row>
    <row r="700" spans="1:34" ht="12.75" customHeight="1" x14ac:dyDescent="0.3">
      <c r="A700" s="2"/>
      <c r="B700" s="2"/>
      <c r="C700" s="3"/>
      <c r="D700" s="3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4"/>
      <c r="AA700" s="4"/>
      <c r="AB700" s="4"/>
      <c r="AC700" s="4"/>
      <c r="AD700" s="5"/>
      <c r="AE700" s="6"/>
      <c r="AF700" s="6"/>
      <c r="AG700" s="6"/>
      <c r="AH700" s="6"/>
    </row>
    <row r="701" spans="1:34" ht="12.75" customHeight="1" x14ac:dyDescent="0.3">
      <c r="A701" s="2"/>
      <c r="B701" s="2"/>
      <c r="C701" s="3"/>
      <c r="D701" s="3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4"/>
      <c r="AA701" s="4"/>
      <c r="AB701" s="4"/>
      <c r="AC701" s="4"/>
      <c r="AD701" s="5"/>
      <c r="AE701" s="6"/>
      <c r="AF701" s="6"/>
      <c r="AG701" s="6"/>
      <c r="AH701" s="6"/>
    </row>
    <row r="702" spans="1:34" ht="12.75" customHeight="1" x14ac:dyDescent="0.3">
      <c r="A702" s="2"/>
      <c r="B702" s="2"/>
      <c r="C702" s="3"/>
      <c r="D702" s="3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4"/>
      <c r="AA702" s="4"/>
      <c r="AB702" s="4"/>
      <c r="AC702" s="4"/>
      <c r="AD702" s="5"/>
      <c r="AE702" s="6"/>
      <c r="AF702" s="6"/>
      <c r="AG702" s="6"/>
      <c r="AH702" s="6"/>
    </row>
    <row r="703" spans="1:34" ht="12.75" customHeight="1" x14ac:dyDescent="0.3">
      <c r="A703" s="2"/>
      <c r="B703" s="2"/>
      <c r="C703" s="3"/>
      <c r="D703" s="3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4"/>
      <c r="AA703" s="4"/>
      <c r="AB703" s="4"/>
      <c r="AC703" s="4"/>
      <c r="AD703" s="5"/>
      <c r="AE703" s="6"/>
      <c r="AF703" s="6"/>
      <c r="AG703" s="6"/>
      <c r="AH703" s="6"/>
    </row>
    <row r="704" spans="1:34" ht="12.75" customHeight="1" x14ac:dyDescent="0.3">
      <c r="A704" s="2"/>
      <c r="B704" s="2"/>
      <c r="C704" s="3"/>
      <c r="D704" s="3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4"/>
      <c r="AA704" s="4"/>
      <c r="AB704" s="4"/>
      <c r="AC704" s="4"/>
      <c r="AD704" s="5"/>
      <c r="AE704" s="6"/>
      <c r="AF704" s="6"/>
      <c r="AG704" s="6"/>
      <c r="AH704" s="6"/>
    </row>
    <row r="705" spans="1:34" ht="12.75" customHeight="1" x14ac:dyDescent="0.3">
      <c r="A705" s="2"/>
      <c r="B705" s="2"/>
      <c r="C705" s="3"/>
      <c r="D705" s="3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4"/>
      <c r="AA705" s="4"/>
      <c r="AB705" s="4"/>
      <c r="AC705" s="4"/>
      <c r="AD705" s="5"/>
      <c r="AE705" s="6"/>
      <c r="AF705" s="6"/>
      <c r="AG705" s="6"/>
      <c r="AH705" s="6"/>
    </row>
    <row r="706" spans="1:34" ht="12.75" customHeight="1" x14ac:dyDescent="0.3">
      <c r="A706" s="2"/>
      <c r="B706" s="2"/>
      <c r="C706" s="3"/>
      <c r="D706" s="3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4"/>
      <c r="AA706" s="4"/>
      <c r="AB706" s="4"/>
      <c r="AC706" s="4"/>
      <c r="AD706" s="5"/>
      <c r="AE706" s="6"/>
      <c r="AF706" s="6"/>
      <c r="AG706" s="6"/>
      <c r="AH706" s="6"/>
    </row>
    <row r="707" spans="1:34" ht="12.75" customHeight="1" x14ac:dyDescent="0.3">
      <c r="A707" s="2"/>
      <c r="B707" s="2"/>
      <c r="C707" s="3"/>
      <c r="D707" s="3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4"/>
      <c r="AA707" s="4"/>
      <c r="AB707" s="4"/>
      <c r="AC707" s="4"/>
      <c r="AD707" s="5"/>
      <c r="AE707" s="6"/>
      <c r="AF707" s="6"/>
      <c r="AG707" s="6"/>
      <c r="AH707" s="6"/>
    </row>
    <row r="708" spans="1:34" ht="12.75" customHeight="1" x14ac:dyDescent="0.3">
      <c r="A708" s="2"/>
      <c r="B708" s="2"/>
      <c r="C708" s="3"/>
      <c r="D708" s="3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4"/>
      <c r="AA708" s="4"/>
      <c r="AB708" s="4"/>
      <c r="AC708" s="4"/>
      <c r="AD708" s="5"/>
      <c r="AE708" s="6"/>
      <c r="AF708" s="6"/>
      <c r="AG708" s="6"/>
      <c r="AH708" s="6"/>
    </row>
    <row r="709" spans="1:34" ht="12.75" customHeight="1" x14ac:dyDescent="0.3">
      <c r="A709" s="2"/>
      <c r="B709" s="2"/>
      <c r="C709" s="3"/>
      <c r="D709" s="3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4"/>
      <c r="AA709" s="4"/>
      <c r="AB709" s="4"/>
      <c r="AC709" s="4"/>
      <c r="AD709" s="5"/>
      <c r="AE709" s="6"/>
      <c r="AF709" s="6"/>
      <c r="AG709" s="6"/>
      <c r="AH709" s="6"/>
    </row>
    <row r="710" spans="1:34" ht="12.75" customHeight="1" x14ac:dyDescent="0.3">
      <c r="A710" s="2"/>
      <c r="B710" s="2"/>
      <c r="C710" s="3"/>
      <c r="D710" s="3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4"/>
      <c r="AA710" s="4"/>
      <c r="AB710" s="4"/>
      <c r="AC710" s="4"/>
      <c r="AD710" s="5"/>
      <c r="AE710" s="6"/>
      <c r="AF710" s="6"/>
      <c r="AG710" s="6"/>
      <c r="AH710" s="6"/>
    </row>
    <row r="711" spans="1:34" ht="12.75" customHeight="1" x14ac:dyDescent="0.3">
      <c r="A711" s="2"/>
      <c r="B711" s="2"/>
      <c r="C711" s="3"/>
      <c r="D711" s="3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4"/>
      <c r="AA711" s="4"/>
      <c r="AB711" s="4"/>
      <c r="AC711" s="4"/>
      <c r="AD711" s="5"/>
      <c r="AE711" s="6"/>
      <c r="AF711" s="6"/>
      <c r="AG711" s="6"/>
      <c r="AH711" s="6"/>
    </row>
    <row r="712" spans="1:34" ht="12.75" customHeight="1" x14ac:dyDescent="0.3">
      <c r="A712" s="2"/>
      <c r="B712" s="2"/>
      <c r="C712" s="3"/>
      <c r="D712" s="3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4"/>
      <c r="AA712" s="4"/>
      <c r="AB712" s="4"/>
      <c r="AC712" s="4"/>
      <c r="AD712" s="5"/>
      <c r="AE712" s="6"/>
      <c r="AF712" s="6"/>
      <c r="AG712" s="6"/>
      <c r="AH712" s="6"/>
    </row>
    <row r="713" spans="1:34" ht="12.75" customHeight="1" x14ac:dyDescent="0.3">
      <c r="A713" s="2"/>
      <c r="B713" s="2"/>
      <c r="C713" s="3"/>
      <c r="D713" s="3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4"/>
      <c r="AA713" s="4"/>
      <c r="AB713" s="4"/>
      <c r="AC713" s="4"/>
      <c r="AD713" s="5"/>
      <c r="AE713" s="6"/>
      <c r="AF713" s="6"/>
      <c r="AG713" s="6"/>
      <c r="AH713" s="6"/>
    </row>
    <row r="714" spans="1:34" ht="12.75" customHeight="1" x14ac:dyDescent="0.3">
      <c r="A714" s="2"/>
      <c r="B714" s="2"/>
      <c r="C714" s="3"/>
      <c r="D714" s="3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4"/>
      <c r="AA714" s="4"/>
      <c r="AB714" s="4"/>
      <c r="AC714" s="4"/>
      <c r="AD714" s="5"/>
      <c r="AE714" s="6"/>
      <c r="AF714" s="6"/>
      <c r="AG714" s="6"/>
      <c r="AH714" s="6"/>
    </row>
    <row r="715" spans="1:34" ht="12.75" customHeight="1" x14ac:dyDescent="0.3">
      <c r="A715" s="2"/>
      <c r="B715" s="2"/>
      <c r="C715" s="3"/>
      <c r="D715" s="3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4"/>
      <c r="AA715" s="4"/>
      <c r="AB715" s="4"/>
      <c r="AC715" s="4"/>
      <c r="AD715" s="5"/>
      <c r="AE715" s="6"/>
      <c r="AF715" s="6"/>
      <c r="AG715" s="6"/>
      <c r="AH715" s="6"/>
    </row>
    <row r="716" spans="1:34" ht="12.75" customHeight="1" x14ac:dyDescent="0.3">
      <c r="A716" s="2"/>
      <c r="B716" s="2"/>
      <c r="C716" s="3"/>
      <c r="D716" s="3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4"/>
      <c r="AA716" s="4"/>
      <c r="AB716" s="4"/>
      <c r="AC716" s="4"/>
      <c r="AD716" s="5"/>
      <c r="AE716" s="6"/>
      <c r="AF716" s="6"/>
      <c r="AG716" s="6"/>
      <c r="AH716" s="6"/>
    </row>
    <row r="717" spans="1:34" ht="12.75" customHeight="1" x14ac:dyDescent="0.3">
      <c r="A717" s="2"/>
      <c r="B717" s="2"/>
      <c r="C717" s="3"/>
      <c r="D717" s="3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4"/>
      <c r="AA717" s="4"/>
      <c r="AB717" s="4"/>
      <c r="AC717" s="4"/>
      <c r="AD717" s="5"/>
      <c r="AE717" s="6"/>
      <c r="AF717" s="6"/>
      <c r="AG717" s="6"/>
      <c r="AH717" s="6"/>
    </row>
    <row r="718" spans="1:34" ht="12.75" customHeight="1" x14ac:dyDescent="0.3">
      <c r="A718" s="2"/>
      <c r="B718" s="2"/>
      <c r="C718" s="3"/>
      <c r="D718" s="3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4"/>
      <c r="AA718" s="4"/>
      <c r="AB718" s="4"/>
      <c r="AC718" s="4"/>
      <c r="AD718" s="5"/>
      <c r="AE718" s="6"/>
      <c r="AF718" s="6"/>
      <c r="AG718" s="6"/>
      <c r="AH718" s="6"/>
    </row>
    <row r="719" spans="1:34" ht="12.75" customHeight="1" x14ac:dyDescent="0.3">
      <c r="A719" s="2"/>
      <c r="B719" s="2"/>
      <c r="C719" s="3"/>
      <c r="D719" s="3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4"/>
      <c r="AA719" s="4"/>
      <c r="AB719" s="4"/>
      <c r="AC719" s="4"/>
      <c r="AD719" s="5"/>
      <c r="AE719" s="6"/>
      <c r="AF719" s="6"/>
      <c r="AG719" s="6"/>
      <c r="AH719" s="6"/>
    </row>
    <row r="720" spans="1:34" ht="12.75" customHeight="1" x14ac:dyDescent="0.3">
      <c r="A720" s="2"/>
      <c r="B720" s="2"/>
      <c r="C720" s="3"/>
      <c r="D720" s="3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4"/>
      <c r="AA720" s="4"/>
      <c r="AB720" s="4"/>
      <c r="AC720" s="4"/>
      <c r="AD720" s="5"/>
      <c r="AE720" s="6"/>
      <c r="AF720" s="6"/>
      <c r="AG720" s="6"/>
      <c r="AH720" s="6"/>
    </row>
    <row r="721" spans="1:34" ht="12.75" customHeight="1" x14ac:dyDescent="0.3">
      <c r="A721" s="2"/>
      <c r="B721" s="2"/>
      <c r="C721" s="3"/>
      <c r="D721" s="3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4"/>
      <c r="AA721" s="4"/>
      <c r="AB721" s="4"/>
      <c r="AC721" s="4"/>
      <c r="AD721" s="5"/>
      <c r="AE721" s="6"/>
      <c r="AF721" s="6"/>
      <c r="AG721" s="6"/>
      <c r="AH721" s="6"/>
    </row>
    <row r="722" spans="1:34" ht="12.75" customHeight="1" x14ac:dyDescent="0.3">
      <c r="A722" s="2"/>
      <c r="B722" s="2"/>
      <c r="C722" s="3"/>
      <c r="D722" s="3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4"/>
      <c r="AA722" s="4"/>
      <c r="AB722" s="4"/>
      <c r="AC722" s="4"/>
      <c r="AD722" s="5"/>
      <c r="AE722" s="6"/>
      <c r="AF722" s="6"/>
      <c r="AG722" s="6"/>
      <c r="AH722" s="6"/>
    </row>
    <row r="723" spans="1:34" ht="12.75" customHeight="1" x14ac:dyDescent="0.3">
      <c r="A723" s="2"/>
      <c r="B723" s="2"/>
      <c r="C723" s="3"/>
      <c r="D723" s="3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4"/>
      <c r="AA723" s="4"/>
      <c r="AB723" s="4"/>
      <c r="AC723" s="4"/>
      <c r="AD723" s="5"/>
      <c r="AE723" s="6"/>
      <c r="AF723" s="6"/>
      <c r="AG723" s="6"/>
      <c r="AH723" s="6"/>
    </row>
    <row r="724" spans="1:34" ht="12.75" customHeight="1" x14ac:dyDescent="0.3">
      <c r="A724" s="2"/>
      <c r="B724" s="2"/>
      <c r="C724" s="3"/>
      <c r="D724" s="3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4"/>
      <c r="AA724" s="4"/>
      <c r="AB724" s="4"/>
      <c r="AC724" s="4"/>
      <c r="AD724" s="5"/>
      <c r="AE724" s="6"/>
      <c r="AF724" s="6"/>
      <c r="AG724" s="6"/>
      <c r="AH724" s="6"/>
    </row>
    <row r="725" spans="1:34" ht="12.75" customHeight="1" x14ac:dyDescent="0.3">
      <c r="A725" s="2"/>
      <c r="B725" s="2"/>
      <c r="C725" s="3"/>
      <c r="D725" s="3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4"/>
      <c r="AA725" s="4"/>
      <c r="AB725" s="4"/>
      <c r="AC725" s="4"/>
      <c r="AD725" s="5"/>
      <c r="AE725" s="6"/>
      <c r="AF725" s="6"/>
      <c r="AG725" s="6"/>
      <c r="AH725" s="6"/>
    </row>
    <row r="726" spans="1:34" ht="12.75" customHeight="1" x14ac:dyDescent="0.3">
      <c r="A726" s="2"/>
      <c r="B726" s="2"/>
      <c r="C726" s="3"/>
      <c r="D726" s="3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4"/>
      <c r="AA726" s="4"/>
      <c r="AB726" s="4"/>
      <c r="AC726" s="4"/>
      <c r="AD726" s="5"/>
      <c r="AE726" s="6"/>
      <c r="AF726" s="6"/>
      <c r="AG726" s="6"/>
      <c r="AH726" s="6"/>
    </row>
    <row r="727" spans="1:34" ht="12.75" customHeight="1" x14ac:dyDescent="0.3">
      <c r="A727" s="2"/>
      <c r="B727" s="2"/>
      <c r="C727" s="3"/>
      <c r="D727" s="3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4"/>
      <c r="AA727" s="4"/>
      <c r="AB727" s="4"/>
      <c r="AC727" s="4"/>
      <c r="AD727" s="5"/>
      <c r="AE727" s="6"/>
      <c r="AF727" s="6"/>
      <c r="AG727" s="6"/>
      <c r="AH727" s="6"/>
    </row>
    <row r="728" spans="1:34" ht="12.75" customHeight="1" x14ac:dyDescent="0.3">
      <c r="A728" s="2"/>
      <c r="B728" s="2"/>
      <c r="C728" s="3"/>
      <c r="D728" s="3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4"/>
      <c r="AA728" s="4"/>
      <c r="AB728" s="4"/>
      <c r="AC728" s="4"/>
      <c r="AD728" s="5"/>
      <c r="AE728" s="6"/>
      <c r="AF728" s="6"/>
      <c r="AG728" s="6"/>
      <c r="AH728" s="6"/>
    </row>
    <row r="729" spans="1:34" ht="12.75" customHeight="1" x14ac:dyDescent="0.3">
      <c r="A729" s="2"/>
      <c r="B729" s="2"/>
      <c r="C729" s="3"/>
      <c r="D729" s="3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4"/>
      <c r="AA729" s="4"/>
      <c r="AB729" s="4"/>
      <c r="AC729" s="4"/>
      <c r="AD729" s="5"/>
      <c r="AE729" s="6"/>
      <c r="AF729" s="6"/>
      <c r="AG729" s="6"/>
      <c r="AH729" s="6"/>
    </row>
    <row r="730" spans="1:34" ht="12.75" customHeight="1" x14ac:dyDescent="0.3">
      <c r="A730" s="2"/>
      <c r="B730" s="2"/>
      <c r="C730" s="3"/>
      <c r="D730" s="3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4"/>
      <c r="AA730" s="4"/>
      <c r="AB730" s="4"/>
      <c r="AC730" s="4"/>
      <c r="AD730" s="5"/>
      <c r="AE730" s="6"/>
      <c r="AF730" s="6"/>
      <c r="AG730" s="6"/>
      <c r="AH730" s="6"/>
    </row>
    <row r="731" spans="1:34" ht="12.75" customHeight="1" x14ac:dyDescent="0.3">
      <c r="A731" s="2"/>
      <c r="B731" s="2"/>
      <c r="C731" s="3"/>
      <c r="D731" s="3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4"/>
      <c r="AA731" s="4"/>
      <c r="AB731" s="4"/>
      <c r="AC731" s="4"/>
      <c r="AD731" s="5"/>
      <c r="AE731" s="6"/>
      <c r="AF731" s="6"/>
      <c r="AG731" s="6"/>
      <c r="AH731" s="6"/>
    </row>
    <row r="732" spans="1:34" ht="12.75" customHeight="1" x14ac:dyDescent="0.3">
      <c r="A732" s="2"/>
      <c r="B732" s="2"/>
      <c r="C732" s="3"/>
      <c r="D732" s="3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4"/>
      <c r="AA732" s="4"/>
      <c r="AB732" s="4"/>
      <c r="AC732" s="4"/>
      <c r="AD732" s="5"/>
      <c r="AE732" s="6"/>
      <c r="AF732" s="6"/>
      <c r="AG732" s="6"/>
      <c r="AH732" s="6"/>
    </row>
    <row r="733" spans="1:34" ht="12.75" customHeight="1" x14ac:dyDescent="0.3">
      <c r="A733" s="2"/>
      <c r="B733" s="2"/>
      <c r="C733" s="3"/>
      <c r="D733" s="3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4"/>
      <c r="AA733" s="4"/>
      <c r="AB733" s="4"/>
      <c r="AC733" s="4"/>
      <c r="AD733" s="5"/>
      <c r="AE733" s="6"/>
      <c r="AF733" s="6"/>
      <c r="AG733" s="6"/>
      <c r="AH733" s="6"/>
    </row>
    <row r="734" spans="1:34" ht="12.75" customHeight="1" x14ac:dyDescent="0.3">
      <c r="A734" s="2"/>
      <c r="B734" s="2"/>
      <c r="C734" s="3"/>
      <c r="D734" s="3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4"/>
      <c r="AA734" s="4"/>
      <c r="AB734" s="4"/>
      <c r="AC734" s="4"/>
      <c r="AD734" s="5"/>
      <c r="AE734" s="6"/>
      <c r="AF734" s="6"/>
      <c r="AG734" s="6"/>
      <c r="AH734" s="6"/>
    </row>
    <row r="735" spans="1:34" ht="12.75" customHeight="1" x14ac:dyDescent="0.3">
      <c r="A735" s="2"/>
      <c r="B735" s="2"/>
      <c r="C735" s="3"/>
      <c r="D735" s="3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4"/>
      <c r="AA735" s="4"/>
      <c r="AB735" s="4"/>
      <c r="AC735" s="4"/>
      <c r="AD735" s="5"/>
      <c r="AE735" s="6"/>
      <c r="AF735" s="6"/>
      <c r="AG735" s="6"/>
      <c r="AH735" s="6"/>
    </row>
    <row r="736" spans="1:34" ht="12.75" customHeight="1" x14ac:dyDescent="0.3">
      <c r="A736" s="2"/>
      <c r="B736" s="2"/>
      <c r="C736" s="3"/>
      <c r="D736" s="3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4"/>
      <c r="AA736" s="4"/>
      <c r="AB736" s="4"/>
      <c r="AC736" s="4"/>
      <c r="AD736" s="5"/>
      <c r="AE736" s="6"/>
      <c r="AF736" s="6"/>
      <c r="AG736" s="6"/>
      <c r="AH736" s="6"/>
    </row>
    <row r="737" spans="1:34" ht="12.75" customHeight="1" x14ac:dyDescent="0.3">
      <c r="A737" s="2"/>
      <c r="B737" s="2"/>
      <c r="C737" s="3"/>
      <c r="D737" s="3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4"/>
      <c r="AA737" s="4"/>
      <c r="AB737" s="4"/>
      <c r="AC737" s="4"/>
      <c r="AD737" s="5"/>
      <c r="AE737" s="6"/>
      <c r="AF737" s="6"/>
      <c r="AG737" s="6"/>
      <c r="AH737" s="6"/>
    </row>
    <row r="738" spans="1:34" ht="12.75" customHeight="1" x14ac:dyDescent="0.3">
      <c r="A738" s="2"/>
      <c r="B738" s="2"/>
      <c r="C738" s="3"/>
      <c r="D738" s="3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4"/>
      <c r="AA738" s="4"/>
      <c r="AB738" s="4"/>
      <c r="AC738" s="4"/>
      <c r="AD738" s="5"/>
      <c r="AE738" s="6"/>
      <c r="AF738" s="6"/>
      <c r="AG738" s="6"/>
      <c r="AH738" s="6"/>
    </row>
    <row r="739" spans="1:34" ht="12.75" customHeight="1" x14ac:dyDescent="0.3">
      <c r="A739" s="2"/>
      <c r="B739" s="2"/>
      <c r="C739" s="3"/>
      <c r="D739" s="3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4"/>
      <c r="AA739" s="4"/>
      <c r="AB739" s="4"/>
      <c r="AC739" s="4"/>
      <c r="AD739" s="5"/>
      <c r="AE739" s="6"/>
      <c r="AF739" s="6"/>
      <c r="AG739" s="6"/>
      <c r="AH739" s="6"/>
    </row>
    <row r="740" spans="1:34" ht="12.75" customHeight="1" x14ac:dyDescent="0.3">
      <c r="A740" s="2"/>
      <c r="B740" s="2"/>
      <c r="C740" s="3"/>
      <c r="D740" s="3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4"/>
      <c r="AA740" s="4"/>
      <c r="AB740" s="4"/>
      <c r="AC740" s="4"/>
      <c r="AD740" s="5"/>
      <c r="AE740" s="6"/>
      <c r="AF740" s="6"/>
      <c r="AG740" s="6"/>
      <c r="AH740" s="6"/>
    </row>
    <row r="741" spans="1:34" ht="12.75" customHeight="1" x14ac:dyDescent="0.3">
      <c r="A741" s="2"/>
      <c r="B741" s="2"/>
      <c r="C741" s="3"/>
      <c r="D741" s="3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4"/>
      <c r="AA741" s="4"/>
      <c r="AB741" s="4"/>
      <c r="AC741" s="4"/>
      <c r="AD741" s="5"/>
      <c r="AE741" s="6"/>
      <c r="AF741" s="6"/>
      <c r="AG741" s="6"/>
      <c r="AH741" s="6"/>
    </row>
    <row r="742" spans="1:34" ht="12.75" customHeight="1" x14ac:dyDescent="0.3">
      <c r="A742" s="2"/>
      <c r="B742" s="2"/>
      <c r="C742" s="3"/>
      <c r="D742" s="3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4"/>
      <c r="AA742" s="4"/>
      <c r="AB742" s="4"/>
      <c r="AC742" s="4"/>
      <c r="AD742" s="5"/>
      <c r="AE742" s="6"/>
      <c r="AF742" s="6"/>
      <c r="AG742" s="6"/>
      <c r="AH742" s="6"/>
    </row>
    <row r="743" spans="1:34" ht="12.75" customHeight="1" x14ac:dyDescent="0.3">
      <c r="A743" s="2"/>
      <c r="B743" s="2"/>
      <c r="C743" s="3"/>
      <c r="D743" s="3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4"/>
      <c r="AA743" s="4"/>
      <c r="AB743" s="4"/>
      <c r="AC743" s="4"/>
      <c r="AD743" s="5"/>
      <c r="AE743" s="6"/>
      <c r="AF743" s="6"/>
      <c r="AG743" s="6"/>
      <c r="AH743" s="6"/>
    </row>
    <row r="744" spans="1:34" ht="12.75" customHeight="1" x14ac:dyDescent="0.3">
      <c r="A744" s="2"/>
      <c r="B744" s="2"/>
      <c r="C744" s="3"/>
      <c r="D744" s="3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4"/>
      <c r="AA744" s="4"/>
      <c r="AB744" s="4"/>
      <c r="AC744" s="4"/>
      <c r="AD744" s="5"/>
      <c r="AE744" s="6"/>
      <c r="AF744" s="6"/>
      <c r="AG744" s="6"/>
      <c r="AH744" s="6"/>
    </row>
    <row r="745" spans="1:34" ht="12.75" customHeight="1" x14ac:dyDescent="0.3">
      <c r="A745" s="2"/>
      <c r="B745" s="2"/>
      <c r="C745" s="3"/>
      <c r="D745" s="3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4"/>
      <c r="AA745" s="4"/>
      <c r="AB745" s="4"/>
      <c r="AC745" s="4"/>
      <c r="AD745" s="5"/>
      <c r="AE745" s="6"/>
      <c r="AF745" s="6"/>
      <c r="AG745" s="6"/>
      <c r="AH745" s="6"/>
    </row>
    <row r="746" spans="1:34" ht="12.75" customHeight="1" x14ac:dyDescent="0.3">
      <c r="A746" s="2"/>
      <c r="B746" s="2"/>
      <c r="C746" s="3"/>
      <c r="D746" s="3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4"/>
      <c r="AA746" s="4"/>
      <c r="AB746" s="4"/>
      <c r="AC746" s="4"/>
      <c r="AD746" s="5"/>
      <c r="AE746" s="6"/>
      <c r="AF746" s="6"/>
      <c r="AG746" s="6"/>
      <c r="AH746" s="6"/>
    </row>
    <row r="747" spans="1:34" ht="12.75" customHeight="1" x14ac:dyDescent="0.3">
      <c r="A747" s="2"/>
      <c r="B747" s="2"/>
      <c r="C747" s="3"/>
      <c r="D747" s="3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4"/>
      <c r="AA747" s="4"/>
      <c r="AB747" s="4"/>
      <c r="AC747" s="4"/>
      <c r="AD747" s="5"/>
      <c r="AE747" s="6"/>
      <c r="AF747" s="6"/>
      <c r="AG747" s="6"/>
      <c r="AH747" s="6"/>
    </row>
    <row r="748" spans="1:34" ht="12.75" customHeight="1" x14ac:dyDescent="0.3">
      <c r="A748" s="2"/>
      <c r="B748" s="2"/>
      <c r="C748" s="3"/>
      <c r="D748" s="3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4"/>
      <c r="AA748" s="4"/>
      <c r="AB748" s="4"/>
      <c r="AC748" s="4"/>
      <c r="AD748" s="5"/>
      <c r="AE748" s="6"/>
      <c r="AF748" s="6"/>
      <c r="AG748" s="6"/>
      <c r="AH748" s="6"/>
    </row>
    <row r="749" spans="1:34" ht="12.75" customHeight="1" x14ac:dyDescent="0.3">
      <c r="A749" s="2"/>
      <c r="B749" s="2"/>
      <c r="C749" s="3"/>
      <c r="D749" s="3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4"/>
      <c r="AA749" s="4"/>
      <c r="AB749" s="4"/>
      <c r="AC749" s="4"/>
      <c r="AD749" s="5"/>
      <c r="AE749" s="6"/>
      <c r="AF749" s="6"/>
      <c r="AG749" s="6"/>
      <c r="AH749" s="6"/>
    </row>
    <row r="750" spans="1:34" ht="12.75" customHeight="1" x14ac:dyDescent="0.3">
      <c r="A750" s="2"/>
      <c r="B750" s="2"/>
      <c r="C750" s="3"/>
      <c r="D750" s="3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4"/>
      <c r="AA750" s="4"/>
      <c r="AB750" s="4"/>
      <c r="AC750" s="4"/>
      <c r="AD750" s="5"/>
      <c r="AE750" s="6"/>
      <c r="AF750" s="6"/>
      <c r="AG750" s="6"/>
      <c r="AH750" s="6"/>
    </row>
    <row r="751" spans="1:34" ht="12.75" customHeight="1" x14ac:dyDescent="0.3">
      <c r="A751" s="2"/>
      <c r="B751" s="2"/>
      <c r="C751" s="3"/>
      <c r="D751" s="3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4"/>
      <c r="AA751" s="4"/>
      <c r="AB751" s="4"/>
      <c r="AC751" s="4"/>
      <c r="AD751" s="5"/>
      <c r="AE751" s="6"/>
      <c r="AF751" s="6"/>
      <c r="AG751" s="6"/>
      <c r="AH751" s="6"/>
    </row>
    <row r="752" spans="1:34" ht="12.75" customHeight="1" x14ac:dyDescent="0.3">
      <c r="A752" s="2"/>
      <c r="B752" s="2"/>
      <c r="C752" s="3"/>
      <c r="D752" s="3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4"/>
      <c r="AA752" s="4"/>
      <c r="AB752" s="4"/>
      <c r="AC752" s="4"/>
      <c r="AD752" s="5"/>
      <c r="AE752" s="6"/>
      <c r="AF752" s="6"/>
      <c r="AG752" s="6"/>
      <c r="AH752" s="6"/>
    </row>
    <row r="753" spans="1:34" ht="12.75" customHeight="1" x14ac:dyDescent="0.3">
      <c r="A753" s="2"/>
      <c r="B753" s="2"/>
      <c r="C753" s="3"/>
      <c r="D753" s="3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4"/>
      <c r="AA753" s="4"/>
      <c r="AB753" s="4"/>
      <c r="AC753" s="4"/>
      <c r="AD753" s="5"/>
      <c r="AE753" s="6"/>
      <c r="AF753" s="6"/>
      <c r="AG753" s="6"/>
      <c r="AH753" s="6"/>
    </row>
    <row r="754" spans="1:34" ht="12.75" customHeight="1" x14ac:dyDescent="0.3">
      <c r="A754" s="2"/>
      <c r="B754" s="2"/>
      <c r="C754" s="3"/>
      <c r="D754" s="3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4"/>
      <c r="AA754" s="4"/>
      <c r="AB754" s="4"/>
      <c r="AC754" s="4"/>
      <c r="AD754" s="5"/>
      <c r="AE754" s="6"/>
      <c r="AF754" s="6"/>
      <c r="AG754" s="6"/>
      <c r="AH754" s="6"/>
    </row>
    <row r="755" spans="1:34" ht="12.75" customHeight="1" x14ac:dyDescent="0.3">
      <c r="A755" s="2"/>
      <c r="B755" s="2"/>
      <c r="C755" s="3"/>
      <c r="D755" s="3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4"/>
      <c r="AA755" s="4"/>
      <c r="AB755" s="4"/>
      <c r="AC755" s="4"/>
      <c r="AD755" s="5"/>
      <c r="AE755" s="6"/>
      <c r="AF755" s="6"/>
      <c r="AG755" s="6"/>
      <c r="AH755" s="6"/>
    </row>
    <row r="756" spans="1:34" ht="12.75" customHeight="1" x14ac:dyDescent="0.3">
      <c r="A756" s="2"/>
      <c r="B756" s="2"/>
      <c r="C756" s="3"/>
      <c r="D756" s="3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4"/>
      <c r="AA756" s="4"/>
      <c r="AB756" s="4"/>
      <c r="AC756" s="4"/>
      <c r="AD756" s="5"/>
      <c r="AE756" s="6"/>
      <c r="AF756" s="6"/>
      <c r="AG756" s="6"/>
      <c r="AH756" s="6"/>
    </row>
    <row r="757" spans="1:34" ht="12.75" customHeight="1" x14ac:dyDescent="0.3">
      <c r="A757" s="2"/>
      <c r="B757" s="2"/>
      <c r="C757" s="3"/>
      <c r="D757" s="3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4"/>
      <c r="AA757" s="4"/>
      <c r="AB757" s="4"/>
      <c r="AC757" s="4"/>
      <c r="AD757" s="5"/>
      <c r="AE757" s="6"/>
      <c r="AF757" s="6"/>
      <c r="AG757" s="6"/>
      <c r="AH757" s="6"/>
    </row>
    <row r="758" spans="1:34" ht="12.75" customHeight="1" x14ac:dyDescent="0.3">
      <c r="A758" s="2"/>
      <c r="B758" s="2"/>
      <c r="C758" s="3"/>
      <c r="D758" s="3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4"/>
      <c r="AA758" s="4"/>
      <c r="AB758" s="4"/>
      <c r="AC758" s="4"/>
      <c r="AD758" s="5"/>
      <c r="AE758" s="6"/>
      <c r="AF758" s="6"/>
      <c r="AG758" s="6"/>
      <c r="AH758" s="6"/>
    </row>
    <row r="759" spans="1:34" ht="12.75" customHeight="1" x14ac:dyDescent="0.3">
      <c r="A759" s="2"/>
      <c r="B759" s="2"/>
      <c r="C759" s="3"/>
      <c r="D759" s="3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4"/>
      <c r="AA759" s="4"/>
      <c r="AB759" s="4"/>
      <c r="AC759" s="4"/>
      <c r="AD759" s="5"/>
      <c r="AE759" s="6"/>
      <c r="AF759" s="6"/>
      <c r="AG759" s="6"/>
      <c r="AH759" s="6"/>
    </row>
    <row r="760" spans="1:34" ht="12.75" customHeight="1" x14ac:dyDescent="0.3">
      <c r="A760" s="2"/>
      <c r="B760" s="2"/>
      <c r="C760" s="3"/>
      <c r="D760" s="3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4"/>
      <c r="AA760" s="4"/>
      <c r="AB760" s="4"/>
      <c r="AC760" s="4"/>
      <c r="AD760" s="5"/>
      <c r="AE760" s="6"/>
      <c r="AF760" s="6"/>
      <c r="AG760" s="6"/>
      <c r="AH760" s="6"/>
    </row>
    <row r="761" spans="1:34" ht="12.75" customHeight="1" x14ac:dyDescent="0.3">
      <c r="A761" s="2"/>
      <c r="B761" s="2"/>
      <c r="C761" s="3"/>
      <c r="D761" s="3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4"/>
      <c r="AA761" s="4"/>
      <c r="AB761" s="4"/>
      <c r="AC761" s="4"/>
      <c r="AD761" s="5"/>
      <c r="AE761" s="6"/>
      <c r="AF761" s="6"/>
      <c r="AG761" s="6"/>
      <c r="AH761" s="6"/>
    </row>
    <row r="762" spans="1:34" ht="12.75" customHeight="1" x14ac:dyDescent="0.3">
      <c r="A762" s="2"/>
      <c r="B762" s="2"/>
      <c r="C762" s="3"/>
      <c r="D762" s="3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4"/>
      <c r="AA762" s="4"/>
      <c r="AB762" s="4"/>
      <c r="AC762" s="4"/>
      <c r="AD762" s="5"/>
      <c r="AE762" s="6"/>
      <c r="AF762" s="6"/>
      <c r="AG762" s="6"/>
      <c r="AH762" s="6"/>
    </row>
    <row r="763" spans="1:34" ht="12.75" customHeight="1" x14ac:dyDescent="0.3">
      <c r="A763" s="2"/>
      <c r="B763" s="2"/>
      <c r="C763" s="3"/>
      <c r="D763" s="3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4"/>
      <c r="AA763" s="4"/>
      <c r="AB763" s="4"/>
      <c r="AC763" s="4"/>
      <c r="AD763" s="5"/>
      <c r="AE763" s="6"/>
      <c r="AF763" s="6"/>
      <c r="AG763" s="6"/>
      <c r="AH763" s="6"/>
    </row>
    <row r="764" spans="1:34" ht="12.75" customHeight="1" x14ac:dyDescent="0.3">
      <c r="A764" s="2"/>
      <c r="B764" s="2"/>
      <c r="C764" s="3"/>
      <c r="D764" s="3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4"/>
      <c r="AA764" s="4"/>
      <c r="AB764" s="4"/>
      <c r="AC764" s="4"/>
      <c r="AD764" s="5"/>
      <c r="AE764" s="6"/>
      <c r="AF764" s="6"/>
      <c r="AG764" s="6"/>
      <c r="AH764" s="6"/>
    </row>
    <row r="765" spans="1:34" ht="12.75" customHeight="1" x14ac:dyDescent="0.3">
      <c r="A765" s="2"/>
      <c r="B765" s="2"/>
      <c r="C765" s="3"/>
      <c r="D765" s="3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4"/>
      <c r="AA765" s="4"/>
      <c r="AB765" s="4"/>
      <c r="AC765" s="4"/>
      <c r="AD765" s="5"/>
      <c r="AE765" s="6"/>
      <c r="AF765" s="6"/>
      <c r="AG765" s="6"/>
      <c r="AH765" s="6"/>
    </row>
    <row r="766" spans="1:34" ht="12.75" customHeight="1" x14ac:dyDescent="0.3">
      <c r="A766" s="2"/>
      <c r="B766" s="2"/>
      <c r="C766" s="3"/>
      <c r="D766" s="3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4"/>
      <c r="AA766" s="4"/>
      <c r="AB766" s="4"/>
      <c r="AC766" s="4"/>
      <c r="AD766" s="5"/>
      <c r="AE766" s="6"/>
      <c r="AF766" s="6"/>
      <c r="AG766" s="6"/>
      <c r="AH766" s="6"/>
    </row>
    <row r="767" spans="1:34" ht="12.75" customHeight="1" x14ac:dyDescent="0.3">
      <c r="A767" s="2"/>
      <c r="B767" s="2"/>
      <c r="C767" s="3"/>
      <c r="D767" s="3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4"/>
      <c r="AA767" s="4"/>
      <c r="AB767" s="4"/>
      <c r="AC767" s="4"/>
      <c r="AD767" s="5"/>
      <c r="AE767" s="6"/>
      <c r="AF767" s="6"/>
      <c r="AG767" s="6"/>
      <c r="AH767" s="6"/>
    </row>
    <row r="768" spans="1:34" ht="12.75" customHeight="1" x14ac:dyDescent="0.3">
      <c r="A768" s="2"/>
      <c r="B768" s="2"/>
      <c r="C768" s="3"/>
      <c r="D768" s="3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4"/>
      <c r="AA768" s="4"/>
      <c r="AB768" s="4"/>
      <c r="AC768" s="4"/>
      <c r="AD768" s="5"/>
      <c r="AE768" s="6"/>
      <c r="AF768" s="6"/>
      <c r="AG768" s="6"/>
      <c r="AH768" s="6"/>
    </row>
    <row r="769" spans="1:34" ht="12.75" customHeight="1" x14ac:dyDescent="0.3">
      <c r="A769" s="2"/>
      <c r="B769" s="2"/>
      <c r="C769" s="3"/>
      <c r="D769" s="3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4"/>
      <c r="AA769" s="4"/>
      <c r="AB769" s="4"/>
      <c r="AC769" s="4"/>
      <c r="AD769" s="5"/>
      <c r="AE769" s="6"/>
      <c r="AF769" s="6"/>
      <c r="AG769" s="6"/>
      <c r="AH769" s="6"/>
    </row>
    <row r="770" spans="1:34" ht="12.75" customHeight="1" x14ac:dyDescent="0.3">
      <c r="A770" s="2"/>
      <c r="B770" s="2"/>
      <c r="C770" s="3"/>
      <c r="D770" s="3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4"/>
      <c r="AA770" s="4"/>
      <c r="AB770" s="4"/>
      <c r="AC770" s="4"/>
      <c r="AD770" s="5"/>
      <c r="AE770" s="6"/>
      <c r="AF770" s="6"/>
      <c r="AG770" s="6"/>
      <c r="AH770" s="6"/>
    </row>
    <row r="771" spans="1:34" ht="12.75" customHeight="1" x14ac:dyDescent="0.3">
      <c r="A771" s="2"/>
      <c r="B771" s="2"/>
      <c r="C771" s="3"/>
      <c r="D771" s="3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4"/>
      <c r="AA771" s="4"/>
      <c r="AB771" s="4"/>
      <c r="AC771" s="4"/>
      <c r="AD771" s="5"/>
      <c r="AE771" s="6"/>
      <c r="AF771" s="6"/>
      <c r="AG771" s="6"/>
      <c r="AH771" s="6"/>
    </row>
    <row r="772" spans="1:34" ht="12.75" customHeight="1" x14ac:dyDescent="0.3">
      <c r="A772" s="2"/>
      <c r="B772" s="2"/>
      <c r="C772" s="3"/>
      <c r="D772" s="3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4"/>
      <c r="AA772" s="4"/>
      <c r="AB772" s="4"/>
      <c r="AC772" s="4"/>
      <c r="AD772" s="5"/>
      <c r="AE772" s="6"/>
      <c r="AF772" s="6"/>
      <c r="AG772" s="6"/>
      <c r="AH772" s="6"/>
    </row>
    <row r="773" spans="1:34" ht="12.75" customHeight="1" x14ac:dyDescent="0.3">
      <c r="A773" s="2"/>
      <c r="B773" s="2"/>
      <c r="C773" s="3"/>
      <c r="D773" s="3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4"/>
      <c r="AA773" s="4"/>
      <c r="AB773" s="4"/>
      <c r="AC773" s="4"/>
      <c r="AD773" s="5"/>
      <c r="AE773" s="6"/>
      <c r="AF773" s="6"/>
      <c r="AG773" s="6"/>
      <c r="AH773" s="6"/>
    </row>
    <row r="774" spans="1:34" ht="12.75" customHeight="1" x14ac:dyDescent="0.3">
      <c r="A774" s="2"/>
      <c r="B774" s="2"/>
      <c r="C774" s="3"/>
      <c r="D774" s="3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4"/>
      <c r="AA774" s="4"/>
      <c r="AB774" s="4"/>
      <c r="AC774" s="4"/>
      <c r="AD774" s="5"/>
      <c r="AE774" s="6"/>
      <c r="AF774" s="6"/>
      <c r="AG774" s="6"/>
      <c r="AH774" s="6"/>
    </row>
    <row r="775" spans="1:34" ht="12.75" customHeight="1" x14ac:dyDescent="0.3">
      <c r="A775" s="2"/>
      <c r="B775" s="2"/>
      <c r="C775" s="3"/>
      <c r="D775" s="3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4"/>
      <c r="AA775" s="4"/>
      <c r="AB775" s="4"/>
      <c r="AC775" s="4"/>
      <c r="AD775" s="5"/>
      <c r="AE775" s="6"/>
      <c r="AF775" s="6"/>
      <c r="AG775" s="6"/>
      <c r="AH775" s="6"/>
    </row>
    <row r="776" spans="1:34" ht="12.75" customHeight="1" x14ac:dyDescent="0.3">
      <c r="A776" s="2"/>
      <c r="B776" s="2"/>
      <c r="C776" s="3"/>
      <c r="D776" s="3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4"/>
      <c r="AA776" s="4"/>
      <c r="AB776" s="4"/>
      <c r="AC776" s="4"/>
      <c r="AD776" s="5"/>
      <c r="AE776" s="6"/>
      <c r="AF776" s="6"/>
      <c r="AG776" s="6"/>
      <c r="AH776" s="6"/>
    </row>
    <row r="777" spans="1:34" ht="12.75" customHeight="1" x14ac:dyDescent="0.3">
      <c r="A777" s="2"/>
      <c r="B777" s="2"/>
      <c r="C777" s="3"/>
      <c r="D777" s="3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4"/>
      <c r="AA777" s="4"/>
      <c r="AB777" s="4"/>
      <c r="AC777" s="4"/>
      <c r="AD777" s="5"/>
      <c r="AE777" s="6"/>
      <c r="AF777" s="6"/>
      <c r="AG777" s="6"/>
      <c r="AH777" s="6"/>
    </row>
    <row r="778" spans="1:34" ht="12.75" customHeight="1" x14ac:dyDescent="0.3">
      <c r="A778" s="2"/>
      <c r="B778" s="2"/>
      <c r="C778" s="3"/>
      <c r="D778" s="3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4"/>
      <c r="AA778" s="4"/>
      <c r="AB778" s="4"/>
      <c r="AC778" s="4"/>
      <c r="AD778" s="5"/>
      <c r="AE778" s="6"/>
      <c r="AF778" s="6"/>
      <c r="AG778" s="6"/>
      <c r="AH778" s="6"/>
    </row>
    <row r="779" spans="1:34" ht="12.75" customHeight="1" x14ac:dyDescent="0.3">
      <c r="A779" s="2"/>
      <c r="B779" s="2"/>
      <c r="C779" s="3"/>
      <c r="D779" s="3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4"/>
      <c r="AA779" s="4"/>
      <c r="AB779" s="4"/>
      <c r="AC779" s="4"/>
      <c r="AD779" s="5"/>
      <c r="AE779" s="6"/>
      <c r="AF779" s="6"/>
      <c r="AG779" s="6"/>
      <c r="AH779" s="6"/>
    </row>
    <row r="780" spans="1:34" ht="12.75" customHeight="1" x14ac:dyDescent="0.3">
      <c r="A780" s="2"/>
      <c r="B780" s="2"/>
      <c r="C780" s="3"/>
      <c r="D780" s="3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4"/>
      <c r="AA780" s="4"/>
      <c r="AB780" s="4"/>
      <c r="AC780" s="4"/>
      <c r="AD780" s="5"/>
      <c r="AE780" s="6"/>
      <c r="AF780" s="6"/>
      <c r="AG780" s="6"/>
      <c r="AH780" s="6"/>
    </row>
    <row r="781" spans="1:34" ht="12.75" customHeight="1" x14ac:dyDescent="0.3">
      <c r="A781" s="2"/>
      <c r="B781" s="2"/>
      <c r="C781" s="3"/>
      <c r="D781" s="3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4"/>
      <c r="AA781" s="4"/>
      <c r="AB781" s="4"/>
      <c r="AC781" s="4"/>
      <c r="AD781" s="5"/>
      <c r="AE781" s="6"/>
      <c r="AF781" s="6"/>
      <c r="AG781" s="6"/>
      <c r="AH781" s="6"/>
    </row>
    <row r="782" spans="1:34" ht="12.75" customHeight="1" x14ac:dyDescent="0.3">
      <c r="A782" s="2"/>
      <c r="B782" s="2"/>
      <c r="C782" s="3"/>
      <c r="D782" s="3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4"/>
      <c r="AA782" s="4"/>
      <c r="AB782" s="4"/>
      <c r="AC782" s="4"/>
      <c r="AD782" s="5"/>
      <c r="AE782" s="6"/>
      <c r="AF782" s="6"/>
      <c r="AG782" s="6"/>
      <c r="AH782" s="6"/>
    </row>
    <row r="783" spans="1:34" ht="12.75" customHeight="1" x14ac:dyDescent="0.3">
      <c r="A783" s="2"/>
      <c r="B783" s="2"/>
      <c r="C783" s="3"/>
      <c r="D783" s="3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4"/>
      <c r="AA783" s="4"/>
      <c r="AB783" s="4"/>
      <c r="AC783" s="4"/>
      <c r="AD783" s="5"/>
      <c r="AE783" s="6"/>
      <c r="AF783" s="6"/>
      <c r="AG783" s="6"/>
      <c r="AH783" s="6"/>
    </row>
    <row r="784" spans="1:34" ht="12.75" customHeight="1" x14ac:dyDescent="0.3">
      <c r="A784" s="2"/>
      <c r="B784" s="2"/>
      <c r="C784" s="3"/>
      <c r="D784" s="3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4"/>
      <c r="AA784" s="4"/>
      <c r="AB784" s="4"/>
      <c r="AC784" s="4"/>
      <c r="AD784" s="5"/>
      <c r="AE784" s="6"/>
      <c r="AF784" s="6"/>
      <c r="AG784" s="6"/>
      <c r="AH784" s="6"/>
    </row>
    <row r="785" spans="1:34" ht="12.75" customHeight="1" x14ac:dyDescent="0.3">
      <c r="A785" s="2"/>
      <c r="B785" s="2"/>
      <c r="C785" s="3"/>
      <c r="D785" s="3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4"/>
      <c r="AA785" s="4"/>
      <c r="AB785" s="4"/>
      <c r="AC785" s="4"/>
      <c r="AD785" s="5"/>
      <c r="AE785" s="6"/>
      <c r="AF785" s="6"/>
      <c r="AG785" s="6"/>
      <c r="AH785" s="6"/>
    </row>
    <row r="786" spans="1:34" ht="12.75" customHeight="1" x14ac:dyDescent="0.3">
      <c r="A786" s="2"/>
      <c r="B786" s="2"/>
      <c r="C786" s="3"/>
      <c r="D786" s="3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4"/>
      <c r="AA786" s="4"/>
      <c r="AB786" s="4"/>
      <c r="AC786" s="4"/>
      <c r="AD786" s="5"/>
      <c r="AE786" s="6"/>
      <c r="AF786" s="6"/>
      <c r="AG786" s="6"/>
      <c r="AH786" s="6"/>
    </row>
    <row r="787" spans="1:34" ht="12.75" customHeight="1" x14ac:dyDescent="0.3">
      <c r="A787" s="2"/>
      <c r="B787" s="2"/>
      <c r="C787" s="3"/>
      <c r="D787" s="3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4"/>
      <c r="AA787" s="4"/>
      <c r="AB787" s="4"/>
      <c r="AC787" s="4"/>
      <c r="AD787" s="5"/>
      <c r="AE787" s="6"/>
      <c r="AF787" s="6"/>
      <c r="AG787" s="6"/>
      <c r="AH787" s="6"/>
    </row>
    <row r="788" spans="1:34" ht="12.75" customHeight="1" x14ac:dyDescent="0.3">
      <c r="A788" s="2"/>
      <c r="B788" s="2"/>
      <c r="C788" s="3"/>
      <c r="D788" s="3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4"/>
      <c r="AA788" s="4"/>
      <c r="AB788" s="4"/>
      <c r="AC788" s="4"/>
      <c r="AD788" s="5"/>
      <c r="AE788" s="6"/>
      <c r="AF788" s="6"/>
      <c r="AG788" s="6"/>
      <c r="AH788" s="6"/>
    </row>
    <row r="789" spans="1:34" ht="12.75" customHeight="1" x14ac:dyDescent="0.3">
      <c r="A789" s="2"/>
      <c r="B789" s="2"/>
      <c r="C789" s="3"/>
      <c r="D789" s="3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4"/>
      <c r="AA789" s="4"/>
      <c r="AB789" s="4"/>
      <c r="AC789" s="4"/>
      <c r="AD789" s="5"/>
      <c r="AE789" s="6"/>
      <c r="AF789" s="6"/>
      <c r="AG789" s="6"/>
      <c r="AH789" s="6"/>
    </row>
    <row r="790" spans="1:34" ht="12.75" customHeight="1" x14ac:dyDescent="0.3">
      <c r="A790" s="2"/>
      <c r="B790" s="2"/>
      <c r="C790" s="3"/>
      <c r="D790" s="3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4"/>
      <c r="AA790" s="4"/>
      <c r="AB790" s="4"/>
      <c r="AC790" s="4"/>
      <c r="AD790" s="5"/>
      <c r="AE790" s="6"/>
      <c r="AF790" s="6"/>
      <c r="AG790" s="6"/>
      <c r="AH790" s="6"/>
    </row>
    <row r="791" spans="1:34" ht="12.75" customHeight="1" x14ac:dyDescent="0.3">
      <c r="A791" s="2"/>
      <c r="B791" s="2"/>
      <c r="C791" s="3"/>
      <c r="D791" s="3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4"/>
      <c r="AA791" s="4"/>
      <c r="AB791" s="4"/>
      <c r="AC791" s="4"/>
      <c r="AD791" s="5"/>
      <c r="AE791" s="6"/>
      <c r="AF791" s="6"/>
      <c r="AG791" s="6"/>
      <c r="AH791" s="6"/>
    </row>
    <row r="792" spans="1:34" ht="12.75" customHeight="1" x14ac:dyDescent="0.3">
      <c r="A792" s="2"/>
      <c r="B792" s="2"/>
      <c r="C792" s="3"/>
      <c r="D792" s="3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4"/>
      <c r="AA792" s="4"/>
      <c r="AB792" s="4"/>
      <c r="AC792" s="4"/>
      <c r="AD792" s="5"/>
      <c r="AE792" s="6"/>
      <c r="AF792" s="6"/>
      <c r="AG792" s="6"/>
      <c r="AH792" s="6"/>
    </row>
    <row r="793" spans="1:34" ht="12.75" customHeight="1" x14ac:dyDescent="0.3">
      <c r="A793" s="2"/>
      <c r="B793" s="2"/>
      <c r="C793" s="3"/>
      <c r="D793" s="3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4"/>
      <c r="AA793" s="4"/>
      <c r="AB793" s="4"/>
      <c r="AC793" s="4"/>
      <c r="AD793" s="5"/>
      <c r="AE793" s="6"/>
      <c r="AF793" s="6"/>
      <c r="AG793" s="6"/>
      <c r="AH793" s="6"/>
    </row>
    <row r="794" spans="1:34" ht="12.75" customHeight="1" x14ac:dyDescent="0.3">
      <c r="A794" s="2"/>
      <c r="B794" s="2"/>
      <c r="C794" s="3"/>
      <c r="D794" s="3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4"/>
      <c r="AA794" s="4"/>
      <c r="AB794" s="4"/>
      <c r="AC794" s="4"/>
      <c r="AD794" s="5"/>
      <c r="AE794" s="6"/>
      <c r="AF794" s="6"/>
      <c r="AG794" s="6"/>
      <c r="AH794" s="6"/>
    </row>
    <row r="795" spans="1:34" ht="12.75" customHeight="1" x14ac:dyDescent="0.3">
      <c r="A795" s="2"/>
      <c r="B795" s="2"/>
      <c r="C795" s="3"/>
      <c r="D795" s="3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4"/>
      <c r="AA795" s="4"/>
      <c r="AB795" s="4"/>
      <c r="AC795" s="4"/>
      <c r="AD795" s="5"/>
      <c r="AE795" s="6"/>
      <c r="AF795" s="6"/>
      <c r="AG795" s="6"/>
      <c r="AH795" s="6"/>
    </row>
    <row r="796" spans="1:34" ht="12.75" customHeight="1" x14ac:dyDescent="0.3">
      <c r="A796" s="2"/>
      <c r="B796" s="2"/>
      <c r="C796" s="3"/>
      <c r="D796" s="3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4"/>
      <c r="AA796" s="4"/>
      <c r="AB796" s="4"/>
      <c r="AC796" s="4"/>
      <c r="AD796" s="5"/>
      <c r="AE796" s="6"/>
      <c r="AF796" s="6"/>
      <c r="AG796" s="6"/>
      <c r="AH796" s="6"/>
    </row>
    <row r="797" spans="1:34" ht="12.75" customHeight="1" x14ac:dyDescent="0.3">
      <c r="A797" s="2"/>
      <c r="B797" s="2"/>
      <c r="C797" s="3"/>
      <c r="D797" s="3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4"/>
      <c r="AA797" s="4"/>
      <c r="AB797" s="4"/>
      <c r="AC797" s="4"/>
      <c r="AD797" s="5"/>
      <c r="AE797" s="6"/>
      <c r="AF797" s="6"/>
      <c r="AG797" s="6"/>
      <c r="AH797" s="6"/>
    </row>
    <row r="798" spans="1:34" ht="12.75" customHeight="1" x14ac:dyDescent="0.3">
      <c r="A798" s="2"/>
      <c r="B798" s="2"/>
      <c r="C798" s="3"/>
      <c r="D798" s="3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4"/>
      <c r="AA798" s="4"/>
      <c r="AB798" s="4"/>
      <c r="AC798" s="4"/>
      <c r="AD798" s="5"/>
      <c r="AE798" s="6"/>
      <c r="AF798" s="6"/>
      <c r="AG798" s="6"/>
      <c r="AH798" s="6"/>
    </row>
    <row r="799" spans="1:34" ht="12.75" customHeight="1" x14ac:dyDescent="0.3">
      <c r="A799" s="2"/>
      <c r="B799" s="2"/>
      <c r="C799" s="3"/>
      <c r="D799" s="3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4"/>
      <c r="AA799" s="4"/>
      <c r="AB799" s="4"/>
      <c r="AC799" s="4"/>
      <c r="AD799" s="5"/>
      <c r="AE799" s="6"/>
      <c r="AF799" s="6"/>
      <c r="AG799" s="6"/>
      <c r="AH799" s="6"/>
    </row>
    <row r="800" spans="1:34" ht="12.75" customHeight="1" x14ac:dyDescent="0.3">
      <c r="A800" s="2"/>
      <c r="B800" s="2"/>
      <c r="C800" s="3"/>
      <c r="D800" s="3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4"/>
      <c r="AA800" s="4"/>
      <c r="AB800" s="4"/>
      <c r="AC800" s="4"/>
      <c r="AD800" s="5"/>
      <c r="AE800" s="6"/>
      <c r="AF800" s="6"/>
      <c r="AG800" s="6"/>
      <c r="AH800" s="6"/>
    </row>
    <row r="801" spans="1:34" ht="12.75" customHeight="1" x14ac:dyDescent="0.3">
      <c r="A801" s="2"/>
      <c r="B801" s="2"/>
      <c r="C801" s="3"/>
      <c r="D801" s="3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4"/>
      <c r="AA801" s="4"/>
      <c r="AB801" s="4"/>
      <c r="AC801" s="4"/>
      <c r="AD801" s="5"/>
      <c r="AE801" s="6"/>
      <c r="AF801" s="6"/>
      <c r="AG801" s="6"/>
      <c r="AH801" s="6"/>
    </row>
    <row r="802" spans="1:34" ht="12.75" customHeight="1" x14ac:dyDescent="0.3">
      <c r="A802" s="2"/>
      <c r="B802" s="2"/>
      <c r="C802" s="3"/>
      <c r="D802" s="3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4"/>
      <c r="AA802" s="4"/>
      <c r="AB802" s="4"/>
      <c r="AC802" s="4"/>
      <c r="AD802" s="5"/>
      <c r="AE802" s="6"/>
      <c r="AF802" s="6"/>
      <c r="AG802" s="6"/>
      <c r="AH802" s="6"/>
    </row>
    <row r="803" spans="1:34" ht="12.75" customHeight="1" x14ac:dyDescent="0.3">
      <c r="A803" s="2"/>
      <c r="B803" s="2"/>
      <c r="C803" s="3"/>
      <c r="D803" s="3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4"/>
      <c r="AA803" s="4"/>
      <c r="AB803" s="4"/>
      <c r="AC803" s="4"/>
      <c r="AD803" s="5"/>
      <c r="AE803" s="6"/>
      <c r="AF803" s="6"/>
      <c r="AG803" s="6"/>
      <c r="AH803" s="6"/>
    </row>
    <row r="804" spans="1:34" ht="12.75" customHeight="1" x14ac:dyDescent="0.3">
      <c r="A804" s="2"/>
      <c r="B804" s="2"/>
      <c r="C804" s="3"/>
      <c r="D804" s="3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4"/>
      <c r="AA804" s="4"/>
      <c r="AB804" s="4"/>
      <c r="AC804" s="4"/>
      <c r="AD804" s="5"/>
      <c r="AE804" s="6"/>
      <c r="AF804" s="6"/>
      <c r="AG804" s="6"/>
      <c r="AH804" s="6"/>
    </row>
    <row r="805" spans="1:34" ht="12.75" customHeight="1" x14ac:dyDescent="0.3">
      <c r="A805" s="2"/>
      <c r="B805" s="2"/>
      <c r="C805" s="3"/>
      <c r="D805" s="3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4"/>
      <c r="AA805" s="4"/>
      <c r="AB805" s="4"/>
      <c r="AC805" s="4"/>
      <c r="AD805" s="5"/>
      <c r="AE805" s="6"/>
      <c r="AF805" s="6"/>
      <c r="AG805" s="6"/>
      <c r="AH805" s="6"/>
    </row>
    <row r="806" spans="1:34" ht="12.75" customHeight="1" x14ac:dyDescent="0.3">
      <c r="A806" s="2"/>
      <c r="B806" s="2"/>
      <c r="C806" s="3"/>
      <c r="D806" s="3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4"/>
      <c r="AA806" s="4"/>
      <c r="AB806" s="4"/>
      <c r="AC806" s="4"/>
      <c r="AD806" s="5"/>
      <c r="AE806" s="6"/>
      <c r="AF806" s="6"/>
      <c r="AG806" s="6"/>
      <c r="AH806" s="6"/>
    </row>
    <row r="807" spans="1:34" ht="12.75" customHeight="1" x14ac:dyDescent="0.3">
      <c r="A807" s="2"/>
      <c r="B807" s="2"/>
      <c r="C807" s="3"/>
      <c r="D807" s="3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4"/>
      <c r="AA807" s="4"/>
      <c r="AB807" s="4"/>
      <c r="AC807" s="4"/>
      <c r="AD807" s="5"/>
      <c r="AE807" s="6"/>
      <c r="AF807" s="6"/>
      <c r="AG807" s="6"/>
      <c r="AH807" s="6"/>
    </row>
    <row r="808" spans="1:34" ht="12.75" customHeight="1" x14ac:dyDescent="0.3">
      <c r="A808" s="2"/>
      <c r="B808" s="2"/>
      <c r="C808" s="3"/>
      <c r="D808" s="3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4"/>
      <c r="AA808" s="4"/>
      <c r="AB808" s="4"/>
      <c r="AC808" s="4"/>
      <c r="AD808" s="5"/>
      <c r="AE808" s="6"/>
      <c r="AF808" s="6"/>
      <c r="AG808" s="6"/>
      <c r="AH808" s="6"/>
    </row>
    <row r="809" spans="1:34" ht="12.75" customHeight="1" x14ac:dyDescent="0.3">
      <c r="A809" s="2"/>
      <c r="B809" s="2"/>
      <c r="C809" s="3"/>
      <c r="D809" s="3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4"/>
      <c r="AA809" s="4"/>
      <c r="AB809" s="4"/>
      <c r="AC809" s="4"/>
      <c r="AD809" s="5"/>
      <c r="AE809" s="6"/>
      <c r="AF809" s="6"/>
      <c r="AG809" s="6"/>
      <c r="AH809" s="6"/>
    </row>
    <row r="810" spans="1:34" ht="12.75" customHeight="1" x14ac:dyDescent="0.3">
      <c r="A810" s="2"/>
      <c r="B810" s="2"/>
      <c r="C810" s="3"/>
      <c r="D810" s="3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4"/>
      <c r="AA810" s="4"/>
      <c r="AB810" s="4"/>
      <c r="AC810" s="4"/>
      <c r="AD810" s="5"/>
      <c r="AE810" s="6"/>
      <c r="AF810" s="6"/>
      <c r="AG810" s="6"/>
      <c r="AH810" s="6"/>
    </row>
    <row r="811" spans="1:34" ht="12.75" customHeight="1" x14ac:dyDescent="0.3">
      <c r="A811" s="2"/>
      <c r="B811" s="2"/>
      <c r="C811" s="3"/>
      <c r="D811" s="3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4"/>
      <c r="AA811" s="4"/>
      <c r="AB811" s="4"/>
      <c r="AC811" s="4"/>
      <c r="AD811" s="5"/>
      <c r="AE811" s="6"/>
      <c r="AF811" s="6"/>
      <c r="AG811" s="6"/>
      <c r="AH811" s="6"/>
    </row>
    <row r="812" spans="1:34" ht="12.75" customHeight="1" x14ac:dyDescent="0.3">
      <c r="A812" s="2"/>
      <c r="B812" s="2"/>
      <c r="C812" s="3"/>
      <c r="D812" s="3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4"/>
      <c r="AA812" s="4"/>
      <c r="AB812" s="4"/>
      <c r="AC812" s="4"/>
      <c r="AD812" s="5"/>
      <c r="AE812" s="6"/>
      <c r="AF812" s="6"/>
      <c r="AG812" s="6"/>
      <c r="AH812" s="6"/>
    </row>
    <row r="813" spans="1:34" ht="12.75" customHeight="1" x14ac:dyDescent="0.3">
      <c r="A813" s="2"/>
      <c r="B813" s="2"/>
      <c r="C813" s="3"/>
      <c r="D813" s="3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4"/>
      <c r="AA813" s="4"/>
      <c r="AB813" s="4"/>
      <c r="AC813" s="4"/>
      <c r="AD813" s="5"/>
      <c r="AE813" s="6"/>
      <c r="AF813" s="6"/>
      <c r="AG813" s="6"/>
      <c r="AH813" s="6"/>
    </row>
    <row r="814" spans="1:34" ht="12.75" customHeight="1" x14ac:dyDescent="0.3">
      <c r="A814" s="2"/>
      <c r="B814" s="2"/>
      <c r="C814" s="3"/>
      <c r="D814" s="3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4"/>
      <c r="AA814" s="4"/>
      <c r="AB814" s="4"/>
      <c r="AC814" s="4"/>
      <c r="AD814" s="5"/>
      <c r="AE814" s="6"/>
      <c r="AF814" s="6"/>
      <c r="AG814" s="6"/>
      <c r="AH814" s="6"/>
    </row>
    <row r="815" spans="1:34" ht="12.75" customHeight="1" x14ac:dyDescent="0.3">
      <c r="A815" s="2"/>
      <c r="B815" s="2"/>
      <c r="C815" s="3"/>
      <c r="D815" s="3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4"/>
      <c r="AA815" s="4"/>
      <c r="AB815" s="4"/>
      <c r="AC815" s="4"/>
      <c r="AD815" s="5"/>
      <c r="AE815" s="6"/>
      <c r="AF815" s="6"/>
      <c r="AG815" s="6"/>
      <c r="AH815" s="6"/>
    </row>
    <row r="816" spans="1:34" ht="12.75" customHeight="1" x14ac:dyDescent="0.3">
      <c r="A816" s="2"/>
      <c r="B816" s="2"/>
      <c r="C816" s="3"/>
      <c r="D816" s="3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4"/>
      <c r="AA816" s="4"/>
      <c r="AB816" s="4"/>
      <c r="AC816" s="4"/>
      <c r="AD816" s="5"/>
      <c r="AE816" s="6"/>
      <c r="AF816" s="6"/>
      <c r="AG816" s="6"/>
      <c r="AH816" s="6"/>
    </row>
    <row r="817" spans="1:34" ht="12.75" customHeight="1" x14ac:dyDescent="0.3">
      <c r="A817" s="2"/>
      <c r="B817" s="2"/>
      <c r="C817" s="3"/>
      <c r="D817" s="3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4"/>
      <c r="AA817" s="4"/>
      <c r="AB817" s="4"/>
      <c r="AC817" s="4"/>
      <c r="AD817" s="5"/>
      <c r="AE817" s="6"/>
      <c r="AF817" s="6"/>
      <c r="AG817" s="6"/>
      <c r="AH817" s="6"/>
    </row>
    <row r="818" spans="1:34" ht="12.75" customHeight="1" x14ac:dyDescent="0.3">
      <c r="A818" s="2"/>
      <c r="B818" s="2"/>
      <c r="C818" s="3"/>
      <c r="D818" s="3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4"/>
      <c r="AA818" s="4"/>
      <c r="AB818" s="4"/>
      <c r="AC818" s="4"/>
      <c r="AD818" s="5"/>
      <c r="AE818" s="6"/>
      <c r="AF818" s="6"/>
      <c r="AG818" s="6"/>
      <c r="AH818" s="6"/>
    </row>
    <row r="819" spans="1:34" ht="12.75" customHeight="1" x14ac:dyDescent="0.3">
      <c r="A819" s="2"/>
      <c r="B819" s="2"/>
      <c r="C819" s="3"/>
      <c r="D819" s="3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4"/>
      <c r="AA819" s="4"/>
      <c r="AB819" s="4"/>
      <c r="AC819" s="4"/>
      <c r="AD819" s="5"/>
      <c r="AE819" s="6"/>
      <c r="AF819" s="6"/>
      <c r="AG819" s="6"/>
      <c r="AH819" s="6"/>
    </row>
    <row r="820" spans="1:34" ht="12.75" customHeight="1" x14ac:dyDescent="0.3">
      <c r="A820" s="2"/>
      <c r="B820" s="2"/>
      <c r="C820" s="3"/>
      <c r="D820" s="3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4"/>
      <c r="AA820" s="4"/>
      <c r="AB820" s="4"/>
      <c r="AC820" s="4"/>
      <c r="AD820" s="5"/>
      <c r="AE820" s="6"/>
      <c r="AF820" s="6"/>
      <c r="AG820" s="6"/>
      <c r="AH820" s="6"/>
    </row>
    <row r="821" spans="1:34" ht="12.75" customHeight="1" x14ac:dyDescent="0.3">
      <c r="A821" s="2"/>
      <c r="B821" s="2"/>
      <c r="C821" s="3"/>
      <c r="D821" s="3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4"/>
      <c r="AA821" s="4"/>
      <c r="AB821" s="4"/>
      <c r="AC821" s="4"/>
      <c r="AD821" s="5"/>
      <c r="AE821" s="6"/>
      <c r="AF821" s="6"/>
      <c r="AG821" s="6"/>
      <c r="AH821" s="6"/>
    </row>
    <row r="822" spans="1:34" ht="12.75" customHeight="1" x14ac:dyDescent="0.3">
      <c r="A822" s="2"/>
      <c r="B822" s="2"/>
      <c r="C822" s="3"/>
      <c r="D822" s="3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4"/>
      <c r="AA822" s="4"/>
      <c r="AB822" s="4"/>
      <c r="AC822" s="4"/>
      <c r="AD822" s="5"/>
      <c r="AE822" s="6"/>
      <c r="AF822" s="6"/>
      <c r="AG822" s="6"/>
      <c r="AH822" s="6"/>
    </row>
    <row r="823" spans="1:34" ht="12.75" customHeight="1" x14ac:dyDescent="0.3">
      <c r="A823" s="2"/>
      <c r="B823" s="2"/>
      <c r="C823" s="3"/>
      <c r="D823" s="3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4"/>
      <c r="AA823" s="4"/>
      <c r="AB823" s="4"/>
      <c r="AC823" s="4"/>
      <c r="AD823" s="5"/>
      <c r="AE823" s="6"/>
      <c r="AF823" s="6"/>
      <c r="AG823" s="6"/>
      <c r="AH823" s="6"/>
    </row>
    <row r="824" spans="1:34" ht="12.75" customHeight="1" x14ac:dyDescent="0.3">
      <c r="A824" s="2"/>
      <c r="B824" s="2"/>
      <c r="C824" s="3"/>
      <c r="D824" s="3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4"/>
      <c r="AA824" s="4"/>
      <c r="AB824" s="4"/>
      <c r="AC824" s="4"/>
      <c r="AD824" s="5"/>
      <c r="AE824" s="6"/>
      <c r="AF824" s="6"/>
      <c r="AG824" s="6"/>
      <c r="AH824" s="6"/>
    </row>
    <row r="825" spans="1:34" ht="12.75" customHeight="1" x14ac:dyDescent="0.3">
      <c r="A825" s="2"/>
      <c r="B825" s="2"/>
      <c r="C825" s="3"/>
      <c r="D825" s="3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4"/>
      <c r="AA825" s="4"/>
      <c r="AB825" s="4"/>
      <c r="AC825" s="4"/>
      <c r="AD825" s="5"/>
      <c r="AE825" s="6"/>
      <c r="AF825" s="6"/>
      <c r="AG825" s="6"/>
      <c r="AH825" s="6"/>
    </row>
    <row r="826" spans="1:34" ht="12.75" customHeight="1" x14ac:dyDescent="0.3">
      <c r="A826" s="2"/>
      <c r="B826" s="2"/>
      <c r="C826" s="3"/>
      <c r="D826" s="3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4"/>
      <c r="AA826" s="4"/>
      <c r="AB826" s="4"/>
      <c r="AC826" s="4"/>
      <c r="AD826" s="5"/>
      <c r="AE826" s="6"/>
      <c r="AF826" s="6"/>
      <c r="AG826" s="6"/>
      <c r="AH826" s="6"/>
    </row>
    <row r="827" spans="1:34" ht="12.75" customHeight="1" x14ac:dyDescent="0.3">
      <c r="A827" s="2"/>
      <c r="B827" s="2"/>
      <c r="C827" s="3"/>
      <c r="D827" s="3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4"/>
      <c r="AA827" s="4"/>
      <c r="AB827" s="4"/>
      <c r="AC827" s="4"/>
      <c r="AD827" s="5"/>
      <c r="AE827" s="6"/>
      <c r="AF827" s="6"/>
      <c r="AG827" s="6"/>
      <c r="AH827" s="6"/>
    </row>
    <row r="828" spans="1:34" ht="12.75" customHeight="1" x14ac:dyDescent="0.3">
      <c r="A828" s="2"/>
      <c r="B828" s="2"/>
      <c r="C828" s="3"/>
      <c r="D828" s="3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4"/>
      <c r="AA828" s="4"/>
      <c r="AB828" s="4"/>
      <c r="AC828" s="4"/>
      <c r="AD828" s="5"/>
      <c r="AE828" s="6"/>
      <c r="AF828" s="6"/>
      <c r="AG828" s="6"/>
      <c r="AH828" s="6"/>
    </row>
    <row r="829" spans="1:34" ht="12.75" customHeight="1" x14ac:dyDescent="0.3">
      <c r="A829" s="2"/>
      <c r="B829" s="2"/>
      <c r="C829" s="3"/>
      <c r="D829" s="3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4"/>
      <c r="AA829" s="4"/>
      <c r="AB829" s="4"/>
      <c r="AC829" s="4"/>
      <c r="AD829" s="5"/>
      <c r="AE829" s="6"/>
      <c r="AF829" s="6"/>
      <c r="AG829" s="6"/>
      <c r="AH829" s="6"/>
    </row>
    <row r="830" spans="1:34" ht="12.75" customHeight="1" x14ac:dyDescent="0.3">
      <c r="A830" s="2"/>
      <c r="B830" s="2"/>
      <c r="C830" s="3"/>
      <c r="D830" s="3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4"/>
      <c r="AA830" s="4"/>
      <c r="AB830" s="4"/>
      <c r="AC830" s="4"/>
      <c r="AD830" s="5"/>
      <c r="AE830" s="6"/>
      <c r="AF830" s="6"/>
      <c r="AG830" s="6"/>
      <c r="AH830" s="6"/>
    </row>
    <row r="831" spans="1:34" ht="12.75" customHeight="1" x14ac:dyDescent="0.3">
      <c r="A831" s="2"/>
      <c r="B831" s="2"/>
      <c r="C831" s="3"/>
      <c r="D831" s="3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4"/>
      <c r="AA831" s="4"/>
      <c r="AB831" s="4"/>
      <c r="AC831" s="4"/>
      <c r="AD831" s="5"/>
      <c r="AE831" s="6"/>
      <c r="AF831" s="6"/>
      <c r="AG831" s="6"/>
      <c r="AH831" s="6"/>
    </row>
    <row r="832" spans="1:34" ht="12.75" customHeight="1" x14ac:dyDescent="0.3">
      <c r="A832" s="2"/>
      <c r="B832" s="2"/>
      <c r="C832" s="3"/>
      <c r="D832" s="3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4"/>
      <c r="AA832" s="4"/>
      <c r="AB832" s="4"/>
      <c r="AC832" s="4"/>
      <c r="AD832" s="5"/>
      <c r="AE832" s="6"/>
      <c r="AF832" s="6"/>
      <c r="AG832" s="6"/>
      <c r="AH832" s="6"/>
    </row>
    <row r="833" spans="1:34" ht="12.75" customHeight="1" x14ac:dyDescent="0.3">
      <c r="A833" s="2"/>
      <c r="B833" s="2"/>
      <c r="C833" s="3"/>
      <c r="D833" s="3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4"/>
      <c r="AA833" s="4"/>
      <c r="AB833" s="4"/>
      <c r="AC833" s="4"/>
      <c r="AD833" s="5"/>
      <c r="AE833" s="6"/>
      <c r="AF833" s="6"/>
      <c r="AG833" s="6"/>
      <c r="AH833" s="6"/>
    </row>
    <row r="834" spans="1:34" ht="12.75" customHeight="1" x14ac:dyDescent="0.3">
      <c r="A834" s="2"/>
      <c r="B834" s="2"/>
      <c r="C834" s="3"/>
      <c r="D834" s="3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4"/>
      <c r="AA834" s="4"/>
      <c r="AB834" s="4"/>
      <c r="AC834" s="4"/>
      <c r="AD834" s="5"/>
      <c r="AE834" s="6"/>
      <c r="AF834" s="6"/>
      <c r="AG834" s="6"/>
      <c r="AH834" s="6"/>
    </row>
    <row r="835" spans="1:34" ht="12.75" customHeight="1" x14ac:dyDescent="0.3">
      <c r="A835" s="2"/>
      <c r="B835" s="2"/>
      <c r="C835" s="3"/>
      <c r="D835" s="3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4"/>
      <c r="AA835" s="4"/>
      <c r="AB835" s="4"/>
      <c r="AC835" s="4"/>
      <c r="AD835" s="5"/>
      <c r="AE835" s="6"/>
      <c r="AF835" s="6"/>
      <c r="AG835" s="6"/>
      <c r="AH835" s="6"/>
    </row>
    <row r="836" spans="1:34" ht="12.75" customHeight="1" x14ac:dyDescent="0.3">
      <c r="A836" s="2"/>
      <c r="B836" s="2"/>
      <c r="C836" s="3"/>
      <c r="D836" s="3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4"/>
      <c r="AA836" s="4"/>
      <c r="AB836" s="4"/>
      <c r="AC836" s="4"/>
      <c r="AD836" s="5"/>
      <c r="AE836" s="6"/>
      <c r="AF836" s="6"/>
      <c r="AG836" s="6"/>
      <c r="AH836" s="6"/>
    </row>
    <row r="837" spans="1:34" ht="12.75" customHeight="1" x14ac:dyDescent="0.3">
      <c r="A837" s="2"/>
      <c r="B837" s="2"/>
      <c r="C837" s="3"/>
      <c r="D837" s="3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4"/>
      <c r="AA837" s="4"/>
      <c r="AB837" s="4"/>
      <c r="AC837" s="4"/>
      <c r="AD837" s="5"/>
      <c r="AE837" s="6"/>
      <c r="AF837" s="6"/>
      <c r="AG837" s="6"/>
      <c r="AH837" s="6"/>
    </row>
    <row r="838" spans="1:34" ht="12.75" customHeight="1" x14ac:dyDescent="0.3">
      <c r="A838" s="2"/>
      <c r="B838" s="2"/>
      <c r="C838" s="3"/>
      <c r="D838" s="3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4"/>
      <c r="AA838" s="4"/>
      <c r="AB838" s="4"/>
      <c r="AC838" s="4"/>
      <c r="AD838" s="5"/>
      <c r="AE838" s="6"/>
      <c r="AF838" s="6"/>
      <c r="AG838" s="6"/>
      <c r="AH838" s="6"/>
    </row>
    <row r="839" spans="1:34" ht="12.75" customHeight="1" x14ac:dyDescent="0.3">
      <c r="A839" s="2"/>
      <c r="B839" s="2"/>
      <c r="C839" s="3"/>
      <c r="D839" s="3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4"/>
      <c r="AA839" s="4"/>
      <c r="AB839" s="4"/>
      <c r="AC839" s="4"/>
      <c r="AD839" s="5"/>
      <c r="AE839" s="6"/>
      <c r="AF839" s="6"/>
      <c r="AG839" s="6"/>
      <c r="AH839" s="6"/>
    </row>
    <row r="840" spans="1:34" ht="12.75" customHeight="1" x14ac:dyDescent="0.3">
      <c r="A840" s="2"/>
      <c r="B840" s="2"/>
      <c r="C840" s="3"/>
      <c r="D840" s="3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4"/>
      <c r="AA840" s="4"/>
      <c r="AB840" s="4"/>
      <c r="AC840" s="4"/>
      <c r="AD840" s="5"/>
      <c r="AE840" s="6"/>
      <c r="AF840" s="6"/>
      <c r="AG840" s="6"/>
      <c r="AH840" s="6"/>
    </row>
    <row r="841" spans="1:34" ht="12.75" customHeight="1" x14ac:dyDescent="0.3">
      <c r="A841" s="2"/>
      <c r="B841" s="2"/>
      <c r="C841" s="3"/>
      <c r="D841" s="3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4"/>
      <c r="AA841" s="4"/>
      <c r="AB841" s="4"/>
      <c r="AC841" s="4"/>
      <c r="AD841" s="5"/>
      <c r="AE841" s="6"/>
      <c r="AF841" s="6"/>
      <c r="AG841" s="6"/>
      <c r="AH841" s="6"/>
    </row>
    <row r="842" spans="1:34" ht="12.75" customHeight="1" x14ac:dyDescent="0.3">
      <c r="A842" s="2"/>
      <c r="B842" s="2"/>
      <c r="C842" s="3"/>
      <c r="D842" s="3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4"/>
      <c r="AA842" s="4"/>
      <c r="AB842" s="4"/>
      <c r="AC842" s="4"/>
      <c r="AD842" s="5"/>
      <c r="AE842" s="6"/>
      <c r="AF842" s="6"/>
      <c r="AG842" s="6"/>
      <c r="AH842" s="6"/>
    </row>
    <row r="843" spans="1:34" ht="12.75" customHeight="1" x14ac:dyDescent="0.3">
      <c r="A843" s="2"/>
      <c r="B843" s="2"/>
      <c r="C843" s="3"/>
      <c r="D843" s="3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4"/>
      <c r="AA843" s="4"/>
      <c r="AB843" s="4"/>
      <c r="AC843" s="4"/>
      <c r="AD843" s="5"/>
      <c r="AE843" s="6"/>
      <c r="AF843" s="6"/>
      <c r="AG843" s="6"/>
      <c r="AH843" s="6"/>
    </row>
    <row r="844" spans="1:34" ht="12.75" customHeight="1" x14ac:dyDescent="0.3">
      <c r="A844" s="2"/>
      <c r="B844" s="2"/>
      <c r="C844" s="3"/>
      <c r="D844" s="3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4"/>
      <c r="AA844" s="4"/>
      <c r="AB844" s="4"/>
      <c r="AC844" s="4"/>
      <c r="AD844" s="5"/>
      <c r="AE844" s="6"/>
      <c r="AF844" s="6"/>
      <c r="AG844" s="6"/>
      <c r="AH844" s="6"/>
    </row>
    <row r="845" spans="1:34" ht="12.75" customHeight="1" x14ac:dyDescent="0.3">
      <c r="A845" s="2"/>
      <c r="B845" s="2"/>
      <c r="C845" s="3"/>
      <c r="D845" s="3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4"/>
      <c r="AA845" s="4"/>
      <c r="AB845" s="4"/>
      <c r="AC845" s="4"/>
      <c r="AD845" s="5"/>
      <c r="AE845" s="6"/>
      <c r="AF845" s="6"/>
      <c r="AG845" s="6"/>
      <c r="AH845" s="6"/>
    </row>
    <row r="846" spans="1:34" ht="12.75" customHeight="1" x14ac:dyDescent="0.3">
      <c r="A846" s="2"/>
      <c r="B846" s="2"/>
      <c r="C846" s="3"/>
      <c r="D846" s="3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4"/>
      <c r="AA846" s="4"/>
      <c r="AB846" s="4"/>
      <c r="AC846" s="4"/>
      <c r="AD846" s="5"/>
      <c r="AE846" s="6"/>
      <c r="AF846" s="6"/>
      <c r="AG846" s="6"/>
      <c r="AH846" s="6"/>
    </row>
    <row r="847" spans="1:34" ht="12.75" customHeight="1" x14ac:dyDescent="0.3">
      <c r="A847" s="2"/>
      <c r="B847" s="2"/>
      <c r="C847" s="3"/>
      <c r="D847" s="3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4"/>
      <c r="AA847" s="4"/>
      <c r="AB847" s="4"/>
      <c r="AC847" s="4"/>
      <c r="AD847" s="5"/>
      <c r="AE847" s="6"/>
      <c r="AF847" s="6"/>
      <c r="AG847" s="6"/>
      <c r="AH847" s="6"/>
    </row>
    <row r="848" spans="1:34" ht="12.75" customHeight="1" x14ac:dyDescent="0.3">
      <c r="A848" s="2"/>
      <c r="B848" s="2"/>
      <c r="C848" s="3"/>
      <c r="D848" s="3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4"/>
      <c r="AA848" s="4"/>
      <c r="AB848" s="4"/>
      <c r="AC848" s="4"/>
      <c r="AD848" s="5"/>
      <c r="AE848" s="6"/>
      <c r="AF848" s="6"/>
      <c r="AG848" s="6"/>
      <c r="AH848" s="6"/>
    </row>
    <row r="849" spans="1:34" ht="12.75" customHeight="1" x14ac:dyDescent="0.3">
      <c r="A849" s="2"/>
      <c r="B849" s="2"/>
      <c r="C849" s="3"/>
      <c r="D849" s="3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4"/>
      <c r="AA849" s="4"/>
      <c r="AB849" s="4"/>
      <c r="AC849" s="4"/>
      <c r="AD849" s="5"/>
      <c r="AE849" s="6"/>
      <c r="AF849" s="6"/>
      <c r="AG849" s="6"/>
      <c r="AH849" s="6"/>
    </row>
    <row r="850" spans="1:34" ht="12.75" customHeight="1" x14ac:dyDescent="0.3">
      <c r="A850" s="2"/>
      <c r="B850" s="2"/>
      <c r="C850" s="3"/>
      <c r="D850" s="3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4"/>
      <c r="AA850" s="4"/>
      <c r="AB850" s="4"/>
      <c r="AC850" s="4"/>
      <c r="AD850" s="5"/>
      <c r="AE850" s="6"/>
      <c r="AF850" s="6"/>
      <c r="AG850" s="6"/>
      <c r="AH850" s="6"/>
    </row>
    <row r="851" spans="1:34" ht="12.75" customHeight="1" x14ac:dyDescent="0.3">
      <c r="A851" s="2"/>
      <c r="B851" s="2"/>
      <c r="C851" s="3"/>
      <c r="D851" s="3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4"/>
      <c r="AA851" s="4"/>
      <c r="AB851" s="4"/>
      <c r="AC851" s="4"/>
      <c r="AD851" s="5"/>
      <c r="AE851" s="6"/>
      <c r="AF851" s="6"/>
      <c r="AG851" s="6"/>
      <c r="AH851" s="6"/>
    </row>
    <row r="852" spans="1:34" ht="12.75" customHeight="1" x14ac:dyDescent="0.3">
      <c r="A852" s="2"/>
      <c r="B852" s="2"/>
      <c r="C852" s="3"/>
      <c r="D852" s="3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4"/>
      <c r="AA852" s="4"/>
      <c r="AB852" s="4"/>
      <c r="AC852" s="4"/>
      <c r="AD852" s="5"/>
      <c r="AE852" s="6"/>
      <c r="AF852" s="6"/>
      <c r="AG852" s="6"/>
      <c r="AH852" s="6"/>
    </row>
    <row r="853" spans="1:34" ht="12.75" customHeight="1" x14ac:dyDescent="0.3">
      <c r="A853" s="2"/>
      <c r="B853" s="2"/>
      <c r="C853" s="3"/>
      <c r="D853" s="3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4"/>
      <c r="AA853" s="4"/>
      <c r="AB853" s="4"/>
      <c r="AC853" s="4"/>
      <c r="AD853" s="5"/>
      <c r="AE853" s="6"/>
      <c r="AF853" s="6"/>
      <c r="AG853" s="6"/>
      <c r="AH853" s="6"/>
    </row>
    <row r="854" spans="1:34" ht="12.75" customHeight="1" x14ac:dyDescent="0.3">
      <c r="A854" s="2"/>
      <c r="B854" s="2"/>
      <c r="C854" s="3"/>
      <c r="D854" s="3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4"/>
      <c r="AA854" s="4"/>
      <c r="AB854" s="4"/>
      <c r="AC854" s="4"/>
      <c r="AD854" s="5"/>
      <c r="AE854" s="6"/>
      <c r="AF854" s="6"/>
      <c r="AG854" s="6"/>
      <c r="AH854" s="6"/>
    </row>
    <row r="855" spans="1:34" ht="12.75" customHeight="1" x14ac:dyDescent="0.3">
      <c r="A855" s="2"/>
      <c r="B855" s="2"/>
      <c r="C855" s="3"/>
      <c r="D855" s="3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4"/>
      <c r="AA855" s="4"/>
      <c r="AB855" s="4"/>
      <c r="AC855" s="4"/>
      <c r="AD855" s="5"/>
      <c r="AE855" s="6"/>
      <c r="AF855" s="6"/>
      <c r="AG855" s="6"/>
      <c r="AH855" s="6"/>
    </row>
    <row r="856" spans="1:34" ht="12.75" customHeight="1" x14ac:dyDescent="0.3">
      <c r="A856" s="2"/>
      <c r="B856" s="2"/>
      <c r="C856" s="3"/>
      <c r="D856" s="3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4"/>
      <c r="AA856" s="4"/>
      <c r="AB856" s="4"/>
      <c r="AC856" s="4"/>
      <c r="AD856" s="5"/>
      <c r="AE856" s="6"/>
      <c r="AF856" s="6"/>
      <c r="AG856" s="6"/>
      <c r="AH856" s="6"/>
    </row>
    <row r="857" spans="1:34" ht="12.75" customHeight="1" x14ac:dyDescent="0.3">
      <c r="A857" s="2"/>
      <c r="B857" s="2"/>
      <c r="C857" s="3"/>
      <c r="D857" s="3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4"/>
      <c r="AA857" s="4"/>
      <c r="AB857" s="4"/>
      <c r="AC857" s="4"/>
      <c r="AD857" s="5"/>
      <c r="AE857" s="6"/>
      <c r="AF857" s="6"/>
      <c r="AG857" s="6"/>
      <c r="AH857" s="6"/>
    </row>
    <row r="858" spans="1:34" ht="12.75" customHeight="1" x14ac:dyDescent="0.3">
      <c r="A858" s="2"/>
      <c r="B858" s="2"/>
      <c r="C858" s="3"/>
      <c r="D858" s="3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4"/>
      <c r="AA858" s="4"/>
      <c r="AB858" s="4"/>
      <c r="AC858" s="4"/>
      <c r="AD858" s="5"/>
      <c r="AE858" s="6"/>
      <c r="AF858" s="6"/>
      <c r="AG858" s="6"/>
      <c r="AH858" s="6"/>
    </row>
    <row r="859" spans="1:34" ht="12.75" customHeight="1" x14ac:dyDescent="0.3">
      <c r="A859" s="2"/>
      <c r="B859" s="2"/>
      <c r="C859" s="3"/>
      <c r="D859" s="3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4"/>
      <c r="AA859" s="4"/>
      <c r="AB859" s="4"/>
      <c r="AC859" s="4"/>
      <c r="AD859" s="5"/>
      <c r="AE859" s="6"/>
      <c r="AF859" s="6"/>
      <c r="AG859" s="6"/>
      <c r="AH859" s="6"/>
    </row>
    <row r="860" spans="1:34" ht="12.75" customHeight="1" x14ac:dyDescent="0.3">
      <c r="A860" s="2"/>
      <c r="B860" s="2"/>
      <c r="C860" s="3"/>
      <c r="D860" s="3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4"/>
      <c r="AA860" s="4"/>
      <c r="AB860" s="4"/>
      <c r="AC860" s="4"/>
      <c r="AD860" s="5"/>
      <c r="AE860" s="6"/>
      <c r="AF860" s="6"/>
      <c r="AG860" s="6"/>
      <c r="AH860" s="6"/>
    </row>
    <row r="861" spans="1:34" ht="12.75" customHeight="1" x14ac:dyDescent="0.3">
      <c r="A861" s="2"/>
      <c r="B861" s="2"/>
      <c r="C861" s="3"/>
      <c r="D861" s="3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4"/>
      <c r="AA861" s="4"/>
      <c r="AB861" s="4"/>
      <c r="AC861" s="4"/>
      <c r="AD861" s="5"/>
      <c r="AE861" s="6"/>
      <c r="AF861" s="6"/>
      <c r="AG861" s="6"/>
      <c r="AH861" s="6"/>
    </row>
    <row r="862" spans="1:34" ht="12.75" customHeight="1" x14ac:dyDescent="0.3">
      <c r="A862" s="2"/>
      <c r="B862" s="2"/>
      <c r="C862" s="3"/>
      <c r="D862" s="3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4"/>
      <c r="AA862" s="4"/>
      <c r="AB862" s="4"/>
      <c r="AC862" s="4"/>
      <c r="AD862" s="5"/>
      <c r="AE862" s="6"/>
      <c r="AF862" s="6"/>
      <c r="AG862" s="6"/>
      <c r="AH862" s="6"/>
    </row>
    <row r="863" spans="1:34" ht="12.75" customHeight="1" x14ac:dyDescent="0.3">
      <c r="A863" s="2"/>
      <c r="B863" s="2"/>
      <c r="C863" s="3"/>
      <c r="D863" s="3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4"/>
      <c r="AA863" s="4"/>
      <c r="AB863" s="4"/>
      <c r="AC863" s="4"/>
      <c r="AD863" s="5"/>
      <c r="AE863" s="6"/>
      <c r="AF863" s="6"/>
      <c r="AG863" s="6"/>
      <c r="AH863" s="6"/>
    </row>
    <row r="864" spans="1:34" ht="12.75" customHeight="1" x14ac:dyDescent="0.3">
      <c r="A864" s="2"/>
      <c r="B864" s="2"/>
      <c r="C864" s="3"/>
      <c r="D864" s="3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4"/>
      <c r="AA864" s="4"/>
      <c r="AB864" s="4"/>
      <c r="AC864" s="4"/>
      <c r="AD864" s="5"/>
      <c r="AE864" s="6"/>
      <c r="AF864" s="6"/>
      <c r="AG864" s="6"/>
      <c r="AH864" s="6"/>
    </row>
    <row r="865" spans="1:34" ht="12.75" customHeight="1" x14ac:dyDescent="0.3">
      <c r="A865" s="2"/>
      <c r="B865" s="2"/>
      <c r="C865" s="3"/>
      <c r="D865" s="3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4"/>
      <c r="AA865" s="4"/>
      <c r="AB865" s="4"/>
      <c r="AC865" s="4"/>
      <c r="AD865" s="5"/>
      <c r="AE865" s="6"/>
      <c r="AF865" s="6"/>
      <c r="AG865" s="6"/>
      <c r="AH865" s="6"/>
    </row>
    <row r="866" spans="1:34" ht="12.75" customHeight="1" x14ac:dyDescent="0.3">
      <c r="A866" s="2"/>
      <c r="B866" s="2"/>
      <c r="C866" s="3"/>
      <c r="D866" s="3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4"/>
      <c r="AA866" s="4"/>
      <c r="AB866" s="4"/>
      <c r="AC866" s="4"/>
      <c r="AD866" s="5"/>
      <c r="AE866" s="6"/>
      <c r="AF866" s="6"/>
      <c r="AG866" s="6"/>
      <c r="AH866" s="6"/>
    </row>
    <row r="867" spans="1:34" ht="12.75" customHeight="1" x14ac:dyDescent="0.3">
      <c r="A867" s="2"/>
      <c r="B867" s="2"/>
      <c r="C867" s="3"/>
      <c r="D867" s="3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4"/>
      <c r="AA867" s="4"/>
      <c r="AB867" s="4"/>
      <c r="AC867" s="4"/>
      <c r="AD867" s="5"/>
      <c r="AE867" s="6"/>
      <c r="AF867" s="6"/>
      <c r="AG867" s="6"/>
      <c r="AH867" s="6"/>
    </row>
    <row r="868" spans="1:34" ht="12.75" customHeight="1" x14ac:dyDescent="0.3">
      <c r="A868" s="2"/>
      <c r="B868" s="2"/>
      <c r="C868" s="3"/>
      <c r="D868" s="3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4"/>
      <c r="AA868" s="4"/>
      <c r="AB868" s="4"/>
      <c r="AC868" s="4"/>
      <c r="AD868" s="5"/>
      <c r="AE868" s="6"/>
      <c r="AF868" s="6"/>
      <c r="AG868" s="6"/>
      <c r="AH868" s="6"/>
    </row>
    <row r="869" spans="1:34" ht="12.75" customHeight="1" x14ac:dyDescent="0.3">
      <c r="A869" s="2"/>
      <c r="B869" s="2"/>
      <c r="C869" s="3"/>
      <c r="D869" s="3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4"/>
      <c r="AA869" s="4"/>
      <c r="AB869" s="4"/>
      <c r="AC869" s="4"/>
      <c r="AD869" s="5"/>
      <c r="AE869" s="6"/>
      <c r="AF869" s="6"/>
      <c r="AG869" s="6"/>
      <c r="AH869" s="6"/>
    </row>
    <row r="870" spans="1:34" ht="12.75" customHeight="1" x14ac:dyDescent="0.3">
      <c r="A870" s="2"/>
      <c r="B870" s="2"/>
      <c r="C870" s="3"/>
      <c r="D870" s="3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4"/>
      <c r="AA870" s="4"/>
      <c r="AB870" s="4"/>
      <c r="AC870" s="4"/>
      <c r="AD870" s="5"/>
      <c r="AE870" s="6"/>
      <c r="AF870" s="6"/>
      <c r="AG870" s="6"/>
      <c r="AH870" s="6"/>
    </row>
    <row r="871" spans="1:34" ht="12.75" customHeight="1" x14ac:dyDescent="0.3">
      <c r="A871" s="2"/>
      <c r="B871" s="2"/>
      <c r="C871" s="3"/>
      <c r="D871" s="3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4"/>
      <c r="AA871" s="4"/>
      <c r="AB871" s="4"/>
      <c r="AC871" s="4"/>
      <c r="AD871" s="5"/>
      <c r="AE871" s="6"/>
      <c r="AF871" s="6"/>
      <c r="AG871" s="6"/>
      <c r="AH871" s="6"/>
    </row>
    <row r="872" spans="1:34" ht="12.75" customHeight="1" x14ac:dyDescent="0.3">
      <c r="A872" s="2"/>
      <c r="B872" s="2"/>
      <c r="C872" s="3"/>
      <c r="D872" s="3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4"/>
      <c r="AA872" s="4"/>
      <c r="AB872" s="4"/>
      <c r="AC872" s="4"/>
      <c r="AD872" s="5"/>
      <c r="AE872" s="6"/>
      <c r="AF872" s="6"/>
      <c r="AG872" s="6"/>
      <c r="AH872" s="6"/>
    </row>
    <row r="873" spans="1:34" ht="12.75" customHeight="1" x14ac:dyDescent="0.3">
      <c r="A873" s="2"/>
      <c r="B873" s="2"/>
      <c r="C873" s="3"/>
      <c r="D873" s="3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4"/>
      <c r="AA873" s="4"/>
      <c r="AB873" s="4"/>
      <c r="AC873" s="4"/>
      <c r="AD873" s="5"/>
      <c r="AE873" s="6"/>
      <c r="AF873" s="6"/>
      <c r="AG873" s="6"/>
      <c r="AH873" s="6"/>
    </row>
    <row r="874" spans="1:34" ht="12.75" customHeight="1" x14ac:dyDescent="0.3">
      <c r="A874" s="2"/>
      <c r="B874" s="2"/>
      <c r="C874" s="3"/>
      <c r="D874" s="3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4"/>
      <c r="AA874" s="4"/>
      <c r="AB874" s="4"/>
      <c r="AC874" s="4"/>
      <c r="AD874" s="5"/>
      <c r="AE874" s="6"/>
      <c r="AF874" s="6"/>
      <c r="AG874" s="6"/>
      <c r="AH874" s="6"/>
    </row>
    <row r="875" spans="1:34" ht="12.75" customHeight="1" x14ac:dyDescent="0.3">
      <c r="A875" s="2"/>
      <c r="B875" s="2"/>
      <c r="C875" s="3"/>
      <c r="D875" s="3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4"/>
      <c r="AA875" s="4"/>
      <c r="AB875" s="4"/>
      <c r="AC875" s="4"/>
      <c r="AD875" s="5"/>
      <c r="AE875" s="6"/>
      <c r="AF875" s="6"/>
      <c r="AG875" s="6"/>
      <c r="AH875" s="6"/>
    </row>
    <row r="876" spans="1:34" ht="12.75" customHeight="1" x14ac:dyDescent="0.3">
      <c r="A876" s="2"/>
      <c r="B876" s="2"/>
      <c r="C876" s="3"/>
      <c r="D876" s="3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4"/>
      <c r="AA876" s="4"/>
      <c r="AB876" s="4"/>
      <c r="AC876" s="4"/>
      <c r="AD876" s="5"/>
      <c r="AE876" s="6"/>
      <c r="AF876" s="6"/>
      <c r="AG876" s="6"/>
      <c r="AH876" s="6"/>
    </row>
    <row r="877" spans="1:34" ht="12.75" customHeight="1" x14ac:dyDescent="0.3">
      <c r="A877" s="2"/>
      <c r="B877" s="2"/>
      <c r="C877" s="3"/>
      <c r="D877" s="3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4"/>
      <c r="AA877" s="4"/>
      <c r="AB877" s="4"/>
      <c r="AC877" s="4"/>
      <c r="AD877" s="5"/>
      <c r="AE877" s="6"/>
      <c r="AF877" s="6"/>
      <c r="AG877" s="6"/>
      <c r="AH877" s="6"/>
    </row>
    <row r="878" spans="1:34" ht="12.75" customHeight="1" x14ac:dyDescent="0.3">
      <c r="A878" s="2"/>
      <c r="B878" s="2"/>
      <c r="C878" s="3"/>
      <c r="D878" s="3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4"/>
      <c r="AA878" s="4"/>
      <c r="AB878" s="4"/>
      <c r="AC878" s="4"/>
      <c r="AD878" s="5"/>
      <c r="AE878" s="6"/>
      <c r="AF878" s="6"/>
      <c r="AG878" s="6"/>
      <c r="AH878" s="6"/>
    </row>
    <row r="879" spans="1:34" ht="12.75" customHeight="1" x14ac:dyDescent="0.3">
      <c r="A879" s="2"/>
      <c r="B879" s="2"/>
      <c r="C879" s="3"/>
      <c r="D879" s="3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4"/>
      <c r="AA879" s="4"/>
      <c r="AB879" s="4"/>
      <c r="AC879" s="4"/>
      <c r="AD879" s="5"/>
      <c r="AE879" s="6"/>
      <c r="AF879" s="6"/>
      <c r="AG879" s="6"/>
      <c r="AH879" s="6"/>
    </row>
    <row r="880" spans="1:34" ht="12.75" customHeight="1" x14ac:dyDescent="0.3">
      <c r="A880" s="2"/>
      <c r="B880" s="2"/>
      <c r="C880" s="3"/>
      <c r="D880" s="3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4"/>
      <c r="AA880" s="4"/>
      <c r="AB880" s="4"/>
      <c r="AC880" s="4"/>
      <c r="AD880" s="5"/>
      <c r="AE880" s="6"/>
      <c r="AF880" s="6"/>
      <c r="AG880" s="6"/>
      <c r="AH880" s="6"/>
    </row>
    <row r="881" spans="1:34" ht="12.75" customHeight="1" x14ac:dyDescent="0.3">
      <c r="A881" s="2"/>
      <c r="B881" s="2"/>
      <c r="C881" s="3"/>
      <c r="D881" s="3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4"/>
      <c r="AA881" s="4"/>
      <c r="AB881" s="4"/>
      <c r="AC881" s="4"/>
      <c r="AD881" s="5"/>
      <c r="AE881" s="6"/>
      <c r="AF881" s="6"/>
      <c r="AG881" s="6"/>
      <c r="AH881" s="6"/>
    </row>
    <row r="882" spans="1:34" ht="12.75" customHeight="1" x14ac:dyDescent="0.3">
      <c r="A882" s="2"/>
      <c r="B882" s="2"/>
      <c r="C882" s="3"/>
      <c r="D882" s="3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4"/>
      <c r="AA882" s="4"/>
      <c r="AB882" s="4"/>
      <c r="AC882" s="4"/>
      <c r="AD882" s="5"/>
      <c r="AE882" s="6"/>
      <c r="AF882" s="6"/>
      <c r="AG882" s="6"/>
      <c r="AH882" s="6"/>
    </row>
    <row r="883" spans="1:34" ht="12.75" customHeight="1" x14ac:dyDescent="0.3">
      <c r="A883" s="2"/>
      <c r="B883" s="2"/>
      <c r="C883" s="3"/>
      <c r="D883" s="3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4"/>
      <c r="AA883" s="4"/>
      <c r="AB883" s="4"/>
      <c r="AC883" s="4"/>
      <c r="AD883" s="5"/>
      <c r="AE883" s="6"/>
      <c r="AF883" s="6"/>
      <c r="AG883" s="6"/>
      <c r="AH883" s="6"/>
    </row>
    <row r="884" spans="1:34" ht="12.75" customHeight="1" x14ac:dyDescent="0.3">
      <c r="A884" s="2"/>
      <c r="B884" s="2"/>
      <c r="C884" s="3"/>
      <c r="D884" s="3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4"/>
      <c r="AA884" s="4"/>
      <c r="AB884" s="4"/>
      <c r="AC884" s="4"/>
      <c r="AD884" s="5"/>
      <c r="AE884" s="6"/>
      <c r="AF884" s="6"/>
      <c r="AG884" s="6"/>
      <c r="AH884" s="6"/>
    </row>
    <row r="885" spans="1:34" ht="12.75" customHeight="1" x14ac:dyDescent="0.3">
      <c r="A885" s="2"/>
      <c r="B885" s="2"/>
      <c r="C885" s="3"/>
      <c r="D885" s="3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4"/>
      <c r="AA885" s="4"/>
      <c r="AB885" s="4"/>
      <c r="AC885" s="4"/>
      <c r="AD885" s="5"/>
      <c r="AE885" s="6"/>
      <c r="AF885" s="6"/>
      <c r="AG885" s="6"/>
      <c r="AH885" s="6"/>
    </row>
    <row r="886" spans="1:34" ht="12.75" customHeight="1" x14ac:dyDescent="0.3">
      <c r="A886" s="2"/>
      <c r="B886" s="2"/>
      <c r="C886" s="3"/>
      <c r="D886" s="3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4"/>
      <c r="AA886" s="4"/>
      <c r="AB886" s="4"/>
      <c r="AC886" s="4"/>
      <c r="AD886" s="5"/>
      <c r="AE886" s="6"/>
      <c r="AF886" s="6"/>
      <c r="AG886" s="6"/>
      <c r="AH886" s="6"/>
    </row>
    <row r="887" spans="1:34" ht="12.75" customHeight="1" x14ac:dyDescent="0.3">
      <c r="A887" s="2"/>
      <c r="B887" s="2"/>
      <c r="C887" s="3"/>
      <c r="D887" s="3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4"/>
      <c r="AA887" s="4"/>
      <c r="AB887" s="4"/>
      <c r="AC887" s="4"/>
      <c r="AD887" s="5"/>
      <c r="AE887" s="6"/>
      <c r="AF887" s="6"/>
      <c r="AG887" s="6"/>
      <c r="AH887" s="6"/>
    </row>
    <row r="888" spans="1:34" ht="12.75" customHeight="1" x14ac:dyDescent="0.3">
      <c r="A888" s="2"/>
      <c r="B888" s="2"/>
      <c r="C888" s="3"/>
      <c r="D888" s="3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4"/>
      <c r="AA888" s="4"/>
      <c r="AB888" s="4"/>
      <c r="AC888" s="4"/>
      <c r="AD888" s="5"/>
      <c r="AE888" s="6"/>
      <c r="AF888" s="6"/>
      <c r="AG888" s="6"/>
      <c r="AH888" s="6"/>
    </row>
    <row r="889" spans="1:34" ht="12.75" customHeight="1" x14ac:dyDescent="0.3">
      <c r="A889" s="2"/>
      <c r="B889" s="2"/>
      <c r="C889" s="3"/>
      <c r="D889" s="3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4"/>
      <c r="AA889" s="4"/>
      <c r="AB889" s="4"/>
      <c r="AC889" s="4"/>
      <c r="AD889" s="5"/>
      <c r="AE889" s="6"/>
      <c r="AF889" s="6"/>
      <c r="AG889" s="6"/>
      <c r="AH889" s="6"/>
    </row>
    <row r="890" spans="1:34" ht="12.75" customHeight="1" x14ac:dyDescent="0.3">
      <c r="A890" s="2"/>
      <c r="B890" s="2"/>
      <c r="C890" s="3"/>
      <c r="D890" s="3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4"/>
      <c r="AA890" s="4"/>
      <c r="AB890" s="4"/>
      <c r="AC890" s="4"/>
      <c r="AD890" s="5"/>
      <c r="AE890" s="6"/>
      <c r="AF890" s="6"/>
      <c r="AG890" s="6"/>
      <c r="AH890" s="6"/>
    </row>
    <row r="891" spans="1:34" ht="12.75" customHeight="1" x14ac:dyDescent="0.3">
      <c r="A891" s="2"/>
      <c r="B891" s="2"/>
      <c r="C891" s="3"/>
      <c r="D891" s="3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4"/>
      <c r="AA891" s="4"/>
      <c r="AB891" s="4"/>
      <c r="AC891" s="4"/>
      <c r="AD891" s="5"/>
      <c r="AE891" s="6"/>
      <c r="AF891" s="6"/>
      <c r="AG891" s="6"/>
      <c r="AH891" s="6"/>
    </row>
    <row r="892" spans="1:34" ht="12.75" customHeight="1" x14ac:dyDescent="0.3">
      <c r="A892" s="2"/>
      <c r="B892" s="2"/>
      <c r="C892" s="3"/>
      <c r="D892" s="3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4"/>
      <c r="AA892" s="4"/>
      <c r="AB892" s="4"/>
      <c r="AC892" s="4"/>
      <c r="AD892" s="5"/>
      <c r="AE892" s="6"/>
      <c r="AF892" s="6"/>
      <c r="AG892" s="6"/>
      <c r="AH892" s="6"/>
    </row>
    <row r="893" spans="1:34" ht="12.75" customHeight="1" x14ac:dyDescent="0.3">
      <c r="A893" s="2"/>
      <c r="B893" s="2"/>
      <c r="C893" s="3"/>
      <c r="D893" s="3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4"/>
      <c r="AA893" s="4"/>
      <c r="AB893" s="4"/>
      <c r="AC893" s="4"/>
      <c r="AD893" s="5"/>
      <c r="AE893" s="6"/>
      <c r="AF893" s="6"/>
      <c r="AG893" s="6"/>
      <c r="AH893" s="6"/>
    </row>
    <row r="894" spans="1:34" ht="12.75" customHeight="1" x14ac:dyDescent="0.3">
      <c r="A894" s="2"/>
      <c r="B894" s="2"/>
      <c r="C894" s="3"/>
      <c r="D894" s="3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4"/>
      <c r="AA894" s="4"/>
      <c r="AB894" s="4"/>
      <c r="AC894" s="4"/>
      <c r="AD894" s="5"/>
      <c r="AE894" s="6"/>
      <c r="AF894" s="6"/>
      <c r="AG894" s="6"/>
      <c r="AH894" s="6"/>
    </row>
    <row r="895" spans="1:34" ht="12.75" customHeight="1" x14ac:dyDescent="0.3">
      <c r="A895" s="2"/>
      <c r="B895" s="2"/>
      <c r="C895" s="3"/>
      <c r="D895" s="3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4"/>
      <c r="AA895" s="4"/>
      <c r="AB895" s="4"/>
      <c r="AC895" s="4"/>
      <c r="AD895" s="5"/>
      <c r="AE895" s="6"/>
      <c r="AF895" s="6"/>
      <c r="AG895" s="6"/>
      <c r="AH895" s="6"/>
    </row>
    <row r="896" spans="1:34" ht="12.75" customHeight="1" x14ac:dyDescent="0.3">
      <c r="A896" s="2"/>
      <c r="B896" s="2"/>
      <c r="C896" s="3"/>
      <c r="D896" s="3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4"/>
      <c r="AA896" s="4"/>
      <c r="AB896" s="4"/>
      <c r="AC896" s="4"/>
      <c r="AD896" s="5"/>
      <c r="AE896" s="6"/>
      <c r="AF896" s="6"/>
      <c r="AG896" s="6"/>
      <c r="AH896" s="6"/>
    </row>
    <row r="897" spans="1:34" ht="12.75" customHeight="1" x14ac:dyDescent="0.3">
      <c r="A897" s="2"/>
      <c r="B897" s="2"/>
      <c r="C897" s="3"/>
      <c r="D897" s="3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4"/>
      <c r="AA897" s="4"/>
      <c r="AB897" s="4"/>
      <c r="AC897" s="4"/>
      <c r="AD897" s="5"/>
      <c r="AE897" s="6"/>
      <c r="AF897" s="6"/>
      <c r="AG897" s="6"/>
      <c r="AH897" s="6"/>
    </row>
    <row r="898" spans="1:34" ht="12.75" customHeight="1" x14ac:dyDescent="0.3">
      <c r="A898" s="2"/>
      <c r="B898" s="2"/>
      <c r="C898" s="3"/>
      <c r="D898" s="3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4"/>
      <c r="AA898" s="4"/>
      <c r="AB898" s="4"/>
      <c r="AC898" s="4"/>
      <c r="AD898" s="5"/>
      <c r="AE898" s="6"/>
      <c r="AF898" s="6"/>
      <c r="AG898" s="6"/>
      <c r="AH898" s="6"/>
    </row>
    <row r="899" spans="1:34" ht="12.75" customHeight="1" x14ac:dyDescent="0.3">
      <c r="A899" s="2"/>
      <c r="B899" s="2"/>
      <c r="C899" s="3"/>
      <c r="D899" s="3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4"/>
      <c r="AA899" s="4"/>
      <c r="AB899" s="4"/>
      <c r="AC899" s="4"/>
      <c r="AD899" s="5"/>
      <c r="AE899" s="6"/>
      <c r="AF899" s="6"/>
      <c r="AG899" s="6"/>
      <c r="AH899" s="6"/>
    </row>
    <row r="900" spans="1:34" ht="12.75" customHeight="1" x14ac:dyDescent="0.3">
      <c r="A900" s="2"/>
      <c r="B900" s="2"/>
      <c r="C900" s="3"/>
      <c r="D900" s="3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4"/>
      <c r="AA900" s="4"/>
      <c r="AB900" s="4"/>
      <c r="AC900" s="4"/>
      <c r="AD900" s="5"/>
      <c r="AE900" s="6"/>
      <c r="AF900" s="6"/>
      <c r="AG900" s="6"/>
      <c r="AH900" s="6"/>
    </row>
    <row r="901" spans="1:34" ht="12.75" customHeight="1" x14ac:dyDescent="0.3">
      <c r="A901" s="2"/>
      <c r="B901" s="2"/>
      <c r="C901" s="3"/>
      <c r="D901" s="3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4"/>
      <c r="AA901" s="4"/>
      <c r="AB901" s="4"/>
      <c r="AC901" s="4"/>
      <c r="AD901" s="5"/>
      <c r="AE901" s="6"/>
      <c r="AF901" s="6"/>
      <c r="AG901" s="6"/>
      <c r="AH901" s="6"/>
    </row>
    <row r="902" spans="1:34" ht="12.75" customHeight="1" x14ac:dyDescent="0.3">
      <c r="A902" s="2"/>
      <c r="B902" s="2"/>
      <c r="C902" s="3"/>
      <c r="D902" s="3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4"/>
      <c r="AA902" s="4"/>
      <c r="AB902" s="4"/>
      <c r="AC902" s="4"/>
      <c r="AD902" s="5"/>
      <c r="AE902" s="6"/>
      <c r="AF902" s="6"/>
      <c r="AG902" s="6"/>
      <c r="AH902" s="6"/>
    </row>
    <row r="903" spans="1:34" ht="12.75" customHeight="1" x14ac:dyDescent="0.3">
      <c r="A903" s="2"/>
      <c r="B903" s="2"/>
      <c r="C903" s="3"/>
      <c r="D903" s="3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4"/>
      <c r="AA903" s="4"/>
      <c r="AB903" s="4"/>
      <c r="AC903" s="4"/>
      <c r="AD903" s="5"/>
      <c r="AE903" s="6"/>
      <c r="AF903" s="6"/>
      <c r="AG903" s="6"/>
      <c r="AH903" s="6"/>
    </row>
    <row r="904" spans="1:34" ht="12.75" customHeight="1" x14ac:dyDescent="0.3">
      <c r="A904" s="2"/>
      <c r="B904" s="2"/>
      <c r="C904" s="3"/>
      <c r="D904" s="3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4"/>
      <c r="AA904" s="4"/>
      <c r="AB904" s="4"/>
      <c r="AC904" s="4"/>
      <c r="AD904" s="5"/>
      <c r="AE904" s="6"/>
      <c r="AF904" s="6"/>
      <c r="AG904" s="6"/>
      <c r="AH904" s="6"/>
    </row>
    <row r="905" spans="1:34" ht="12.75" customHeight="1" x14ac:dyDescent="0.3">
      <c r="A905" s="2"/>
      <c r="B905" s="2"/>
      <c r="C905" s="3"/>
      <c r="D905" s="3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4"/>
      <c r="AA905" s="4"/>
      <c r="AB905" s="4"/>
      <c r="AC905" s="4"/>
      <c r="AD905" s="5"/>
      <c r="AE905" s="6"/>
      <c r="AF905" s="6"/>
      <c r="AG905" s="6"/>
      <c r="AH905" s="6"/>
    </row>
    <row r="906" spans="1:34" ht="12.75" customHeight="1" x14ac:dyDescent="0.3">
      <c r="A906" s="2"/>
      <c r="B906" s="2"/>
      <c r="C906" s="3"/>
      <c r="D906" s="3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4"/>
      <c r="AA906" s="4"/>
      <c r="AB906" s="4"/>
      <c r="AC906" s="4"/>
      <c r="AD906" s="5"/>
      <c r="AE906" s="6"/>
      <c r="AF906" s="6"/>
      <c r="AG906" s="6"/>
      <c r="AH906" s="6"/>
    </row>
    <row r="907" spans="1:34" ht="12.75" customHeight="1" x14ac:dyDescent="0.3">
      <c r="A907" s="2"/>
      <c r="B907" s="2"/>
      <c r="C907" s="3"/>
      <c r="D907" s="3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4"/>
      <c r="AA907" s="4"/>
      <c r="AB907" s="4"/>
      <c r="AC907" s="4"/>
      <c r="AD907" s="5"/>
      <c r="AE907" s="6"/>
      <c r="AF907" s="6"/>
      <c r="AG907" s="6"/>
      <c r="AH907" s="6"/>
    </row>
    <row r="908" spans="1:34" ht="12.75" customHeight="1" x14ac:dyDescent="0.3">
      <c r="A908" s="2"/>
      <c r="B908" s="2"/>
      <c r="C908" s="3"/>
      <c r="D908" s="3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4"/>
      <c r="AA908" s="4"/>
      <c r="AB908" s="4"/>
      <c r="AC908" s="4"/>
      <c r="AD908" s="5"/>
      <c r="AE908" s="6"/>
      <c r="AF908" s="6"/>
      <c r="AG908" s="6"/>
      <c r="AH908" s="6"/>
    </row>
    <row r="909" spans="1:34" ht="12.75" customHeight="1" x14ac:dyDescent="0.3">
      <c r="A909" s="2"/>
      <c r="B909" s="2"/>
      <c r="C909" s="3"/>
      <c r="D909" s="3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4"/>
      <c r="AA909" s="4"/>
      <c r="AB909" s="4"/>
      <c r="AC909" s="4"/>
      <c r="AD909" s="5"/>
      <c r="AE909" s="6"/>
      <c r="AF909" s="6"/>
      <c r="AG909" s="6"/>
      <c r="AH909" s="6"/>
    </row>
    <row r="910" spans="1:34" ht="12.75" customHeight="1" x14ac:dyDescent="0.3">
      <c r="A910" s="2"/>
      <c r="B910" s="2"/>
      <c r="C910" s="3"/>
      <c r="D910" s="3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4"/>
      <c r="AA910" s="4"/>
      <c r="AB910" s="4"/>
      <c r="AC910" s="4"/>
      <c r="AD910" s="5"/>
      <c r="AE910" s="6"/>
      <c r="AF910" s="6"/>
      <c r="AG910" s="6"/>
      <c r="AH910" s="6"/>
    </row>
    <row r="911" spans="1:34" ht="12.75" customHeight="1" x14ac:dyDescent="0.3">
      <c r="A911" s="2"/>
      <c r="B911" s="2"/>
      <c r="C911" s="3"/>
      <c r="D911" s="3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4"/>
      <c r="AA911" s="4"/>
      <c r="AB911" s="4"/>
      <c r="AC911" s="4"/>
      <c r="AD911" s="5"/>
      <c r="AE911" s="6"/>
      <c r="AF911" s="6"/>
      <c r="AG911" s="6"/>
      <c r="AH911" s="6"/>
    </row>
    <row r="912" spans="1:34" ht="12.75" customHeight="1" x14ac:dyDescent="0.3">
      <c r="A912" s="2"/>
      <c r="B912" s="2"/>
      <c r="C912" s="3"/>
      <c r="D912" s="3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4"/>
      <c r="AA912" s="4"/>
      <c r="AB912" s="4"/>
      <c r="AC912" s="4"/>
      <c r="AD912" s="5"/>
      <c r="AE912" s="6"/>
      <c r="AF912" s="6"/>
      <c r="AG912" s="6"/>
      <c r="AH912" s="6"/>
    </row>
    <row r="913" spans="1:34" ht="12.75" customHeight="1" x14ac:dyDescent="0.3">
      <c r="A913" s="2"/>
      <c r="B913" s="2"/>
      <c r="C913" s="3"/>
      <c r="D913" s="3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4"/>
      <c r="AA913" s="4"/>
      <c r="AB913" s="4"/>
      <c r="AC913" s="4"/>
      <c r="AD913" s="5"/>
      <c r="AE913" s="6"/>
      <c r="AF913" s="6"/>
      <c r="AG913" s="6"/>
      <c r="AH913" s="6"/>
    </row>
    <row r="914" spans="1:34" ht="12.75" customHeight="1" x14ac:dyDescent="0.3">
      <c r="A914" s="2"/>
      <c r="B914" s="2"/>
      <c r="C914" s="3"/>
      <c r="D914" s="3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4"/>
      <c r="AA914" s="4"/>
      <c r="AB914" s="4"/>
      <c r="AC914" s="4"/>
      <c r="AD914" s="5"/>
      <c r="AE914" s="6"/>
      <c r="AF914" s="6"/>
      <c r="AG914" s="6"/>
      <c r="AH914" s="6"/>
    </row>
    <row r="915" spans="1:34" ht="12.75" customHeight="1" x14ac:dyDescent="0.3">
      <c r="A915" s="2"/>
      <c r="B915" s="2"/>
      <c r="C915" s="3"/>
      <c r="D915" s="3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4"/>
      <c r="AA915" s="4"/>
      <c r="AB915" s="4"/>
      <c r="AC915" s="4"/>
      <c r="AD915" s="5"/>
      <c r="AE915" s="6"/>
      <c r="AF915" s="6"/>
      <c r="AG915" s="6"/>
      <c r="AH915" s="6"/>
    </row>
    <row r="916" spans="1:34" ht="12.75" customHeight="1" x14ac:dyDescent="0.3">
      <c r="A916" s="2"/>
      <c r="B916" s="2"/>
      <c r="C916" s="3"/>
      <c r="D916" s="3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4"/>
      <c r="AA916" s="4"/>
      <c r="AB916" s="4"/>
      <c r="AC916" s="4"/>
      <c r="AD916" s="5"/>
      <c r="AE916" s="6"/>
      <c r="AF916" s="6"/>
      <c r="AG916" s="6"/>
      <c r="AH916" s="6"/>
    </row>
    <row r="917" spans="1:34" ht="12.75" customHeight="1" x14ac:dyDescent="0.3">
      <c r="A917" s="2"/>
      <c r="B917" s="2"/>
      <c r="C917" s="3"/>
      <c r="D917" s="3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4"/>
      <c r="AA917" s="4"/>
      <c r="AB917" s="4"/>
      <c r="AC917" s="4"/>
      <c r="AD917" s="5"/>
      <c r="AE917" s="6"/>
      <c r="AF917" s="6"/>
      <c r="AG917" s="6"/>
      <c r="AH917" s="6"/>
    </row>
    <row r="918" spans="1:34" ht="12.75" customHeight="1" x14ac:dyDescent="0.3">
      <c r="A918" s="2"/>
      <c r="B918" s="2"/>
      <c r="C918" s="3"/>
      <c r="D918" s="3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4"/>
      <c r="AA918" s="4"/>
      <c r="AB918" s="4"/>
      <c r="AC918" s="4"/>
      <c r="AD918" s="5"/>
      <c r="AE918" s="6"/>
      <c r="AF918" s="6"/>
      <c r="AG918" s="6"/>
      <c r="AH918" s="6"/>
    </row>
    <row r="919" spans="1:34" ht="12.75" customHeight="1" x14ac:dyDescent="0.3">
      <c r="A919" s="2"/>
      <c r="B919" s="2"/>
      <c r="C919" s="3"/>
      <c r="D919" s="3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4"/>
      <c r="AA919" s="4"/>
      <c r="AB919" s="4"/>
      <c r="AC919" s="4"/>
      <c r="AD919" s="5"/>
      <c r="AE919" s="6"/>
      <c r="AF919" s="6"/>
      <c r="AG919" s="6"/>
      <c r="AH919" s="6"/>
    </row>
    <row r="920" spans="1:34" ht="12.75" customHeight="1" x14ac:dyDescent="0.3">
      <c r="A920" s="2"/>
      <c r="B920" s="2"/>
      <c r="C920" s="3"/>
      <c r="D920" s="3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4"/>
      <c r="AA920" s="4"/>
      <c r="AB920" s="4"/>
      <c r="AC920" s="4"/>
      <c r="AD920" s="5"/>
      <c r="AE920" s="6"/>
      <c r="AF920" s="6"/>
      <c r="AG920" s="6"/>
      <c r="AH920" s="6"/>
    </row>
    <row r="921" spans="1:34" ht="12.75" customHeight="1" x14ac:dyDescent="0.3">
      <c r="A921" s="2"/>
      <c r="B921" s="2"/>
      <c r="C921" s="3"/>
      <c r="D921" s="3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4"/>
      <c r="AA921" s="4"/>
      <c r="AB921" s="4"/>
      <c r="AC921" s="4"/>
      <c r="AD921" s="5"/>
      <c r="AE921" s="6"/>
      <c r="AF921" s="6"/>
      <c r="AG921" s="6"/>
      <c r="AH921" s="6"/>
    </row>
    <row r="922" spans="1:34" ht="12.75" customHeight="1" x14ac:dyDescent="0.3">
      <c r="A922" s="2"/>
      <c r="B922" s="2"/>
      <c r="C922" s="3"/>
      <c r="D922" s="3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4"/>
      <c r="AA922" s="4"/>
      <c r="AB922" s="4"/>
      <c r="AC922" s="4"/>
      <c r="AD922" s="5"/>
      <c r="AE922" s="6"/>
      <c r="AF922" s="6"/>
      <c r="AG922" s="6"/>
      <c r="AH922" s="6"/>
    </row>
    <row r="923" spans="1:34" ht="12.75" customHeight="1" x14ac:dyDescent="0.3">
      <c r="A923" s="2"/>
      <c r="B923" s="2"/>
      <c r="C923" s="3"/>
      <c r="D923" s="3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4"/>
      <c r="AA923" s="4"/>
      <c r="AB923" s="4"/>
      <c r="AC923" s="4"/>
      <c r="AD923" s="5"/>
      <c r="AE923" s="6"/>
      <c r="AF923" s="6"/>
      <c r="AG923" s="6"/>
      <c r="AH923" s="6"/>
    </row>
    <row r="924" spans="1:34" ht="12.75" customHeight="1" x14ac:dyDescent="0.3">
      <c r="A924" s="2"/>
      <c r="B924" s="2"/>
      <c r="C924" s="3"/>
      <c r="D924" s="3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4"/>
      <c r="AA924" s="4"/>
      <c r="AB924" s="4"/>
      <c r="AC924" s="4"/>
      <c r="AD924" s="5"/>
      <c r="AE924" s="6"/>
      <c r="AF924" s="6"/>
      <c r="AG924" s="6"/>
      <c r="AH924" s="6"/>
    </row>
    <row r="925" spans="1:34" ht="12.75" customHeight="1" x14ac:dyDescent="0.3">
      <c r="A925" s="2"/>
      <c r="B925" s="2"/>
      <c r="C925" s="3"/>
      <c r="D925" s="3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4"/>
      <c r="AA925" s="4"/>
      <c r="AB925" s="4"/>
      <c r="AC925" s="4"/>
      <c r="AD925" s="5"/>
      <c r="AE925" s="6"/>
      <c r="AF925" s="6"/>
      <c r="AG925" s="6"/>
      <c r="AH925" s="6"/>
    </row>
    <row r="926" spans="1:34" ht="12.75" customHeight="1" x14ac:dyDescent="0.3">
      <c r="A926" s="2"/>
      <c r="B926" s="2"/>
      <c r="C926" s="3"/>
      <c r="D926" s="3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4"/>
      <c r="AA926" s="4"/>
      <c r="AB926" s="4"/>
      <c r="AC926" s="4"/>
      <c r="AD926" s="5"/>
      <c r="AE926" s="6"/>
      <c r="AF926" s="6"/>
      <c r="AG926" s="6"/>
      <c r="AH926" s="6"/>
    </row>
    <row r="927" spans="1:34" ht="12.75" customHeight="1" x14ac:dyDescent="0.3">
      <c r="A927" s="2"/>
      <c r="B927" s="2"/>
      <c r="C927" s="3"/>
      <c r="D927" s="3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4"/>
      <c r="AA927" s="4"/>
      <c r="AB927" s="4"/>
      <c r="AC927" s="4"/>
      <c r="AD927" s="5"/>
      <c r="AE927" s="6"/>
      <c r="AF927" s="6"/>
      <c r="AG927" s="6"/>
      <c r="AH927" s="6"/>
    </row>
    <row r="928" spans="1:34" ht="12.75" customHeight="1" x14ac:dyDescent="0.3">
      <c r="A928" s="2"/>
      <c r="B928" s="2"/>
      <c r="C928" s="3"/>
      <c r="D928" s="3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4"/>
      <c r="AA928" s="4"/>
      <c r="AB928" s="4"/>
      <c r="AC928" s="4"/>
      <c r="AD928" s="5"/>
      <c r="AE928" s="6"/>
      <c r="AF928" s="6"/>
      <c r="AG928" s="6"/>
      <c r="AH928" s="6"/>
    </row>
    <row r="929" spans="1:34" ht="12.75" customHeight="1" x14ac:dyDescent="0.3">
      <c r="A929" s="2"/>
      <c r="B929" s="2"/>
      <c r="C929" s="3"/>
      <c r="D929" s="3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4"/>
      <c r="AA929" s="4"/>
      <c r="AB929" s="4"/>
      <c r="AC929" s="4"/>
      <c r="AD929" s="5"/>
      <c r="AE929" s="6"/>
      <c r="AF929" s="6"/>
      <c r="AG929" s="6"/>
      <c r="AH929" s="6"/>
    </row>
    <row r="930" spans="1:34" ht="12.75" customHeight="1" x14ac:dyDescent="0.3">
      <c r="A930" s="2"/>
      <c r="B930" s="2"/>
      <c r="C930" s="3"/>
      <c r="D930" s="3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4"/>
      <c r="AA930" s="4"/>
      <c r="AB930" s="4"/>
      <c r="AC930" s="4"/>
      <c r="AD930" s="5"/>
      <c r="AE930" s="6"/>
      <c r="AF930" s="6"/>
      <c r="AG930" s="6"/>
      <c r="AH930" s="6"/>
    </row>
    <row r="931" spans="1:34" ht="12.75" customHeight="1" x14ac:dyDescent="0.3">
      <c r="A931" s="2"/>
      <c r="B931" s="2"/>
      <c r="C931" s="3"/>
      <c r="D931" s="3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4"/>
      <c r="AA931" s="4"/>
      <c r="AB931" s="4"/>
      <c r="AC931" s="4"/>
      <c r="AD931" s="5"/>
      <c r="AE931" s="6"/>
      <c r="AF931" s="6"/>
      <c r="AG931" s="6"/>
      <c r="AH931" s="6"/>
    </row>
    <row r="932" spans="1:34" ht="12.75" customHeight="1" x14ac:dyDescent="0.3">
      <c r="A932" s="2"/>
      <c r="B932" s="2"/>
      <c r="C932" s="3"/>
      <c r="D932" s="3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4"/>
      <c r="AA932" s="4"/>
      <c r="AB932" s="4"/>
      <c r="AC932" s="4"/>
      <c r="AD932" s="5"/>
      <c r="AE932" s="6"/>
      <c r="AF932" s="6"/>
      <c r="AG932" s="6"/>
      <c r="AH932" s="6"/>
    </row>
    <row r="933" spans="1:34" ht="12.75" customHeight="1" x14ac:dyDescent="0.3">
      <c r="A933" s="2"/>
      <c r="B933" s="2"/>
      <c r="C933" s="3"/>
      <c r="D933" s="3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4"/>
      <c r="AA933" s="4"/>
      <c r="AB933" s="4"/>
      <c r="AC933" s="4"/>
      <c r="AD933" s="5"/>
      <c r="AE933" s="6"/>
      <c r="AF933" s="6"/>
      <c r="AG933" s="6"/>
      <c r="AH933" s="6"/>
    </row>
    <row r="934" spans="1:34" ht="12.75" customHeight="1" x14ac:dyDescent="0.3">
      <c r="A934" s="2"/>
      <c r="B934" s="2"/>
      <c r="C934" s="3"/>
      <c r="D934" s="3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4"/>
      <c r="AA934" s="4"/>
      <c r="AB934" s="4"/>
      <c r="AC934" s="4"/>
      <c r="AD934" s="5"/>
      <c r="AE934" s="6"/>
      <c r="AF934" s="6"/>
      <c r="AG934" s="6"/>
      <c r="AH934" s="6"/>
    </row>
    <row r="935" spans="1:34" ht="12.75" customHeight="1" x14ac:dyDescent="0.3">
      <c r="A935" s="2"/>
      <c r="B935" s="2"/>
      <c r="C935" s="3"/>
      <c r="D935" s="3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4"/>
      <c r="AA935" s="4"/>
      <c r="AB935" s="4"/>
      <c r="AC935" s="4"/>
      <c r="AD935" s="5"/>
      <c r="AE935" s="6"/>
      <c r="AF935" s="6"/>
      <c r="AG935" s="6"/>
      <c r="AH935" s="6"/>
    </row>
    <row r="936" spans="1:34" ht="14.4" x14ac:dyDescent="0.3">
      <c r="A936" s="6"/>
      <c r="B936" s="6"/>
      <c r="C936" s="40"/>
      <c r="D936" s="40"/>
      <c r="E936" s="4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4"/>
      <c r="AA936" s="4"/>
      <c r="AB936" s="4"/>
      <c r="AC936" s="4"/>
      <c r="AD936" s="5"/>
      <c r="AE936" s="6"/>
      <c r="AF936" s="6"/>
      <c r="AG936" s="6"/>
      <c r="AH936" s="6"/>
    </row>
    <row r="937" spans="1:34" ht="14.4" x14ac:dyDescent="0.3">
      <c r="A937" s="6"/>
      <c r="B937" s="6"/>
      <c r="C937" s="40"/>
      <c r="D937" s="40"/>
      <c r="E937" s="4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4"/>
      <c r="AA937" s="4"/>
      <c r="AB937" s="4"/>
      <c r="AC937" s="4"/>
      <c r="AD937" s="5"/>
      <c r="AE937" s="6"/>
      <c r="AF937" s="6"/>
      <c r="AG937" s="6"/>
      <c r="AH937" s="6"/>
    </row>
  </sheetData>
  <autoFilter ref="A10:AH166" xr:uid="{00000000-0009-0000-0000-000001000000}"/>
  <mergeCells count="22">
    <mergeCell ref="AB6:AB8"/>
    <mergeCell ref="AC6:AC8"/>
    <mergeCell ref="AD6:AD8"/>
    <mergeCell ref="B2:J3"/>
    <mergeCell ref="K2:W2"/>
    <mergeCell ref="K3:W3"/>
    <mergeCell ref="B4:J5"/>
    <mergeCell ref="K4:W4"/>
    <mergeCell ref="B6:B9"/>
    <mergeCell ref="K6:K9"/>
    <mergeCell ref="H6:H9"/>
    <mergeCell ref="I6:I9"/>
    <mergeCell ref="J6:J9"/>
    <mergeCell ref="K5:W5"/>
    <mergeCell ref="L6:O6"/>
    <mergeCell ref="P6:S6"/>
    <mergeCell ref="T6:W6"/>
    <mergeCell ref="C6:C9"/>
    <mergeCell ref="D6:D9"/>
    <mergeCell ref="E6:E9"/>
    <mergeCell ref="F6:F9"/>
    <mergeCell ref="G6:G9"/>
  </mergeCells>
  <conditionalFormatting sqref="H83">
    <cfRule type="containsText" dxfId="12" priority="1" operator="containsText" text="VIGENTE">
      <formula>NOT(ISERROR(SEARCH(("VIGENTE"),(H83))))</formula>
    </cfRule>
    <cfRule type="containsText" dxfId="11" priority="2" operator="containsText" text="NO CUMPLE">
      <formula>NOT(ISERROR(SEARCH(("NO CUMPLE"),(H83))))</formula>
    </cfRule>
  </conditionalFormatting>
  <conditionalFormatting sqref="H10:X166">
    <cfRule type="containsText" dxfId="10" priority="3" operator="containsText" text="VIGENTE">
      <formula>NOT(ISERROR(SEARCH(("VIGENTE"),(H10))))</formula>
    </cfRule>
    <cfRule type="containsText" dxfId="9" priority="4" operator="containsText" text="NO CUMPLE">
      <formula>NOT(ISERROR(SEARCH(("NO CUMPLE"),(H10))))</formula>
    </cfRule>
  </conditionalFormatting>
  <conditionalFormatting sqref="I10:I166">
    <cfRule type="containsText" dxfId="8" priority="5" operator="containsText" text="VIGENTE">
      <formula>NOT(ISERROR(SEARCH(("VIGENTE"),(I10))))</formula>
    </cfRule>
    <cfRule type="containsText" dxfId="7" priority="6" operator="containsText" text="NO CUMPLE">
      <formula>NOT(ISERROR(SEARCH(("NO CUMPLE"),(I10))))</formula>
    </cfRule>
  </conditionalFormatting>
  <conditionalFormatting sqref="O10:O166">
    <cfRule type="containsText" dxfId="6" priority="7" operator="containsText" text="VIGENTE">
      <formula>NOT(ISERROR(SEARCH(("VIGENTE"),(O10))))</formula>
    </cfRule>
    <cfRule type="containsText" dxfId="5" priority="8" operator="containsText" text="NO CUMPLE">
      <formula>NOT(ISERROR(SEARCH(("NO CUMPLE"),(O10))))</formula>
    </cfRule>
  </conditionalFormatting>
  <conditionalFormatting sqref="S10:S166">
    <cfRule type="containsText" dxfId="4" priority="9" operator="containsText" text="VIGENTE">
      <formula>NOT(ISERROR(SEARCH(("VIGENTE"),(S10))))</formula>
    </cfRule>
    <cfRule type="containsText" dxfId="3" priority="10" operator="containsText" text="NO CUMPLE">
      <formula>NOT(ISERROR(SEARCH(("NO CUMPLE"),(S10))))</formula>
    </cfRule>
  </conditionalFormatting>
  <conditionalFormatting sqref="W10:X166">
    <cfRule type="containsText" dxfId="2" priority="11" operator="containsText" text="VIGENTE">
      <formula>NOT(ISERROR(SEARCH(("VIGENTE"),(W10))))</formula>
    </cfRule>
    <cfRule type="containsText" dxfId="1" priority="12" operator="containsText" text="NO CUMPLE">
      <formula>NOT(ISERROR(SEARCH(("NO CUMPLE"),(W10))))</formula>
    </cfRule>
  </conditionalFormatting>
  <conditionalFormatting sqref="AD10:AD166">
    <cfRule type="cellIs" dxfId="0" priority="13" operator="greaterThan">
      <formula>"99%"</formula>
    </cfRule>
  </conditionalFormatting>
  <pageMargins left="0.70866141732283472" right="0.70866141732283472" top="0.74803149606299213" bottom="0.74803149606299213" header="0" footer="0"/>
  <pageSetup scale="8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BD!$I$8:$I$9</xm:f>
          </x14:formula1>
          <xm:sqref>H10:K166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8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27.33203125" customWidth="1"/>
    <col min="2" max="2" width="30.109375" customWidth="1"/>
    <col min="3" max="3" width="32.44140625" customWidth="1"/>
    <col min="4" max="4" width="18.109375" customWidth="1"/>
    <col min="5" max="26" width="10.6640625" customWidth="1"/>
  </cols>
  <sheetData>
    <row r="1" spans="1:4" x14ac:dyDescent="0.3">
      <c r="A1" s="49" t="s">
        <v>7</v>
      </c>
      <c r="B1" s="50" t="s">
        <v>8</v>
      </c>
      <c r="C1" s="51" t="s">
        <v>33</v>
      </c>
      <c r="D1" s="50" t="s">
        <v>11</v>
      </c>
    </row>
    <row r="2" spans="1:4" x14ac:dyDescent="0.3">
      <c r="A2" s="52" t="s">
        <v>34</v>
      </c>
      <c r="B2" s="52" t="s">
        <v>35</v>
      </c>
      <c r="C2" s="53">
        <v>3378920</v>
      </c>
      <c r="D2" s="52"/>
    </row>
    <row r="3" spans="1:4" x14ac:dyDescent="0.3">
      <c r="A3" s="52" t="s">
        <v>36</v>
      </c>
      <c r="B3" s="52" t="s">
        <v>37</v>
      </c>
      <c r="C3" s="53">
        <v>4675021</v>
      </c>
      <c r="D3" s="54">
        <v>25060177953</v>
      </c>
    </row>
    <row r="4" spans="1:4" x14ac:dyDescent="0.3">
      <c r="A4" s="52" t="s">
        <v>38</v>
      </c>
      <c r="B4" s="52" t="s">
        <v>39</v>
      </c>
      <c r="C4" s="53">
        <v>7533411</v>
      </c>
      <c r="D4" s="54">
        <v>24060018911</v>
      </c>
    </row>
    <row r="5" spans="1:4" x14ac:dyDescent="0.3">
      <c r="A5" s="52" t="s">
        <v>40</v>
      </c>
      <c r="B5" s="52" t="s">
        <v>41</v>
      </c>
      <c r="C5" s="53">
        <v>15490976</v>
      </c>
      <c r="D5" s="52"/>
    </row>
    <row r="6" spans="1:4" x14ac:dyDescent="0.3">
      <c r="A6" s="52" t="s">
        <v>42</v>
      </c>
      <c r="B6" s="54" t="s">
        <v>43</v>
      </c>
      <c r="C6" s="53">
        <v>15665121</v>
      </c>
      <c r="D6" s="54" t="s">
        <v>44</v>
      </c>
    </row>
    <row r="7" spans="1:4" x14ac:dyDescent="0.3">
      <c r="A7" s="52" t="s">
        <v>45</v>
      </c>
      <c r="B7" s="52" t="s">
        <v>46</v>
      </c>
      <c r="C7" s="53">
        <v>30687786</v>
      </c>
      <c r="D7" s="54">
        <v>2322913</v>
      </c>
    </row>
    <row r="8" spans="1:4" x14ac:dyDescent="0.3">
      <c r="A8" s="52" t="s">
        <v>47</v>
      </c>
      <c r="B8" s="52" t="s">
        <v>48</v>
      </c>
      <c r="C8" s="53">
        <v>32183280</v>
      </c>
      <c r="D8" s="54">
        <v>5053914</v>
      </c>
    </row>
    <row r="9" spans="1:4" x14ac:dyDescent="0.3">
      <c r="A9" s="52" t="s">
        <v>49</v>
      </c>
      <c r="B9" s="52" t="s">
        <v>50</v>
      </c>
      <c r="C9" s="53">
        <v>32258110</v>
      </c>
      <c r="D9" s="54">
        <v>25060163402</v>
      </c>
    </row>
    <row r="10" spans="1:4" x14ac:dyDescent="0.3">
      <c r="A10" s="52" t="s">
        <v>51</v>
      </c>
      <c r="B10" s="52" t="s">
        <v>52</v>
      </c>
      <c r="C10" s="53">
        <v>37579675</v>
      </c>
      <c r="D10" s="54">
        <v>6273</v>
      </c>
    </row>
    <row r="11" spans="1:4" x14ac:dyDescent="0.3">
      <c r="A11" s="52" t="s">
        <v>53</v>
      </c>
      <c r="B11" s="52" t="s">
        <v>54</v>
      </c>
      <c r="C11" s="53">
        <v>39176010</v>
      </c>
      <c r="D11" s="52">
        <v>5053909</v>
      </c>
    </row>
    <row r="12" spans="1:4" x14ac:dyDescent="0.3">
      <c r="A12" s="52" t="s">
        <v>55</v>
      </c>
      <c r="B12" s="52" t="s">
        <v>56</v>
      </c>
      <c r="C12" s="53">
        <v>43102696</v>
      </c>
      <c r="D12" s="54">
        <v>4178</v>
      </c>
    </row>
    <row r="13" spans="1:4" x14ac:dyDescent="0.3">
      <c r="A13" s="52" t="s">
        <v>57</v>
      </c>
      <c r="B13" s="52" t="s">
        <v>58</v>
      </c>
      <c r="C13" s="53">
        <v>43155821</v>
      </c>
      <c r="D13" s="52">
        <v>5341401</v>
      </c>
    </row>
    <row r="14" spans="1:4" x14ac:dyDescent="0.3">
      <c r="A14" s="52" t="s">
        <v>59</v>
      </c>
      <c r="B14" s="52" t="s">
        <v>60</v>
      </c>
      <c r="C14" s="53">
        <v>43169356</v>
      </c>
      <c r="D14" s="54">
        <v>5670611</v>
      </c>
    </row>
    <row r="15" spans="1:4" x14ac:dyDescent="0.3">
      <c r="A15" s="52" t="s">
        <v>61</v>
      </c>
      <c r="B15" s="52" t="s">
        <v>62</v>
      </c>
      <c r="C15" s="53">
        <v>43209905</v>
      </c>
      <c r="D15" s="52">
        <v>5067220</v>
      </c>
    </row>
    <row r="16" spans="1:4" x14ac:dyDescent="0.3">
      <c r="A16" s="52" t="s">
        <v>63</v>
      </c>
      <c r="B16" s="52" t="s">
        <v>64</v>
      </c>
      <c r="C16" s="53">
        <v>43269224</v>
      </c>
      <c r="D16" s="54">
        <v>25060180506</v>
      </c>
    </row>
    <row r="17" spans="1:9" x14ac:dyDescent="0.3">
      <c r="A17" s="52" t="s">
        <v>65</v>
      </c>
      <c r="B17" s="54" t="s">
        <v>66</v>
      </c>
      <c r="C17" s="55">
        <v>43272593</v>
      </c>
      <c r="D17" s="52">
        <v>5639416</v>
      </c>
      <c r="I17" s="56" t="s">
        <v>30</v>
      </c>
    </row>
    <row r="18" spans="1:9" x14ac:dyDescent="0.3">
      <c r="A18" s="52" t="s">
        <v>67</v>
      </c>
      <c r="B18" s="54" t="s">
        <v>68</v>
      </c>
      <c r="C18" s="55">
        <v>43555911</v>
      </c>
      <c r="D18" s="54" t="s">
        <v>44</v>
      </c>
      <c r="I18" s="56" t="s">
        <v>69</v>
      </c>
    </row>
    <row r="19" spans="1:9" x14ac:dyDescent="0.3">
      <c r="A19" s="52" t="s">
        <v>70</v>
      </c>
      <c r="B19" s="52" t="s">
        <v>71</v>
      </c>
      <c r="C19" s="53">
        <v>43606925</v>
      </c>
      <c r="D19" s="54">
        <v>481</v>
      </c>
    </row>
    <row r="20" spans="1:9" x14ac:dyDescent="0.3">
      <c r="A20" s="52" t="s">
        <v>72</v>
      </c>
      <c r="B20" s="52" t="s">
        <v>73</v>
      </c>
      <c r="C20" s="53">
        <v>43607099</v>
      </c>
      <c r="D20" s="52">
        <v>360</v>
      </c>
    </row>
    <row r="21" spans="1:9" x14ac:dyDescent="0.3">
      <c r="A21" s="52" t="s">
        <v>74</v>
      </c>
      <c r="B21" s="52" t="s">
        <v>75</v>
      </c>
      <c r="C21" s="53">
        <v>43623145</v>
      </c>
      <c r="D21" s="54">
        <v>60018289</v>
      </c>
    </row>
    <row r="22" spans="1:9" x14ac:dyDescent="0.3">
      <c r="A22" s="52" t="s">
        <v>76</v>
      </c>
      <c r="B22" s="54" t="s">
        <v>77</v>
      </c>
      <c r="C22" s="55">
        <v>43750392</v>
      </c>
      <c r="D22" s="54">
        <v>5286001</v>
      </c>
    </row>
    <row r="23" spans="1:9" x14ac:dyDescent="0.3">
      <c r="A23" s="52" t="s">
        <v>78</v>
      </c>
      <c r="B23" s="52" t="s">
        <v>79</v>
      </c>
      <c r="C23" s="53">
        <v>43754698</v>
      </c>
      <c r="D23" s="54">
        <v>5132202</v>
      </c>
    </row>
    <row r="24" spans="1:9" x14ac:dyDescent="0.3">
      <c r="A24" s="52" t="s">
        <v>80</v>
      </c>
      <c r="B24" s="52" t="s">
        <v>81</v>
      </c>
      <c r="C24" s="53">
        <v>43915171</v>
      </c>
      <c r="D24" s="54">
        <v>5782922</v>
      </c>
    </row>
    <row r="25" spans="1:9" x14ac:dyDescent="0.3">
      <c r="A25" s="52" t="s">
        <v>82</v>
      </c>
      <c r="B25" s="52" t="s">
        <v>83</v>
      </c>
      <c r="C25" s="53">
        <v>43921771</v>
      </c>
      <c r="D25" s="54">
        <v>5698423</v>
      </c>
    </row>
    <row r="26" spans="1:9" x14ac:dyDescent="0.3">
      <c r="A26" s="52" t="s">
        <v>84</v>
      </c>
      <c r="B26" s="52" t="s">
        <v>85</v>
      </c>
      <c r="C26" s="53">
        <v>49789412</v>
      </c>
      <c r="D26" s="54">
        <v>584</v>
      </c>
    </row>
    <row r="27" spans="1:9" x14ac:dyDescent="0.3">
      <c r="A27" s="52" t="s">
        <v>86</v>
      </c>
      <c r="B27" s="52" t="s">
        <v>87</v>
      </c>
      <c r="C27" s="53">
        <v>52285356</v>
      </c>
      <c r="D27" s="52">
        <v>255312</v>
      </c>
    </row>
    <row r="28" spans="1:9" x14ac:dyDescent="0.3">
      <c r="A28" s="52" t="s">
        <v>88</v>
      </c>
      <c r="B28" s="52" t="s">
        <v>89</v>
      </c>
      <c r="C28" s="53">
        <v>53037574</v>
      </c>
      <c r="D28" s="54">
        <v>8927</v>
      </c>
    </row>
    <row r="29" spans="1:9" x14ac:dyDescent="0.3">
      <c r="A29" s="52" t="s">
        <v>90</v>
      </c>
      <c r="B29" s="54" t="s">
        <v>91</v>
      </c>
      <c r="C29" s="55">
        <v>63492218</v>
      </c>
      <c r="D29" s="54">
        <v>5702722</v>
      </c>
    </row>
    <row r="30" spans="1:9" x14ac:dyDescent="0.3">
      <c r="A30" s="52" t="s">
        <v>92</v>
      </c>
      <c r="B30" s="52" t="s">
        <v>93</v>
      </c>
      <c r="C30" s="53">
        <v>71220062</v>
      </c>
      <c r="D30" s="54">
        <v>5329322</v>
      </c>
    </row>
    <row r="31" spans="1:9" x14ac:dyDescent="0.3">
      <c r="A31" s="52" t="s">
        <v>94</v>
      </c>
      <c r="B31" s="54" t="s">
        <v>95</v>
      </c>
      <c r="C31" s="55">
        <v>71221040</v>
      </c>
      <c r="D31" s="54">
        <v>5313409</v>
      </c>
    </row>
    <row r="32" spans="1:9" x14ac:dyDescent="0.3">
      <c r="A32" s="52" t="s">
        <v>96</v>
      </c>
      <c r="B32" s="52" t="s">
        <v>97</v>
      </c>
      <c r="C32" s="53">
        <v>71531476</v>
      </c>
      <c r="D32" s="54" t="s">
        <v>44</v>
      </c>
    </row>
    <row r="33" spans="1:4" x14ac:dyDescent="0.3">
      <c r="A33" s="52" t="s">
        <v>98</v>
      </c>
      <c r="B33" s="52" t="s">
        <v>99</v>
      </c>
      <c r="C33" s="53">
        <v>71587271</v>
      </c>
      <c r="D33" s="52"/>
    </row>
    <row r="34" spans="1:4" x14ac:dyDescent="0.3">
      <c r="A34" s="52" t="s">
        <v>100</v>
      </c>
      <c r="B34" s="52" t="s">
        <v>101</v>
      </c>
      <c r="C34" s="53">
        <v>71708637</v>
      </c>
      <c r="D34" s="52" t="s">
        <v>102</v>
      </c>
    </row>
    <row r="35" spans="1:4" x14ac:dyDescent="0.3">
      <c r="A35" s="52" t="s">
        <v>103</v>
      </c>
      <c r="B35" s="54" t="s">
        <v>104</v>
      </c>
      <c r="C35" s="55">
        <v>71777291</v>
      </c>
      <c r="D35" s="54" t="s">
        <v>44</v>
      </c>
    </row>
    <row r="36" spans="1:4" x14ac:dyDescent="0.3">
      <c r="A36" s="52" t="s">
        <v>105</v>
      </c>
      <c r="B36" s="52" t="s">
        <v>106</v>
      </c>
      <c r="C36" s="53">
        <v>93131001</v>
      </c>
      <c r="D36" s="54">
        <v>1560</v>
      </c>
    </row>
    <row r="37" spans="1:4" x14ac:dyDescent="0.3">
      <c r="A37" s="52" t="s">
        <v>107</v>
      </c>
      <c r="B37" s="52" t="s">
        <v>108</v>
      </c>
      <c r="C37" s="53">
        <v>98540523</v>
      </c>
      <c r="D37" s="52">
        <v>5347011</v>
      </c>
    </row>
    <row r="38" spans="1:4" x14ac:dyDescent="0.3">
      <c r="A38" s="52" t="s">
        <v>109</v>
      </c>
      <c r="B38" s="54" t="s">
        <v>110</v>
      </c>
      <c r="C38" s="55">
        <v>98558130</v>
      </c>
      <c r="D38" s="54" t="s">
        <v>44</v>
      </c>
    </row>
    <row r="39" spans="1:4" x14ac:dyDescent="0.3">
      <c r="A39" s="52" t="s">
        <v>111</v>
      </c>
      <c r="B39" s="54" t="s">
        <v>112</v>
      </c>
      <c r="C39" s="55">
        <v>98595642</v>
      </c>
      <c r="D39" s="54" t="s">
        <v>44</v>
      </c>
    </row>
    <row r="40" spans="1:4" x14ac:dyDescent="0.3">
      <c r="A40" s="52" t="s">
        <v>113</v>
      </c>
      <c r="B40" s="52" t="s">
        <v>114</v>
      </c>
      <c r="C40" s="53">
        <v>98712282</v>
      </c>
      <c r="D40" s="54">
        <v>5221320</v>
      </c>
    </row>
    <row r="41" spans="1:4" x14ac:dyDescent="0.3">
      <c r="A41" s="52" t="s">
        <v>115</v>
      </c>
      <c r="B41" s="54" t="s">
        <v>116</v>
      </c>
      <c r="C41" s="53">
        <v>98714960</v>
      </c>
      <c r="D41" s="54">
        <v>25061010963</v>
      </c>
    </row>
    <row r="42" spans="1:4" x14ac:dyDescent="0.3">
      <c r="A42" s="52" t="s">
        <v>34</v>
      </c>
      <c r="B42" s="54" t="s">
        <v>117</v>
      </c>
      <c r="C42" s="53">
        <v>98762700</v>
      </c>
      <c r="D42" s="54">
        <v>5637517</v>
      </c>
    </row>
    <row r="43" spans="1:4" x14ac:dyDescent="0.3">
      <c r="A43" s="52" t="s">
        <v>118</v>
      </c>
      <c r="B43" s="52" t="s">
        <v>119</v>
      </c>
      <c r="C43" s="53">
        <v>1000084325</v>
      </c>
      <c r="D43" s="52"/>
    </row>
    <row r="44" spans="1:4" x14ac:dyDescent="0.3">
      <c r="A44" s="52" t="s">
        <v>120</v>
      </c>
      <c r="B44" s="52" t="s">
        <v>121</v>
      </c>
      <c r="C44" s="53">
        <v>1000085342</v>
      </c>
      <c r="D44" s="52">
        <v>25060175611</v>
      </c>
    </row>
    <row r="45" spans="1:4" x14ac:dyDescent="0.3">
      <c r="A45" s="52" t="s">
        <v>122</v>
      </c>
      <c r="B45" s="52" t="s">
        <v>123</v>
      </c>
      <c r="C45" s="53">
        <v>1000087505</v>
      </c>
      <c r="D45" s="54" t="s">
        <v>44</v>
      </c>
    </row>
    <row r="46" spans="1:4" x14ac:dyDescent="0.3">
      <c r="A46" s="52" t="s">
        <v>124</v>
      </c>
      <c r="B46" s="52" t="s">
        <v>125</v>
      </c>
      <c r="C46" s="53">
        <v>1000088364</v>
      </c>
      <c r="D46" s="54">
        <v>5453522</v>
      </c>
    </row>
    <row r="47" spans="1:4" x14ac:dyDescent="0.3">
      <c r="A47" s="52" t="s">
        <v>126</v>
      </c>
      <c r="B47" s="52" t="s">
        <v>127</v>
      </c>
      <c r="C47" s="53">
        <v>1000099681</v>
      </c>
      <c r="D47" s="54" t="s">
        <v>44</v>
      </c>
    </row>
    <row r="48" spans="1:4" x14ac:dyDescent="0.3">
      <c r="A48" s="57" t="s">
        <v>128</v>
      </c>
      <c r="B48" s="57" t="s">
        <v>129</v>
      </c>
      <c r="C48" s="58">
        <v>1000100963</v>
      </c>
      <c r="D48" s="54">
        <v>25060949136</v>
      </c>
    </row>
    <row r="49" spans="1:4" x14ac:dyDescent="0.3">
      <c r="A49" s="52" t="s">
        <v>130</v>
      </c>
      <c r="B49" s="52" t="s">
        <v>131</v>
      </c>
      <c r="C49" s="53">
        <v>1000190302</v>
      </c>
      <c r="D49" s="54">
        <v>5649121</v>
      </c>
    </row>
    <row r="50" spans="1:4" x14ac:dyDescent="0.3">
      <c r="A50" s="57" t="s">
        <v>132</v>
      </c>
      <c r="B50" s="59" t="s">
        <v>133</v>
      </c>
      <c r="C50" s="58">
        <v>1000191310</v>
      </c>
      <c r="D50" s="54" t="s">
        <v>44</v>
      </c>
    </row>
    <row r="51" spans="1:4" x14ac:dyDescent="0.3">
      <c r="A51" s="57" t="s">
        <v>134</v>
      </c>
      <c r="B51" s="60" t="s">
        <v>135</v>
      </c>
      <c r="C51" s="61">
        <v>1000204371</v>
      </c>
      <c r="D51" s="54">
        <v>26060001495</v>
      </c>
    </row>
    <row r="52" spans="1:4" x14ac:dyDescent="0.3">
      <c r="A52" s="52" t="s">
        <v>136</v>
      </c>
      <c r="B52" s="52" t="s">
        <v>137</v>
      </c>
      <c r="C52" s="53">
        <v>1000207603</v>
      </c>
      <c r="D52" s="52">
        <v>5230721</v>
      </c>
    </row>
    <row r="53" spans="1:4" x14ac:dyDescent="0.3">
      <c r="A53" s="52" t="s">
        <v>138</v>
      </c>
      <c r="B53" s="52" t="s">
        <v>139</v>
      </c>
      <c r="C53" s="53">
        <v>1000207860</v>
      </c>
      <c r="D53" s="54">
        <v>25060179513</v>
      </c>
    </row>
    <row r="54" spans="1:4" x14ac:dyDescent="0.3">
      <c r="A54" s="52" t="s">
        <v>140</v>
      </c>
      <c r="B54" s="54" t="s">
        <v>141</v>
      </c>
      <c r="C54" s="53">
        <v>1000207920</v>
      </c>
      <c r="D54" s="54">
        <v>24060080553</v>
      </c>
    </row>
    <row r="55" spans="1:4" x14ac:dyDescent="0.3">
      <c r="A55" s="52" t="s">
        <v>142</v>
      </c>
      <c r="B55" s="52" t="s">
        <v>143</v>
      </c>
      <c r="C55" s="53">
        <v>1000289968</v>
      </c>
      <c r="D55" s="52">
        <v>5100220</v>
      </c>
    </row>
    <row r="56" spans="1:4" x14ac:dyDescent="0.3">
      <c r="A56" s="52" t="s">
        <v>144</v>
      </c>
      <c r="B56" s="52" t="s">
        <v>145</v>
      </c>
      <c r="C56" s="62">
        <v>1000294604</v>
      </c>
      <c r="D56" s="52"/>
    </row>
    <row r="57" spans="1:4" x14ac:dyDescent="0.3">
      <c r="A57" s="52" t="s">
        <v>146</v>
      </c>
      <c r="B57" s="54" t="s">
        <v>147</v>
      </c>
      <c r="C57" s="53">
        <v>1000294675</v>
      </c>
      <c r="D57" s="54" t="s">
        <v>44</v>
      </c>
    </row>
    <row r="58" spans="1:4" x14ac:dyDescent="0.3">
      <c r="A58" s="52" t="s">
        <v>82</v>
      </c>
      <c r="B58" s="52" t="s">
        <v>148</v>
      </c>
      <c r="C58" s="53">
        <v>1000295495</v>
      </c>
      <c r="D58" s="54">
        <v>5323423</v>
      </c>
    </row>
    <row r="59" spans="1:4" x14ac:dyDescent="0.3">
      <c r="A59" s="52" t="s">
        <v>149</v>
      </c>
      <c r="B59" s="52" t="s">
        <v>150</v>
      </c>
      <c r="C59" s="53">
        <v>1000305851</v>
      </c>
      <c r="D59" s="52">
        <v>5022623</v>
      </c>
    </row>
    <row r="60" spans="1:4" x14ac:dyDescent="0.3">
      <c r="A60" s="52" t="s">
        <v>151</v>
      </c>
      <c r="B60" s="52" t="s">
        <v>152</v>
      </c>
      <c r="C60" s="53">
        <v>1000393168</v>
      </c>
      <c r="D60" s="54">
        <v>5482419</v>
      </c>
    </row>
    <row r="61" spans="1:4" x14ac:dyDescent="0.3">
      <c r="A61" s="52" t="s">
        <v>153</v>
      </c>
      <c r="B61" s="52" t="s">
        <v>154</v>
      </c>
      <c r="C61" s="53">
        <v>1000395063</v>
      </c>
      <c r="D61" s="54">
        <v>5371218</v>
      </c>
    </row>
    <row r="62" spans="1:4" x14ac:dyDescent="0.3">
      <c r="A62" s="52" t="s">
        <v>155</v>
      </c>
      <c r="B62" s="52" t="s">
        <v>156</v>
      </c>
      <c r="C62" s="53">
        <v>1000399389</v>
      </c>
      <c r="D62" s="54">
        <v>5679823</v>
      </c>
    </row>
    <row r="63" spans="1:4" x14ac:dyDescent="0.3">
      <c r="A63" s="52" t="s">
        <v>157</v>
      </c>
      <c r="B63" s="52" t="s">
        <v>158</v>
      </c>
      <c r="C63" s="53">
        <v>1000400004</v>
      </c>
      <c r="D63" s="54">
        <v>25060172563</v>
      </c>
    </row>
    <row r="64" spans="1:4" x14ac:dyDescent="0.3">
      <c r="A64" s="52" t="s">
        <v>159</v>
      </c>
      <c r="B64" s="52" t="s">
        <v>160</v>
      </c>
      <c r="C64" s="53">
        <v>1000402259</v>
      </c>
      <c r="D64" s="52"/>
    </row>
    <row r="65" spans="1:4" x14ac:dyDescent="0.3">
      <c r="A65" s="52" t="s">
        <v>161</v>
      </c>
      <c r="B65" s="52" t="s">
        <v>162</v>
      </c>
      <c r="C65" s="53">
        <v>1000438549</v>
      </c>
      <c r="D65" s="54">
        <v>5656918</v>
      </c>
    </row>
    <row r="66" spans="1:4" x14ac:dyDescent="0.3">
      <c r="A66" s="52" t="s">
        <v>163</v>
      </c>
      <c r="B66" s="54" t="s">
        <v>164</v>
      </c>
      <c r="C66" s="53">
        <v>1000444716</v>
      </c>
      <c r="D66" s="54" t="s">
        <v>44</v>
      </c>
    </row>
    <row r="67" spans="1:4" x14ac:dyDescent="0.3">
      <c r="A67" s="52" t="s">
        <v>165</v>
      </c>
      <c r="B67" s="52" t="s">
        <v>166</v>
      </c>
      <c r="C67" s="53">
        <v>1000453426</v>
      </c>
      <c r="D67" s="54">
        <v>5047022</v>
      </c>
    </row>
    <row r="68" spans="1:4" x14ac:dyDescent="0.3">
      <c r="A68" s="52" t="s">
        <v>167</v>
      </c>
      <c r="B68" s="54" t="s">
        <v>168</v>
      </c>
      <c r="C68" s="53">
        <v>1000534222</v>
      </c>
      <c r="D68" s="54" t="s">
        <v>44</v>
      </c>
    </row>
    <row r="69" spans="1:4" x14ac:dyDescent="0.3">
      <c r="A69" s="52" t="s">
        <v>169</v>
      </c>
      <c r="B69" s="52" t="s">
        <v>170</v>
      </c>
      <c r="C69" s="53">
        <v>1000535955</v>
      </c>
      <c r="D69" s="54">
        <v>24060076966</v>
      </c>
    </row>
    <row r="70" spans="1:4" x14ac:dyDescent="0.3">
      <c r="A70" s="52" t="s">
        <v>146</v>
      </c>
      <c r="B70" s="52" t="s">
        <v>171</v>
      </c>
      <c r="C70" s="58">
        <v>1000537543</v>
      </c>
      <c r="D70" s="52"/>
    </row>
    <row r="71" spans="1:4" x14ac:dyDescent="0.3">
      <c r="A71" s="52" t="s">
        <v>172</v>
      </c>
      <c r="B71" s="54" t="s">
        <v>173</v>
      </c>
      <c r="C71" s="55">
        <v>1000547492</v>
      </c>
      <c r="D71" s="54" t="s">
        <v>44</v>
      </c>
    </row>
    <row r="72" spans="1:4" x14ac:dyDescent="0.3">
      <c r="A72" s="52" t="s">
        <v>151</v>
      </c>
      <c r="B72" s="52" t="s">
        <v>174</v>
      </c>
      <c r="C72" s="53">
        <v>1000548592</v>
      </c>
      <c r="D72" s="54">
        <v>25060179510</v>
      </c>
    </row>
    <row r="73" spans="1:4" x14ac:dyDescent="0.3">
      <c r="A73" s="52" t="s">
        <v>175</v>
      </c>
      <c r="B73" s="52" t="s">
        <v>176</v>
      </c>
      <c r="C73" s="53">
        <v>1000549072</v>
      </c>
      <c r="D73" s="54">
        <v>25060444779</v>
      </c>
    </row>
    <row r="74" spans="1:4" x14ac:dyDescent="0.3">
      <c r="A74" s="52" t="s">
        <v>177</v>
      </c>
      <c r="B74" s="52" t="s">
        <v>178</v>
      </c>
      <c r="C74" s="53">
        <v>1000567127</v>
      </c>
      <c r="D74" s="54">
        <v>5362720</v>
      </c>
    </row>
    <row r="75" spans="1:4" x14ac:dyDescent="0.3">
      <c r="A75" s="52" t="s">
        <v>151</v>
      </c>
      <c r="B75" s="52" t="s">
        <v>179</v>
      </c>
      <c r="C75" s="53">
        <v>1000570845</v>
      </c>
      <c r="D75" s="52"/>
    </row>
    <row r="76" spans="1:4" x14ac:dyDescent="0.3">
      <c r="A76" s="52" t="s">
        <v>180</v>
      </c>
      <c r="B76" s="52" t="s">
        <v>181</v>
      </c>
      <c r="C76" s="53">
        <v>1000602970</v>
      </c>
      <c r="D76" s="52">
        <v>5426423</v>
      </c>
    </row>
    <row r="77" spans="1:4" x14ac:dyDescent="0.3">
      <c r="A77" s="52" t="s">
        <v>182</v>
      </c>
      <c r="B77" s="52" t="s">
        <v>183</v>
      </c>
      <c r="C77" s="53">
        <v>1000634654</v>
      </c>
      <c r="D77" s="52">
        <v>5437419</v>
      </c>
    </row>
    <row r="78" spans="1:4" x14ac:dyDescent="0.3">
      <c r="A78" s="52" t="s">
        <v>184</v>
      </c>
      <c r="B78" s="52" t="s">
        <v>185</v>
      </c>
      <c r="C78" s="53">
        <v>1000636778</v>
      </c>
      <c r="D78" s="54">
        <v>25061556351</v>
      </c>
    </row>
    <row r="79" spans="1:4" x14ac:dyDescent="0.3">
      <c r="A79" s="52" t="s">
        <v>151</v>
      </c>
      <c r="B79" s="54" t="s">
        <v>186</v>
      </c>
      <c r="C79" s="55">
        <v>1000662023</v>
      </c>
      <c r="D79" s="54" t="s">
        <v>44</v>
      </c>
    </row>
    <row r="80" spans="1:4" x14ac:dyDescent="0.3">
      <c r="A80" s="52" t="s">
        <v>187</v>
      </c>
      <c r="B80" s="52" t="s">
        <v>188</v>
      </c>
      <c r="C80" s="53">
        <v>1000662143</v>
      </c>
      <c r="D80" s="54">
        <v>5021322</v>
      </c>
    </row>
    <row r="81" spans="1:4" x14ac:dyDescent="0.3">
      <c r="A81" s="52" t="s">
        <v>189</v>
      </c>
      <c r="B81" s="52" t="s">
        <v>190</v>
      </c>
      <c r="C81" s="53">
        <v>1000748597</v>
      </c>
      <c r="D81" s="54">
        <v>2024060021228</v>
      </c>
    </row>
    <row r="82" spans="1:4" x14ac:dyDescent="0.3">
      <c r="A82" s="52" t="s">
        <v>163</v>
      </c>
      <c r="B82" s="52" t="s">
        <v>191</v>
      </c>
      <c r="C82" s="53">
        <v>1000756090</v>
      </c>
      <c r="D82" s="54">
        <v>5645223</v>
      </c>
    </row>
    <row r="83" spans="1:4" x14ac:dyDescent="0.3">
      <c r="A83" s="52" t="s">
        <v>192</v>
      </c>
      <c r="B83" s="52" t="s">
        <v>193</v>
      </c>
      <c r="C83" s="53">
        <v>1000757751</v>
      </c>
      <c r="D83" s="52">
        <v>5262423</v>
      </c>
    </row>
    <row r="84" spans="1:4" x14ac:dyDescent="0.3">
      <c r="A84" s="52" t="s">
        <v>194</v>
      </c>
      <c r="B84" s="52" t="s">
        <v>195</v>
      </c>
      <c r="C84" s="53">
        <v>1000772163</v>
      </c>
      <c r="D84" s="54">
        <v>24060080438</v>
      </c>
    </row>
    <row r="85" spans="1:4" x14ac:dyDescent="0.3">
      <c r="A85" s="52" t="s">
        <v>196</v>
      </c>
      <c r="B85" s="52" t="s">
        <v>197</v>
      </c>
      <c r="C85" s="53">
        <v>1000869610</v>
      </c>
      <c r="D85" s="54">
        <v>5901923</v>
      </c>
    </row>
    <row r="86" spans="1:4" x14ac:dyDescent="0.3">
      <c r="A86" s="52" t="s">
        <v>198</v>
      </c>
      <c r="B86" s="52" t="s">
        <v>199</v>
      </c>
      <c r="C86" s="53">
        <v>1000871364</v>
      </c>
      <c r="D86" s="52">
        <v>26060002600</v>
      </c>
    </row>
    <row r="87" spans="1:4" x14ac:dyDescent="0.3">
      <c r="A87" s="52" t="s">
        <v>198</v>
      </c>
      <c r="B87" s="52" t="s">
        <v>200</v>
      </c>
      <c r="C87" s="53">
        <v>1000874319</v>
      </c>
      <c r="D87" s="54" t="s">
        <v>44</v>
      </c>
    </row>
    <row r="88" spans="1:4" x14ac:dyDescent="0.3">
      <c r="A88" s="52" t="s">
        <v>201</v>
      </c>
      <c r="B88" s="52" t="s">
        <v>202</v>
      </c>
      <c r="C88" s="53">
        <v>1000898470</v>
      </c>
      <c r="D88" s="54">
        <v>5122123</v>
      </c>
    </row>
    <row r="89" spans="1:4" x14ac:dyDescent="0.3">
      <c r="A89" s="52" t="s">
        <v>203</v>
      </c>
      <c r="B89" s="52" t="s">
        <v>204</v>
      </c>
      <c r="C89" s="58">
        <v>1000899076</v>
      </c>
      <c r="D89" s="54">
        <v>5011823</v>
      </c>
    </row>
    <row r="90" spans="1:4" x14ac:dyDescent="0.3">
      <c r="A90" s="52" t="s">
        <v>205</v>
      </c>
      <c r="B90" s="52" t="s">
        <v>206</v>
      </c>
      <c r="C90" s="53">
        <v>1000899444</v>
      </c>
      <c r="D90" s="52"/>
    </row>
    <row r="91" spans="1:4" x14ac:dyDescent="0.3">
      <c r="A91" s="52" t="s">
        <v>146</v>
      </c>
      <c r="B91" s="52" t="s">
        <v>207</v>
      </c>
      <c r="C91" s="53">
        <v>1000901892</v>
      </c>
      <c r="D91" s="54">
        <v>5232723</v>
      </c>
    </row>
    <row r="92" spans="1:4" x14ac:dyDescent="0.3">
      <c r="A92" s="52" t="s">
        <v>208</v>
      </c>
      <c r="B92" s="52" t="s">
        <v>209</v>
      </c>
      <c r="C92" s="53">
        <v>1000902161</v>
      </c>
      <c r="D92" s="54">
        <v>26060002085</v>
      </c>
    </row>
    <row r="93" spans="1:4" x14ac:dyDescent="0.3">
      <c r="A93" s="52" t="s">
        <v>210</v>
      </c>
      <c r="B93" s="52" t="s">
        <v>211</v>
      </c>
      <c r="C93" s="53">
        <v>1000902733</v>
      </c>
      <c r="D93" s="54">
        <v>5096521</v>
      </c>
    </row>
    <row r="94" spans="1:4" x14ac:dyDescent="0.3">
      <c r="A94" s="52" t="s">
        <v>132</v>
      </c>
      <c r="B94" s="52" t="s">
        <v>212</v>
      </c>
      <c r="C94" s="53">
        <v>1000902815</v>
      </c>
      <c r="D94" s="54">
        <v>5333823</v>
      </c>
    </row>
    <row r="95" spans="1:4" x14ac:dyDescent="0.3">
      <c r="A95" s="52" t="s">
        <v>198</v>
      </c>
      <c r="B95" s="52" t="s">
        <v>213</v>
      </c>
      <c r="C95" s="53">
        <v>1001014661</v>
      </c>
      <c r="D95" s="54">
        <v>24060241277</v>
      </c>
    </row>
    <row r="96" spans="1:4" x14ac:dyDescent="0.3">
      <c r="A96" s="52" t="s">
        <v>214</v>
      </c>
      <c r="B96" s="52" t="s">
        <v>215</v>
      </c>
      <c r="C96" s="53">
        <v>1001015706</v>
      </c>
      <c r="D96" s="52"/>
    </row>
    <row r="97" spans="1:4" x14ac:dyDescent="0.3">
      <c r="A97" s="52" t="s">
        <v>216</v>
      </c>
      <c r="B97" s="52" t="s">
        <v>217</v>
      </c>
      <c r="C97" s="53">
        <v>1001082959</v>
      </c>
      <c r="D97" s="52"/>
    </row>
    <row r="98" spans="1:4" x14ac:dyDescent="0.3">
      <c r="A98" s="52" t="s">
        <v>218</v>
      </c>
      <c r="B98" s="52" t="s">
        <v>219</v>
      </c>
      <c r="C98" s="53">
        <v>1001153638</v>
      </c>
      <c r="D98" s="52">
        <v>25060171422</v>
      </c>
    </row>
    <row r="99" spans="1:4" x14ac:dyDescent="0.3">
      <c r="A99" s="52" t="s">
        <v>220</v>
      </c>
      <c r="B99" s="54" t="s">
        <v>221</v>
      </c>
      <c r="C99" s="53">
        <v>1001161389</v>
      </c>
      <c r="D99" s="54" t="s">
        <v>44</v>
      </c>
    </row>
    <row r="100" spans="1:4" x14ac:dyDescent="0.3">
      <c r="A100" s="52" t="s">
        <v>222</v>
      </c>
      <c r="B100" s="54" t="s">
        <v>223</v>
      </c>
      <c r="C100" s="63">
        <v>1001229476</v>
      </c>
      <c r="D100" s="54">
        <v>24060431136</v>
      </c>
    </row>
    <row r="101" spans="1:4" x14ac:dyDescent="0.3">
      <c r="A101" s="57" t="s">
        <v>167</v>
      </c>
      <c r="B101" s="57" t="s">
        <v>224</v>
      </c>
      <c r="C101" s="58">
        <v>1001233880</v>
      </c>
      <c r="D101" s="52"/>
    </row>
    <row r="102" spans="1:4" x14ac:dyDescent="0.3">
      <c r="A102" s="52" t="s">
        <v>225</v>
      </c>
      <c r="B102" s="52" t="s">
        <v>226</v>
      </c>
      <c r="C102" s="53">
        <v>1001235388</v>
      </c>
      <c r="D102" s="54">
        <v>24060246185</v>
      </c>
    </row>
    <row r="103" spans="1:4" x14ac:dyDescent="0.3">
      <c r="A103" s="57" t="s">
        <v>227</v>
      </c>
      <c r="B103" s="59" t="s">
        <v>228</v>
      </c>
      <c r="C103" s="64">
        <v>1001235439</v>
      </c>
      <c r="D103" s="54" t="s">
        <v>44</v>
      </c>
    </row>
    <row r="104" spans="1:4" x14ac:dyDescent="0.3">
      <c r="A104" s="52" t="s">
        <v>229</v>
      </c>
      <c r="B104" s="52" t="s">
        <v>230</v>
      </c>
      <c r="C104" s="62">
        <v>1001250524</v>
      </c>
      <c r="D104" s="52"/>
    </row>
    <row r="105" spans="1:4" x14ac:dyDescent="0.3">
      <c r="A105" s="52" t="s">
        <v>231</v>
      </c>
      <c r="B105" s="52" t="s">
        <v>232</v>
      </c>
      <c r="C105" s="53">
        <v>1001362462</v>
      </c>
      <c r="D105" s="54" t="s">
        <v>44</v>
      </c>
    </row>
    <row r="106" spans="1:4" x14ac:dyDescent="0.3">
      <c r="A106" s="52" t="s">
        <v>151</v>
      </c>
      <c r="B106" s="52" t="s">
        <v>233</v>
      </c>
      <c r="C106" s="58">
        <v>1001366552</v>
      </c>
      <c r="D106" s="52">
        <v>25060006115</v>
      </c>
    </row>
    <row r="107" spans="1:4" x14ac:dyDescent="0.3">
      <c r="A107" s="52" t="s">
        <v>234</v>
      </c>
      <c r="B107" s="52" t="s">
        <v>235</v>
      </c>
      <c r="C107" s="53">
        <v>1001371041</v>
      </c>
      <c r="D107" s="52"/>
    </row>
    <row r="108" spans="1:4" x14ac:dyDescent="0.3">
      <c r="A108" s="52" t="s">
        <v>236</v>
      </c>
      <c r="B108" s="52" t="s">
        <v>237</v>
      </c>
      <c r="C108" s="53">
        <v>1001390465</v>
      </c>
      <c r="D108" s="52">
        <v>2024060249870</v>
      </c>
    </row>
    <row r="109" spans="1:4" x14ac:dyDescent="0.3">
      <c r="A109" s="52" t="s">
        <v>238</v>
      </c>
      <c r="B109" s="52" t="s">
        <v>239</v>
      </c>
      <c r="C109" s="53">
        <v>1001463828</v>
      </c>
      <c r="D109" s="54">
        <v>25060005710</v>
      </c>
    </row>
    <row r="110" spans="1:4" x14ac:dyDescent="0.3">
      <c r="A110" s="52" t="s">
        <v>240</v>
      </c>
      <c r="B110" s="54" t="s">
        <v>241</v>
      </c>
      <c r="C110" s="53">
        <v>1001498036</v>
      </c>
      <c r="D110" s="54" t="s">
        <v>44</v>
      </c>
    </row>
    <row r="111" spans="1:4" x14ac:dyDescent="0.3">
      <c r="A111" s="52" t="s">
        <v>242</v>
      </c>
      <c r="B111" s="52" t="s">
        <v>243</v>
      </c>
      <c r="C111" s="53">
        <v>1001508829</v>
      </c>
      <c r="D111" s="52">
        <v>5263221</v>
      </c>
    </row>
    <row r="112" spans="1:4" x14ac:dyDescent="0.3">
      <c r="A112" s="52" t="s">
        <v>244</v>
      </c>
      <c r="B112" s="52" t="s">
        <v>245</v>
      </c>
      <c r="C112" s="53">
        <v>1001590413</v>
      </c>
      <c r="D112" s="52">
        <v>5375822</v>
      </c>
    </row>
    <row r="113" spans="1:4" x14ac:dyDescent="0.3">
      <c r="A113" s="52" t="s">
        <v>246</v>
      </c>
      <c r="B113" s="52" t="s">
        <v>247</v>
      </c>
      <c r="C113" s="53">
        <v>1001618302</v>
      </c>
      <c r="D113" s="54">
        <v>5026222</v>
      </c>
    </row>
    <row r="114" spans="1:4" x14ac:dyDescent="0.3">
      <c r="A114" s="52" t="s">
        <v>248</v>
      </c>
      <c r="B114" s="52" t="s">
        <v>249</v>
      </c>
      <c r="C114" s="53">
        <v>1001653106</v>
      </c>
      <c r="D114" s="54">
        <v>25060176653</v>
      </c>
    </row>
    <row r="115" spans="1:4" x14ac:dyDescent="0.3">
      <c r="A115" s="52" t="s">
        <v>250</v>
      </c>
      <c r="B115" s="52" t="s">
        <v>251</v>
      </c>
      <c r="C115" s="53">
        <v>1001686236</v>
      </c>
      <c r="D115" s="54">
        <v>25060001872</v>
      </c>
    </row>
    <row r="116" spans="1:4" x14ac:dyDescent="0.3">
      <c r="A116" s="52" t="s">
        <v>252</v>
      </c>
      <c r="B116" s="52" t="s">
        <v>253</v>
      </c>
      <c r="C116" s="58">
        <v>1001723999</v>
      </c>
      <c r="D116" s="52">
        <v>5652022</v>
      </c>
    </row>
    <row r="117" spans="1:4" x14ac:dyDescent="0.3">
      <c r="A117" s="57" t="s">
        <v>254</v>
      </c>
      <c r="B117" s="60" t="s">
        <v>255</v>
      </c>
      <c r="C117" s="64">
        <v>1001813504</v>
      </c>
      <c r="D117" s="52"/>
    </row>
    <row r="118" spans="1:4" x14ac:dyDescent="0.3">
      <c r="A118" s="52" t="s">
        <v>256</v>
      </c>
      <c r="B118" s="52" t="s">
        <v>257</v>
      </c>
      <c r="C118" s="53">
        <v>1001972463</v>
      </c>
      <c r="D118" s="52"/>
    </row>
    <row r="119" spans="1:4" x14ac:dyDescent="0.3">
      <c r="A119" s="52" t="s">
        <v>258</v>
      </c>
      <c r="B119" s="52" t="s">
        <v>259</v>
      </c>
      <c r="C119" s="53">
        <v>1002061230</v>
      </c>
      <c r="D119" s="54">
        <v>5687923</v>
      </c>
    </row>
    <row r="120" spans="1:4" x14ac:dyDescent="0.3">
      <c r="A120" s="52" t="s">
        <v>260</v>
      </c>
      <c r="B120" s="52" t="s">
        <v>261</v>
      </c>
      <c r="C120" s="53">
        <v>1002147037</v>
      </c>
      <c r="D120" s="52">
        <v>5151123</v>
      </c>
    </row>
    <row r="121" spans="1:4" x14ac:dyDescent="0.3">
      <c r="A121" s="52" t="s">
        <v>262</v>
      </c>
      <c r="B121" s="52" t="s">
        <v>263</v>
      </c>
      <c r="C121" s="53">
        <v>1003034922</v>
      </c>
      <c r="D121" s="52"/>
    </row>
    <row r="122" spans="1:4" x14ac:dyDescent="0.3">
      <c r="A122" s="52" t="s">
        <v>264</v>
      </c>
      <c r="B122" s="52" t="s">
        <v>265</v>
      </c>
      <c r="C122" s="62">
        <v>1003232925</v>
      </c>
      <c r="D122" s="52">
        <v>24060093132</v>
      </c>
    </row>
    <row r="123" spans="1:4" x14ac:dyDescent="0.3">
      <c r="A123" s="52" t="s">
        <v>234</v>
      </c>
      <c r="B123" s="52" t="s">
        <v>266</v>
      </c>
      <c r="C123" s="53">
        <v>1003590853</v>
      </c>
      <c r="D123" s="54">
        <v>23001678</v>
      </c>
    </row>
    <row r="124" spans="1:4" x14ac:dyDescent="0.3">
      <c r="A124" s="52" t="s">
        <v>267</v>
      </c>
      <c r="B124" s="54" t="s">
        <v>268</v>
      </c>
      <c r="C124" s="53">
        <v>1003786424</v>
      </c>
      <c r="D124" s="54" t="s">
        <v>44</v>
      </c>
    </row>
    <row r="125" spans="1:4" x14ac:dyDescent="0.3">
      <c r="A125" s="52" t="s">
        <v>269</v>
      </c>
      <c r="B125" s="52" t="s">
        <v>270</v>
      </c>
      <c r="C125" s="53">
        <v>1004903577</v>
      </c>
      <c r="D125" s="52">
        <v>5082319</v>
      </c>
    </row>
    <row r="126" spans="1:4" x14ac:dyDescent="0.3">
      <c r="A126" s="52" t="s">
        <v>271</v>
      </c>
      <c r="B126" s="52" t="s">
        <v>272</v>
      </c>
      <c r="C126" s="53">
        <v>1005458201</v>
      </c>
      <c r="D126" s="52">
        <v>5467022</v>
      </c>
    </row>
    <row r="127" spans="1:4" x14ac:dyDescent="0.3">
      <c r="A127" s="52" t="s">
        <v>273</v>
      </c>
      <c r="B127" s="52" t="s">
        <v>274</v>
      </c>
      <c r="C127" s="62">
        <v>1005690654</v>
      </c>
      <c r="D127" s="52">
        <v>1005690654</v>
      </c>
    </row>
    <row r="128" spans="1:4" x14ac:dyDescent="0.3">
      <c r="A128" s="52" t="s">
        <v>275</v>
      </c>
      <c r="B128" s="52" t="s">
        <v>274</v>
      </c>
      <c r="C128" s="62">
        <v>1005690655</v>
      </c>
      <c r="D128" s="52"/>
    </row>
    <row r="129" spans="1:4" x14ac:dyDescent="0.3">
      <c r="A129" s="52" t="s">
        <v>276</v>
      </c>
      <c r="B129" s="54" t="s">
        <v>277</v>
      </c>
      <c r="C129" s="65">
        <v>1006148577</v>
      </c>
      <c r="D129" s="54">
        <v>25061414861</v>
      </c>
    </row>
    <row r="130" spans="1:4" x14ac:dyDescent="0.3">
      <c r="A130" s="52" t="s">
        <v>278</v>
      </c>
      <c r="B130" s="52" t="s">
        <v>279</v>
      </c>
      <c r="C130" s="63">
        <v>1006385576</v>
      </c>
      <c r="D130" s="52">
        <v>5475922</v>
      </c>
    </row>
    <row r="131" spans="1:4" x14ac:dyDescent="0.3">
      <c r="A131" s="52" t="s">
        <v>280</v>
      </c>
      <c r="B131" s="52" t="s">
        <v>281</v>
      </c>
      <c r="C131" s="53">
        <v>1006417562</v>
      </c>
      <c r="D131" s="54">
        <v>5153222</v>
      </c>
    </row>
    <row r="132" spans="1:4" x14ac:dyDescent="0.3">
      <c r="A132" s="52" t="s">
        <v>282</v>
      </c>
      <c r="B132" s="52" t="s">
        <v>283</v>
      </c>
      <c r="C132" s="53">
        <v>1007040914</v>
      </c>
      <c r="D132" s="54">
        <v>24060427510</v>
      </c>
    </row>
    <row r="133" spans="1:4" x14ac:dyDescent="0.3">
      <c r="A133" s="52" t="s">
        <v>284</v>
      </c>
      <c r="B133" s="52" t="s">
        <v>285</v>
      </c>
      <c r="C133" s="53">
        <v>1007143656</v>
      </c>
      <c r="D133" s="52"/>
    </row>
    <row r="134" spans="1:4" x14ac:dyDescent="0.3">
      <c r="A134" s="52" t="s">
        <v>286</v>
      </c>
      <c r="B134" s="54" t="s">
        <v>287</v>
      </c>
      <c r="C134" s="66">
        <v>1007190983</v>
      </c>
      <c r="D134" s="54" t="s">
        <v>44</v>
      </c>
    </row>
    <row r="135" spans="1:4" x14ac:dyDescent="0.3">
      <c r="A135" s="57" t="s">
        <v>288</v>
      </c>
      <c r="B135" s="59" t="s">
        <v>289</v>
      </c>
      <c r="C135" s="55">
        <v>1007221965</v>
      </c>
      <c r="D135" s="54" t="s">
        <v>44</v>
      </c>
    </row>
    <row r="136" spans="1:4" x14ac:dyDescent="0.3">
      <c r="A136" s="52" t="s">
        <v>225</v>
      </c>
      <c r="B136" s="52" t="s">
        <v>290</v>
      </c>
      <c r="C136" s="53">
        <v>1007222380</v>
      </c>
      <c r="D136" s="52">
        <v>5800122</v>
      </c>
    </row>
    <row r="137" spans="1:4" x14ac:dyDescent="0.3">
      <c r="A137" s="52" t="s">
        <v>163</v>
      </c>
      <c r="B137" s="52" t="s">
        <v>291</v>
      </c>
      <c r="C137" s="53">
        <v>1007240502</v>
      </c>
      <c r="D137" s="54">
        <v>5454319</v>
      </c>
    </row>
    <row r="138" spans="1:4" x14ac:dyDescent="0.3">
      <c r="A138" s="52" t="s">
        <v>163</v>
      </c>
      <c r="B138" s="52" t="s">
        <v>292</v>
      </c>
      <c r="C138" s="53">
        <v>1007242178</v>
      </c>
      <c r="D138" s="54" t="s">
        <v>44</v>
      </c>
    </row>
    <row r="139" spans="1:4" x14ac:dyDescent="0.3">
      <c r="A139" s="57" t="s">
        <v>293</v>
      </c>
      <c r="B139" s="59" t="s">
        <v>294</v>
      </c>
      <c r="C139" s="67">
        <v>1007242318</v>
      </c>
      <c r="D139" s="54" t="s">
        <v>44</v>
      </c>
    </row>
    <row r="140" spans="1:4" x14ac:dyDescent="0.3">
      <c r="A140" s="57" t="s">
        <v>295</v>
      </c>
      <c r="B140" s="57" t="s">
        <v>296</v>
      </c>
      <c r="C140" s="58">
        <v>1007242992</v>
      </c>
      <c r="D140" s="54">
        <v>5514519</v>
      </c>
    </row>
    <row r="141" spans="1:4" x14ac:dyDescent="0.3">
      <c r="A141" s="52" t="s">
        <v>297</v>
      </c>
      <c r="B141" s="52" t="s">
        <v>298</v>
      </c>
      <c r="C141" s="62">
        <v>1007271832</v>
      </c>
      <c r="D141" s="54">
        <v>25060007228</v>
      </c>
    </row>
    <row r="142" spans="1:4" x14ac:dyDescent="0.3">
      <c r="A142" s="52" t="s">
        <v>299</v>
      </c>
      <c r="B142" s="52" t="s">
        <v>300</v>
      </c>
      <c r="C142" s="62">
        <v>1007321595</v>
      </c>
      <c r="D142" s="54" t="s">
        <v>44</v>
      </c>
    </row>
    <row r="143" spans="1:4" x14ac:dyDescent="0.3">
      <c r="A143" s="57" t="s">
        <v>151</v>
      </c>
      <c r="B143" s="57" t="s">
        <v>301</v>
      </c>
      <c r="C143" s="58">
        <v>1007338290</v>
      </c>
      <c r="D143" s="54">
        <v>5781023</v>
      </c>
    </row>
    <row r="144" spans="1:4" x14ac:dyDescent="0.3">
      <c r="A144" s="52" t="s">
        <v>163</v>
      </c>
      <c r="B144" s="54" t="s">
        <v>302</v>
      </c>
      <c r="C144" s="55">
        <v>1007341620</v>
      </c>
      <c r="D144" s="54" t="s">
        <v>44</v>
      </c>
    </row>
    <row r="145" spans="1:4" x14ac:dyDescent="0.3">
      <c r="A145" s="52" t="s">
        <v>303</v>
      </c>
      <c r="B145" s="52" t="s">
        <v>304</v>
      </c>
      <c r="C145" s="53">
        <v>1007387903</v>
      </c>
      <c r="D145" s="52">
        <v>5185522</v>
      </c>
    </row>
    <row r="146" spans="1:4" x14ac:dyDescent="0.3">
      <c r="A146" s="57" t="s">
        <v>305</v>
      </c>
      <c r="B146" s="57" t="s">
        <v>306</v>
      </c>
      <c r="C146" s="58">
        <v>1007452010</v>
      </c>
      <c r="D146" s="54" t="s">
        <v>44</v>
      </c>
    </row>
    <row r="147" spans="1:4" x14ac:dyDescent="0.3">
      <c r="A147" s="57" t="s">
        <v>307</v>
      </c>
      <c r="B147" s="59" t="s">
        <v>308</v>
      </c>
      <c r="C147" s="67">
        <v>1007523997</v>
      </c>
      <c r="D147" s="54" t="s">
        <v>44</v>
      </c>
    </row>
    <row r="148" spans="1:4" x14ac:dyDescent="0.3">
      <c r="A148" s="52" t="s">
        <v>309</v>
      </c>
      <c r="B148" s="52" t="s">
        <v>310</v>
      </c>
      <c r="C148" s="62">
        <v>1007624902</v>
      </c>
      <c r="D148" s="52"/>
    </row>
    <row r="149" spans="1:4" x14ac:dyDescent="0.3">
      <c r="A149" s="57" t="s">
        <v>311</v>
      </c>
      <c r="B149" s="57" t="s">
        <v>312</v>
      </c>
      <c r="C149" s="58">
        <v>1007768304</v>
      </c>
      <c r="D149" s="54">
        <v>5613621</v>
      </c>
    </row>
    <row r="150" spans="1:4" x14ac:dyDescent="0.3">
      <c r="A150" s="52" t="s">
        <v>313</v>
      </c>
      <c r="B150" s="54" t="s">
        <v>314</v>
      </c>
      <c r="C150" s="62">
        <v>1007903409</v>
      </c>
      <c r="D150" s="54" t="s">
        <v>44</v>
      </c>
    </row>
    <row r="151" spans="1:4" x14ac:dyDescent="0.3">
      <c r="A151" s="57" t="s">
        <v>315</v>
      </c>
      <c r="B151" s="59" t="s">
        <v>316</v>
      </c>
      <c r="C151" s="58">
        <v>1010092679</v>
      </c>
      <c r="D151" s="55">
        <v>2024060024727</v>
      </c>
    </row>
    <row r="152" spans="1:4" x14ac:dyDescent="0.3">
      <c r="A152" s="52" t="s">
        <v>51</v>
      </c>
      <c r="B152" s="52" t="s">
        <v>317</v>
      </c>
      <c r="C152" s="53">
        <v>1010159183</v>
      </c>
      <c r="D152" s="54">
        <v>24060075867</v>
      </c>
    </row>
    <row r="153" spans="1:4" x14ac:dyDescent="0.3">
      <c r="A153" s="52" t="s">
        <v>318</v>
      </c>
      <c r="B153" s="52" t="s">
        <v>319</v>
      </c>
      <c r="C153" s="53">
        <v>1011392114</v>
      </c>
      <c r="D153" s="52">
        <v>26060041431</v>
      </c>
    </row>
    <row r="154" spans="1:4" x14ac:dyDescent="0.3">
      <c r="A154" s="52" t="s">
        <v>146</v>
      </c>
      <c r="B154" s="52" t="s">
        <v>320</v>
      </c>
      <c r="C154" s="53">
        <v>1011392507</v>
      </c>
      <c r="D154" s="52">
        <v>24060421285</v>
      </c>
    </row>
    <row r="155" spans="1:4" x14ac:dyDescent="0.3">
      <c r="A155" s="57" t="s">
        <v>321</v>
      </c>
      <c r="B155" s="57" t="s">
        <v>322</v>
      </c>
      <c r="C155" s="58">
        <v>1011396122</v>
      </c>
      <c r="D155" s="54">
        <v>25060182536</v>
      </c>
    </row>
    <row r="156" spans="1:4" x14ac:dyDescent="0.3">
      <c r="A156" s="52" t="s">
        <v>323</v>
      </c>
      <c r="B156" s="52" t="s">
        <v>324</v>
      </c>
      <c r="C156" s="53">
        <v>1011510860</v>
      </c>
      <c r="D156" s="52"/>
    </row>
    <row r="157" spans="1:4" x14ac:dyDescent="0.3">
      <c r="A157" s="52" t="s">
        <v>128</v>
      </c>
      <c r="B157" s="52" t="s">
        <v>325</v>
      </c>
      <c r="C157" s="53">
        <v>1011511644</v>
      </c>
      <c r="D157" s="54">
        <v>24060427508</v>
      </c>
    </row>
    <row r="158" spans="1:4" x14ac:dyDescent="0.3">
      <c r="A158" s="52" t="s">
        <v>326</v>
      </c>
      <c r="B158" s="52" t="s">
        <v>327</v>
      </c>
      <c r="C158" s="53">
        <v>1011591746</v>
      </c>
      <c r="D158" s="52">
        <v>25061415213</v>
      </c>
    </row>
    <row r="159" spans="1:4" x14ac:dyDescent="0.3">
      <c r="A159" s="52" t="s">
        <v>163</v>
      </c>
      <c r="B159" s="52" t="s">
        <v>328</v>
      </c>
      <c r="C159" s="53">
        <v>1013456309</v>
      </c>
      <c r="D159" s="54" t="s">
        <v>44</v>
      </c>
    </row>
    <row r="160" spans="1:4" x14ac:dyDescent="0.3">
      <c r="A160" s="52" t="s">
        <v>329</v>
      </c>
      <c r="B160" s="54" t="s">
        <v>330</v>
      </c>
      <c r="C160" s="55">
        <v>1013456398</v>
      </c>
      <c r="D160" s="54" t="s">
        <v>44</v>
      </c>
    </row>
    <row r="161" spans="1:4" x14ac:dyDescent="0.3">
      <c r="A161" s="52" t="s">
        <v>331</v>
      </c>
      <c r="B161" s="52" t="s">
        <v>332</v>
      </c>
      <c r="C161" s="53">
        <v>1015067504</v>
      </c>
      <c r="D161" s="54" t="s">
        <v>333</v>
      </c>
    </row>
    <row r="162" spans="1:4" x14ac:dyDescent="0.3">
      <c r="A162" s="52" t="s">
        <v>282</v>
      </c>
      <c r="B162" s="52" t="s">
        <v>334</v>
      </c>
      <c r="C162" s="53">
        <v>1015067811</v>
      </c>
      <c r="D162" s="54">
        <v>24060248717</v>
      </c>
    </row>
    <row r="163" spans="1:4" x14ac:dyDescent="0.3">
      <c r="A163" s="52" t="s">
        <v>335</v>
      </c>
      <c r="B163" s="52" t="s">
        <v>336</v>
      </c>
      <c r="C163" s="53">
        <v>1015069127</v>
      </c>
      <c r="D163" s="54">
        <v>24060245452</v>
      </c>
    </row>
    <row r="164" spans="1:4" x14ac:dyDescent="0.3">
      <c r="A164" s="52" t="s">
        <v>124</v>
      </c>
      <c r="B164" s="52" t="s">
        <v>337</v>
      </c>
      <c r="C164" s="53">
        <v>1015071133</v>
      </c>
      <c r="D164" s="54">
        <v>25060181557</v>
      </c>
    </row>
    <row r="165" spans="1:4" x14ac:dyDescent="0.3">
      <c r="A165" s="52" t="s">
        <v>63</v>
      </c>
      <c r="B165" s="52" t="s">
        <v>338</v>
      </c>
      <c r="C165" s="53">
        <v>1015216029</v>
      </c>
      <c r="D165" s="52">
        <v>5059023</v>
      </c>
    </row>
    <row r="166" spans="1:4" x14ac:dyDescent="0.3">
      <c r="A166" s="54" t="s">
        <v>339</v>
      </c>
      <c r="B166" s="54" t="s">
        <v>340</v>
      </c>
      <c r="C166" s="55">
        <v>1015473837</v>
      </c>
      <c r="D166" s="54">
        <v>1092</v>
      </c>
    </row>
    <row r="167" spans="1:4" x14ac:dyDescent="0.3">
      <c r="A167" s="52" t="s">
        <v>341</v>
      </c>
      <c r="B167" s="52" t="s">
        <v>342</v>
      </c>
      <c r="C167" s="53">
        <v>1017130302</v>
      </c>
      <c r="D167" s="54">
        <v>5025007</v>
      </c>
    </row>
    <row r="168" spans="1:4" x14ac:dyDescent="0.3">
      <c r="A168" s="52" t="s">
        <v>343</v>
      </c>
      <c r="B168" s="52" t="s">
        <v>344</v>
      </c>
      <c r="C168" s="53">
        <v>1017148321</v>
      </c>
      <c r="D168" s="52">
        <v>5698818</v>
      </c>
    </row>
    <row r="169" spans="1:4" x14ac:dyDescent="0.3">
      <c r="A169" s="52" t="s">
        <v>345</v>
      </c>
      <c r="B169" s="52" t="s">
        <v>346</v>
      </c>
      <c r="C169" s="53">
        <v>1017158554</v>
      </c>
      <c r="D169" s="54">
        <v>24060418981</v>
      </c>
    </row>
    <row r="170" spans="1:4" x14ac:dyDescent="0.3">
      <c r="A170" s="52" t="s">
        <v>347</v>
      </c>
      <c r="B170" s="52" t="s">
        <v>348</v>
      </c>
      <c r="C170" s="53">
        <v>1017175985</v>
      </c>
      <c r="D170" s="52">
        <v>5696323</v>
      </c>
    </row>
    <row r="171" spans="1:4" x14ac:dyDescent="0.3">
      <c r="A171" s="52" t="s">
        <v>349</v>
      </c>
      <c r="B171" s="52" t="s">
        <v>350</v>
      </c>
      <c r="C171" s="53">
        <v>1017184709</v>
      </c>
      <c r="D171" s="52">
        <v>5777516</v>
      </c>
    </row>
    <row r="172" spans="1:4" x14ac:dyDescent="0.3">
      <c r="A172" s="52" t="s">
        <v>351</v>
      </c>
      <c r="B172" s="52" t="s">
        <v>352</v>
      </c>
      <c r="C172" s="53">
        <v>1017197109</v>
      </c>
      <c r="D172" s="52">
        <v>5236518</v>
      </c>
    </row>
    <row r="173" spans="1:4" x14ac:dyDescent="0.3">
      <c r="A173" s="52" t="s">
        <v>82</v>
      </c>
      <c r="B173" s="52" t="s">
        <v>353</v>
      </c>
      <c r="C173" s="53">
        <v>1017203962</v>
      </c>
      <c r="D173" s="54">
        <v>5101522</v>
      </c>
    </row>
    <row r="174" spans="1:4" x14ac:dyDescent="0.3">
      <c r="A174" s="52" t="s">
        <v>354</v>
      </c>
      <c r="B174" s="52" t="s">
        <v>355</v>
      </c>
      <c r="C174" s="53">
        <v>1017206880</v>
      </c>
      <c r="D174" s="54">
        <v>5198721</v>
      </c>
    </row>
    <row r="175" spans="1:4" x14ac:dyDescent="0.3">
      <c r="A175" s="52" t="s">
        <v>356</v>
      </c>
      <c r="B175" s="52" t="s">
        <v>357</v>
      </c>
      <c r="C175" s="53">
        <v>1017207179</v>
      </c>
      <c r="D175" s="52">
        <v>5522423</v>
      </c>
    </row>
    <row r="176" spans="1:4" x14ac:dyDescent="0.3">
      <c r="A176" s="52" t="s">
        <v>358</v>
      </c>
      <c r="B176" s="52" t="s">
        <v>359</v>
      </c>
      <c r="C176" s="53">
        <v>1017219589</v>
      </c>
      <c r="D176" s="52"/>
    </row>
    <row r="177" spans="1:4" x14ac:dyDescent="0.3">
      <c r="A177" s="52" t="s">
        <v>360</v>
      </c>
      <c r="B177" s="52" t="s">
        <v>361</v>
      </c>
      <c r="C177" s="53">
        <v>1017222827</v>
      </c>
      <c r="D177" s="52">
        <v>5568523</v>
      </c>
    </row>
    <row r="178" spans="1:4" x14ac:dyDescent="0.3">
      <c r="A178" s="52" t="s">
        <v>362</v>
      </c>
      <c r="B178" s="52" t="s">
        <v>217</v>
      </c>
      <c r="C178" s="53">
        <v>1017228145</v>
      </c>
      <c r="D178" s="52">
        <v>1017228145</v>
      </c>
    </row>
    <row r="179" spans="1:4" x14ac:dyDescent="0.3">
      <c r="A179" s="52" t="s">
        <v>225</v>
      </c>
      <c r="B179" s="52" t="s">
        <v>363</v>
      </c>
      <c r="C179" s="53">
        <v>1017239415</v>
      </c>
      <c r="D179" s="54">
        <v>5449619</v>
      </c>
    </row>
    <row r="180" spans="1:4" x14ac:dyDescent="0.3">
      <c r="A180" s="52" t="s">
        <v>364</v>
      </c>
      <c r="B180" s="52" t="s">
        <v>365</v>
      </c>
      <c r="C180" s="53">
        <v>1017247216</v>
      </c>
      <c r="D180" s="52">
        <v>1017247216</v>
      </c>
    </row>
    <row r="181" spans="1:4" x14ac:dyDescent="0.3">
      <c r="A181" s="52" t="s">
        <v>366</v>
      </c>
      <c r="B181" s="52" t="s">
        <v>367</v>
      </c>
      <c r="C181" s="53">
        <v>1017256068</v>
      </c>
      <c r="D181" s="52">
        <v>5259419</v>
      </c>
    </row>
    <row r="182" spans="1:4" x14ac:dyDescent="0.3">
      <c r="A182" s="52" t="s">
        <v>368</v>
      </c>
      <c r="B182" s="52" t="s">
        <v>369</v>
      </c>
      <c r="C182" s="53">
        <v>1017256315</v>
      </c>
      <c r="D182" s="52">
        <v>25060172567</v>
      </c>
    </row>
    <row r="183" spans="1:4" x14ac:dyDescent="0.3">
      <c r="A183" s="52" t="s">
        <v>146</v>
      </c>
      <c r="B183" s="52" t="s">
        <v>370</v>
      </c>
      <c r="C183" s="53">
        <v>1017262529</v>
      </c>
      <c r="D183" s="54">
        <v>5164618</v>
      </c>
    </row>
    <row r="184" spans="1:4" x14ac:dyDescent="0.3">
      <c r="A184" s="52" t="s">
        <v>371</v>
      </c>
      <c r="B184" s="52" t="s">
        <v>372</v>
      </c>
      <c r="C184" s="53">
        <v>1017263270</v>
      </c>
      <c r="D184" s="52">
        <v>5375719</v>
      </c>
    </row>
    <row r="185" spans="1:4" x14ac:dyDescent="0.3">
      <c r="A185" s="52" t="s">
        <v>146</v>
      </c>
      <c r="B185" s="52" t="s">
        <v>373</v>
      </c>
      <c r="C185" s="53">
        <v>1017273119</v>
      </c>
      <c r="D185" s="52">
        <v>5652818</v>
      </c>
    </row>
    <row r="186" spans="1:4" x14ac:dyDescent="0.3">
      <c r="A186" s="52" t="s">
        <v>374</v>
      </c>
      <c r="B186" s="52" t="s">
        <v>375</v>
      </c>
      <c r="C186" s="53">
        <v>1017276021</v>
      </c>
      <c r="D186" s="52">
        <v>5332023</v>
      </c>
    </row>
    <row r="187" spans="1:4" x14ac:dyDescent="0.3">
      <c r="A187" s="52" t="s">
        <v>376</v>
      </c>
      <c r="B187" s="52" t="s">
        <v>377</v>
      </c>
      <c r="C187" s="53">
        <v>1017923438</v>
      </c>
      <c r="D187" s="54">
        <v>25060167792</v>
      </c>
    </row>
    <row r="188" spans="1:4" x14ac:dyDescent="0.3">
      <c r="A188" s="52" t="s">
        <v>132</v>
      </c>
      <c r="B188" s="52" t="s">
        <v>378</v>
      </c>
      <c r="C188" s="53">
        <v>1017925524</v>
      </c>
      <c r="D188" s="54">
        <v>24060249847</v>
      </c>
    </row>
    <row r="189" spans="1:4" x14ac:dyDescent="0.3">
      <c r="A189" s="52" t="s">
        <v>184</v>
      </c>
      <c r="B189" s="54" t="s">
        <v>379</v>
      </c>
      <c r="C189" s="55">
        <v>1018223553</v>
      </c>
      <c r="D189" s="54" t="s">
        <v>44</v>
      </c>
    </row>
    <row r="190" spans="1:4" x14ac:dyDescent="0.3">
      <c r="A190" s="52" t="s">
        <v>380</v>
      </c>
      <c r="B190" s="52" t="s">
        <v>381</v>
      </c>
      <c r="C190" s="53">
        <v>1018232525</v>
      </c>
      <c r="D190" s="54">
        <v>25060181730</v>
      </c>
    </row>
    <row r="191" spans="1:4" x14ac:dyDescent="0.3">
      <c r="A191" s="52" t="s">
        <v>382</v>
      </c>
      <c r="B191" s="52" t="s">
        <v>383</v>
      </c>
      <c r="C191" s="53">
        <v>1020103790</v>
      </c>
      <c r="D191" s="54" t="s">
        <v>44</v>
      </c>
    </row>
    <row r="192" spans="1:4" x14ac:dyDescent="0.3">
      <c r="A192" s="52" t="s">
        <v>384</v>
      </c>
      <c r="B192" s="52" t="s">
        <v>385</v>
      </c>
      <c r="C192" s="53">
        <v>1020399600</v>
      </c>
      <c r="D192" s="54">
        <v>5675622</v>
      </c>
    </row>
    <row r="193" spans="1:4" x14ac:dyDescent="0.3">
      <c r="A193" s="52" t="s">
        <v>386</v>
      </c>
      <c r="B193" s="52" t="s">
        <v>387</v>
      </c>
      <c r="C193" s="53">
        <v>1020400543</v>
      </c>
      <c r="D193" s="54">
        <v>5353921</v>
      </c>
    </row>
    <row r="194" spans="1:4" x14ac:dyDescent="0.3">
      <c r="A194" s="52" t="s">
        <v>293</v>
      </c>
      <c r="B194" s="52" t="s">
        <v>388</v>
      </c>
      <c r="C194" s="53">
        <v>1020430557</v>
      </c>
      <c r="D194" s="52">
        <v>5511823</v>
      </c>
    </row>
    <row r="195" spans="1:4" x14ac:dyDescent="0.3">
      <c r="A195" s="52" t="s">
        <v>389</v>
      </c>
      <c r="B195" s="52" t="s">
        <v>390</v>
      </c>
      <c r="C195" s="53">
        <v>1020448237</v>
      </c>
      <c r="D195" s="54">
        <v>1020448237</v>
      </c>
    </row>
    <row r="196" spans="1:4" x14ac:dyDescent="0.3">
      <c r="A196" s="52" t="s">
        <v>391</v>
      </c>
      <c r="B196" s="52" t="s">
        <v>392</v>
      </c>
      <c r="C196" s="53">
        <v>1020453918</v>
      </c>
      <c r="D196" s="54">
        <v>24060078485</v>
      </c>
    </row>
    <row r="197" spans="1:4" x14ac:dyDescent="0.3">
      <c r="A197" s="52" t="s">
        <v>393</v>
      </c>
      <c r="B197" s="52" t="s">
        <v>394</v>
      </c>
      <c r="C197" s="53">
        <v>1020463192</v>
      </c>
      <c r="D197" s="54">
        <v>24060076828</v>
      </c>
    </row>
    <row r="198" spans="1:4" x14ac:dyDescent="0.3">
      <c r="A198" s="52" t="s">
        <v>395</v>
      </c>
      <c r="B198" s="54" t="s">
        <v>396</v>
      </c>
      <c r="C198" s="55">
        <v>1020469042</v>
      </c>
      <c r="D198" s="54">
        <v>5614013</v>
      </c>
    </row>
    <row r="199" spans="1:4" x14ac:dyDescent="0.3">
      <c r="A199" s="52" t="s">
        <v>397</v>
      </c>
      <c r="B199" s="52" t="s">
        <v>398</v>
      </c>
      <c r="C199" s="53">
        <v>1020472390</v>
      </c>
      <c r="D199" s="54">
        <v>25061007352</v>
      </c>
    </row>
    <row r="200" spans="1:4" x14ac:dyDescent="0.3">
      <c r="A200" s="52" t="s">
        <v>399</v>
      </c>
      <c r="B200" s="54" t="s">
        <v>400</v>
      </c>
      <c r="C200" s="55">
        <v>1020477470</v>
      </c>
      <c r="D200" s="54" t="s">
        <v>102</v>
      </c>
    </row>
    <row r="201" spans="1:4" x14ac:dyDescent="0.3">
      <c r="A201" s="52" t="s">
        <v>198</v>
      </c>
      <c r="B201" s="52" t="s">
        <v>401</v>
      </c>
      <c r="C201" s="53">
        <v>1020485194</v>
      </c>
      <c r="D201" s="54">
        <v>5526423</v>
      </c>
    </row>
    <row r="202" spans="1:4" x14ac:dyDescent="0.3">
      <c r="A202" s="52" t="s">
        <v>402</v>
      </c>
      <c r="B202" s="54" t="s">
        <v>403</v>
      </c>
      <c r="C202" s="55">
        <v>1020494236</v>
      </c>
      <c r="D202" s="54" t="s">
        <v>44</v>
      </c>
    </row>
    <row r="203" spans="1:4" x14ac:dyDescent="0.3">
      <c r="A203" s="52" t="s">
        <v>404</v>
      </c>
      <c r="B203" s="52" t="s">
        <v>405</v>
      </c>
      <c r="C203" s="53">
        <v>1021922085</v>
      </c>
      <c r="D203" s="52">
        <v>5632822</v>
      </c>
    </row>
    <row r="204" spans="1:4" x14ac:dyDescent="0.3">
      <c r="A204" s="52" t="s">
        <v>163</v>
      </c>
      <c r="B204" s="52" t="s">
        <v>406</v>
      </c>
      <c r="C204" s="53">
        <v>1023524571</v>
      </c>
      <c r="D204" s="54">
        <v>25060193807</v>
      </c>
    </row>
    <row r="205" spans="1:4" x14ac:dyDescent="0.3">
      <c r="A205" s="52" t="s">
        <v>407</v>
      </c>
      <c r="B205" s="52" t="s">
        <v>408</v>
      </c>
      <c r="C205" s="53">
        <v>1023525728</v>
      </c>
      <c r="D205" s="52">
        <v>26060043595</v>
      </c>
    </row>
    <row r="206" spans="1:4" x14ac:dyDescent="0.3">
      <c r="A206" s="52" t="s">
        <v>409</v>
      </c>
      <c r="B206" s="52" t="s">
        <v>410</v>
      </c>
      <c r="C206" s="53">
        <v>1023592082</v>
      </c>
      <c r="D206" s="52"/>
    </row>
    <row r="207" spans="1:4" x14ac:dyDescent="0.3">
      <c r="A207" s="52" t="s">
        <v>411</v>
      </c>
      <c r="B207" s="52" t="s">
        <v>412</v>
      </c>
      <c r="C207" s="53">
        <v>1023623791</v>
      </c>
      <c r="D207" s="52">
        <v>5787422</v>
      </c>
    </row>
    <row r="208" spans="1:4" x14ac:dyDescent="0.3">
      <c r="A208" s="52" t="s">
        <v>413</v>
      </c>
      <c r="B208" s="52" t="s">
        <v>414</v>
      </c>
      <c r="C208" s="53">
        <v>1023624442</v>
      </c>
      <c r="D208" s="52"/>
    </row>
    <row r="209" spans="1:4" x14ac:dyDescent="0.3">
      <c r="A209" s="52" t="s">
        <v>415</v>
      </c>
      <c r="B209" s="52" t="s">
        <v>416</v>
      </c>
      <c r="C209" s="53">
        <v>1025640578</v>
      </c>
      <c r="D209" s="54">
        <v>25060174416</v>
      </c>
    </row>
    <row r="210" spans="1:4" x14ac:dyDescent="0.3">
      <c r="A210" s="52" t="s">
        <v>236</v>
      </c>
      <c r="B210" s="54" t="s">
        <v>417</v>
      </c>
      <c r="C210" s="53">
        <v>1025641366</v>
      </c>
      <c r="D210" s="54" t="s">
        <v>44</v>
      </c>
    </row>
    <row r="211" spans="1:4" x14ac:dyDescent="0.3">
      <c r="A211" s="52" t="s">
        <v>418</v>
      </c>
      <c r="B211" s="52" t="s">
        <v>419</v>
      </c>
      <c r="C211" s="53">
        <v>1025761889</v>
      </c>
      <c r="D211" s="54"/>
    </row>
    <row r="212" spans="1:4" x14ac:dyDescent="0.3">
      <c r="A212" s="52" t="s">
        <v>420</v>
      </c>
      <c r="B212" s="52" t="s">
        <v>421</v>
      </c>
      <c r="C212" s="53">
        <v>1025881886</v>
      </c>
      <c r="D212" s="54">
        <v>5439623</v>
      </c>
    </row>
    <row r="213" spans="1:4" x14ac:dyDescent="0.3">
      <c r="A213" s="52" t="s">
        <v>422</v>
      </c>
      <c r="B213" s="52" t="s">
        <v>423</v>
      </c>
      <c r="C213" s="53">
        <v>1025885312</v>
      </c>
      <c r="D213" s="54">
        <v>2024060078628</v>
      </c>
    </row>
    <row r="214" spans="1:4" x14ac:dyDescent="0.3">
      <c r="A214" s="52" t="s">
        <v>424</v>
      </c>
      <c r="B214" s="52" t="s">
        <v>425</v>
      </c>
      <c r="C214" s="53">
        <v>1025888183</v>
      </c>
      <c r="D214" s="54">
        <v>25060174670</v>
      </c>
    </row>
    <row r="215" spans="1:4" x14ac:dyDescent="0.3">
      <c r="A215" s="52" t="s">
        <v>426</v>
      </c>
      <c r="B215" s="52" t="s">
        <v>427</v>
      </c>
      <c r="C215" s="53">
        <v>1026153901</v>
      </c>
      <c r="D215" s="52" t="s">
        <v>102</v>
      </c>
    </row>
    <row r="216" spans="1:4" x14ac:dyDescent="0.3">
      <c r="A216" s="52" t="s">
        <v>428</v>
      </c>
      <c r="B216" s="52" t="s">
        <v>429</v>
      </c>
      <c r="C216" s="53">
        <v>1027660658</v>
      </c>
      <c r="D216" s="54">
        <v>25060001652</v>
      </c>
    </row>
    <row r="217" spans="1:4" x14ac:dyDescent="0.3">
      <c r="A217" s="52" t="s">
        <v>295</v>
      </c>
      <c r="B217" s="52" t="s">
        <v>430</v>
      </c>
      <c r="C217" s="53">
        <v>1028027177</v>
      </c>
      <c r="D217" s="52"/>
    </row>
    <row r="218" spans="1:4" x14ac:dyDescent="0.3">
      <c r="A218" s="52" t="s">
        <v>124</v>
      </c>
      <c r="B218" s="52" t="s">
        <v>431</v>
      </c>
      <c r="C218" s="53">
        <v>1032012176</v>
      </c>
      <c r="D218" s="52">
        <v>1032012176</v>
      </c>
    </row>
    <row r="219" spans="1:4" x14ac:dyDescent="0.3">
      <c r="A219" s="52" t="s">
        <v>432</v>
      </c>
      <c r="B219" s="52" t="s">
        <v>433</v>
      </c>
      <c r="C219" s="53">
        <v>1032261143</v>
      </c>
      <c r="D219" s="52"/>
    </row>
    <row r="220" spans="1:4" x14ac:dyDescent="0.3">
      <c r="A220" s="52" t="s">
        <v>434</v>
      </c>
      <c r="B220" s="52" t="s">
        <v>435</v>
      </c>
      <c r="C220" s="53">
        <v>1032476055</v>
      </c>
      <c r="D220" s="52"/>
    </row>
    <row r="221" spans="1:4" x14ac:dyDescent="0.3">
      <c r="A221" s="52" t="s">
        <v>436</v>
      </c>
      <c r="B221" s="52" t="s">
        <v>437</v>
      </c>
      <c r="C221" s="53">
        <v>1033178048</v>
      </c>
      <c r="D221" s="54">
        <v>24060021956</v>
      </c>
    </row>
    <row r="222" spans="1:4" x14ac:dyDescent="0.3">
      <c r="A222" s="52" t="s">
        <v>225</v>
      </c>
      <c r="B222" s="52" t="s">
        <v>438</v>
      </c>
      <c r="C222" s="53">
        <v>1033488536</v>
      </c>
      <c r="D222" s="54">
        <v>25060444558</v>
      </c>
    </row>
    <row r="223" spans="1:4" x14ac:dyDescent="0.3">
      <c r="A223" s="52" t="s">
        <v>439</v>
      </c>
      <c r="B223" s="52" t="s">
        <v>440</v>
      </c>
      <c r="C223" s="53">
        <v>1033647890</v>
      </c>
      <c r="D223" s="54">
        <v>5534123</v>
      </c>
    </row>
    <row r="224" spans="1:4" x14ac:dyDescent="0.3">
      <c r="A224" s="52" t="s">
        <v>441</v>
      </c>
      <c r="B224" s="52" t="s">
        <v>442</v>
      </c>
      <c r="C224" s="53">
        <v>1033655581</v>
      </c>
      <c r="D224" s="52">
        <v>5250118</v>
      </c>
    </row>
    <row r="225" spans="1:4" x14ac:dyDescent="0.3">
      <c r="A225" s="52" t="s">
        <v>443</v>
      </c>
      <c r="B225" s="52" t="s">
        <v>444</v>
      </c>
      <c r="C225" s="53">
        <v>1034986316</v>
      </c>
      <c r="D225" s="54" t="s">
        <v>44</v>
      </c>
    </row>
    <row r="226" spans="1:4" x14ac:dyDescent="0.3">
      <c r="A226" s="52" t="s">
        <v>299</v>
      </c>
      <c r="B226" s="52" t="s">
        <v>445</v>
      </c>
      <c r="C226" s="53">
        <v>1034987368</v>
      </c>
      <c r="D226" s="52"/>
    </row>
    <row r="227" spans="1:4" x14ac:dyDescent="0.3">
      <c r="A227" s="52" t="s">
        <v>305</v>
      </c>
      <c r="B227" s="52" t="s">
        <v>446</v>
      </c>
      <c r="C227" s="53">
        <v>1035222537</v>
      </c>
      <c r="D227" s="54">
        <v>5459222</v>
      </c>
    </row>
    <row r="228" spans="1:4" x14ac:dyDescent="0.3">
      <c r="A228" s="52" t="s">
        <v>250</v>
      </c>
      <c r="B228" s="52" t="s">
        <v>447</v>
      </c>
      <c r="C228" s="53">
        <v>1035232799</v>
      </c>
      <c r="D228" s="54">
        <v>5713423</v>
      </c>
    </row>
    <row r="229" spans="1:4" x14ac:dyDescent="0.3">
      <c r="A229" s="52" t="s">
        <v>448</v>
      </c>
      <c r="B229" s="52" t="s">
        <v>449</v>
      </c>
      <c r="C229" s="53">
        <v>1035235490</v>
      </c>
      <c r="D229" s="54">
        <v>5019822</v>
      </c>
    </row>
    <row r="230" spans="1:4" x14ac:dyDescent="0.3">
      <c r="A230" s="52" t="s">
        <v>305</v>
      </c>
      <c r="B230" s="52" t="s">
        <v>450</v>
      </c>
      <c r="C230" s="53">
        <v>1035421934</v>
      </c>
      <c r="D230" s="54">
        <v>24060093675</v>
      </c>
    </row>
    <row r="231" spans="1:4" x14ac:dyDescent="0.3">
      <c r="A231" s="52" t="s">
        <v>451</v>
      </c>
      <c r="B231" s="52" t="s">
        <v>452</v>
      </c>
      <c r="C231" s="68">
        <v>1035852748</v>
      </c>
      <c r="D231" s="54">
        <v>25060174646</v>
      </c>
    </row>
    <row r="232" spans="1:4" x14ac:dyDescent="0.3">
      <c r="A232" s="52" t="s">
        <v>453</v>
      </c>
      <c r="B232" s="54" t="s">
        <v>454</v>
      </c>
      <c r="C232" s="53">
        <v>1035856209</v>
      </c>
      <c r="D232" s="54" t="s">
        <v>44</v>
      </c>
    </row>
    <row r="233" spans="1:4" x14ac:dyDescent="0.3">
      <c r="A233" s="52" t="s">
        <v>455</v>
      </c>
      <c r="B233" s="52" t="s">
        <v>456</v>
      </c>
      <c r="C233" s="53">
        <v>1035861721</v>
      </c>
      <c r="D233" s="54">
        <v>5657222</v>
      </c>
    </row>
    <row r="234" spans="1:4" x14ac:dyDescent="0.3">
      <c r="A234" s="52" t="s">
        <v>457</v>
      </c>
      <c r="B234" s="54" t="s">
        <v>458</v>
      </c>
      <c r="C234" s="55">
        <v>1035877000</v>
      </c>
      <c r="D234" s="54">
        <v>5492616</v>
      </c>
    </row>
    <row r="235" spans="1:4" x14ac:dyDescent="0.3">
      <c r="A235" s="52" t="s">
        <v>409</v>
      </c>
      <c r="B235" s="52" t="s">
        <v>459</v>
      </c>
      <c r="C235" s="53">
        <v>1035877140</v>
      </c>
      <c r="D235" s="54">
        <v>5578923</v>
      </c>
    </row>
    <row r="236" spans="1:4" x14ac:dyDescent="0.3">
      <c r="A236" s="52" t="s">
        <v>92</v>
      </c>
      <c r="B236" s="52" t="s">
        <v>460</v>
      </c>
      <c r="C236" s="53">
        <v>1035918764</v>
      </c>
      <c r="D236" s="54">
        <v>5870423</v>
      </c>
    </row>
    <row r="237" spans="1:4" x14ac:dyDescent="0.3">
      <c r="A237" s="52" t="s">
        <v>461</v>
      </c>
      <c r="B237" s="52" t="s">
        <v>462</v>
      </c>
      <c r="C237" s="53">
        <v>1035920680</v>
      </c>
      <c r="D237" s="54">
        <v>5546622</v>
      </c>
    </row>
    <row r="238" spans="1:4" x14ac:dyDescent="0.3">
      <c r="A238" s="52" t="s">
        <v>463</v>
      </c>
      <c r="B238" s="52" t="s">
        <v>464</v>
      </c>
      <c r="C238" s="53">
        <v>1035970205</v>
      </c>
      <c r="D238" s="52">
        <v>25060180090</v>
      </c>
    </row>
    <row r="239" spans="1:4" x14ac:dyDescent="0.3">
      <c r="A239" s="52" t="s">
        <v>118</v>
      </c>
      <c r="B239" s="52" t="s">
        <v>465</v>
      </c>
      <c r="C239" s="53">
        <v>1035970855</v>
      </c>
      <c r="D239" s="54">
        <v>25060163427</v>
      </c>
    </row>
    <row r="240" spans="1:4" x14ac:dyDescent="0.3">
      <c r="A240" s="52" t="s">
        <v>466</v>
      </c>
      <c r="B240" s="52" t="s">
        <v>467</v>
      </c>
      <c r="C240" s="53">
        <v>1036338137</v>
      </c>
      <c r="D240" s="52">
        <v>5238820</v>
      </c>
    </row>
    <row r="241" spans="1:4" x14ac:dyDescent="0.3">
      <c r="A241" s="52" t="s">
        <v>163</v>
      </c>
      <c r="B241" s="52" t="s">
        <v>468</v>
      </c>
      <c r="C241" s="53">
        <v>1036448594</v>
      </c>
      <c r="D241" s="54">
        <v>25061557315</v>
      </c>
    </row>
    <row r="242" spans="1:4" x14ac:dyDescent="0.3">
      <c r="A242" s="52" t="s">
        <v>65</v>
      </c>
      <c r="B242" s="52" t="s">
        <v>469</v>
      </c>
      <c r="C242" s="53">
        <v>1036598655</v>
      </c>
      <c r="D242" s="54">
        <v>5294812</v>
      </c>
    </row>
    <row r="243" spans="1:4" x14ac:dyDescent="0.3">
      <c r="A243" s="52" t="s">
        <v>470</v>
      </c>
      <c r="B243" s="52" t="s">
        <v>471</v>
      </c>
      <c r="C243" s="53">
        <v>1036614144</v>
      </c>
      <c r="D243" s="54">
        <v>24060429475</v>
      </c>
    </row>
    <row r="244" spans="1:4" x14ac:dyDescent="0.3">
      <c r="A244" s="52" t="s">
        <v>305</v>
      </c>
      <c r="B244" s="52" t="s">
        <v>472</v>
      </c>
      <c r="C244" s="53">
        <v>1036640370</v>
      </c>
      <c r="D244" s="54" t="s">
        <v>44</v>
      </c>
    </row>
    <row r="245" spans="1:4" x14ac:dyDescent="0.3">
      <c r="A245" s="52" t="s">
        <v>473</v>
      </c>
      <c r="B245" s="54" t="s">
        <v>474</v>
      </c>
      <c r="C245" s="55">
        <v>1036660014</v>
      </c>
      <c r="D245" s="52">
        <v>1036660014</v>
      </c>
    </row>
    <row r="246" spans="1:4" x14ac:dyDescent="0.3">
      <c r="A246" s="52" t="s">
        <v>475</v>
      </c>
      <c r="B246" s="52" t="s">
        <v>476</v>
      </c>
      <c r="C246" s="53">
        <v>1036674174</v>
      </c>
      <c r="D246" s="54">
        <v>5447719</v>
      </c>
    </row>
    <row r="247" spans="1:4" x14ac:dyDescent="0.3">
      <c r="A247" s="52" t="s">
        <v>198</v>
      </c>
      <c r="B247" s="52" t="s">
        <v>477</v>
      </c>
      <c r="C247" s="53">
        <v>1036682054</v>
      </c>
      <c r="D247" s="52">
        <v>5350923</v>
      </c>
    </row>
    <row r="248" spans="1:4" x14ac:dyDescent="0.3">
      <c r="A248" s="52" t="s">
        <v>478</v>
      </c>
      <c r="B248" s="52" t="s">
        <v>479</v>
      </c>
      <c r="C248" s="53">
        <v>1036864630</v>
      </c>
      <c r="D248" s="54">
        <v>24060431592</v>
      </c>
    </row>
    <row r="249" spans="1:4" x14ac:dyDescent="0.3">
      <c r="A249" s="52" t="s">
        <v>480</v>
      </c>
      <c r="B249" s="52" t="s">
        <v>481</v>
      </c>
      <c r="C249" s="53">
        <v>1037268549</v>
      </c>
      <c r="D249" s="52">
        <v>5149217</v>
      </c>
    </row>
    <row r="250" spans="1:4" x14ac:dyDescent="0.3">
      <c r="A250" s="52" t="s">
        <v>482</v>
      </c>
      <c r="B250" s="52" t="s">
        <v>483</v>
      </c>
      <c r="C250" s="53">
        <v>1037581417</v>
      </c>
      <c r="D250" s="54">
        <v>5408708</v>
      </c>
    </row>
    <row r="251" spans="1:4" x14ac:dyDescent="0.3">
      <c r="A251" s="52" t="s">
        <v>484</v>
      </c>
      <c r="B251" s="54" t="s">
        <v>485</v>
      </c>
      <c r="C251" s="55">
        <v>1037584551</v>
      </c>
      <c r="D251" s="54">
        <v>5423916</v>
      </c>
    </row>
    <row r="252" spans="1:4" x14ac:dyDescent="0.3">
      <c r="A252" s="52" t="s">
        <v>486</v>
      </c>
      <c r="B252" s="52" t="s">
        <v>487</v>
      </c>
      <c r="C252" s="53">
        <v>1037622578</v>
      </c>
      <c r="D252" s="54">
        <v>5422722</v>
      </c>
    </row>
    <row r="253" spans="1:4" x14ac:dyDescent="0.3">
      <c r="A253" s="52" t="s">
        <v>488</v>
      </c>
      <c r="B253" s="52" t="s">
        <v>489</v>
      </c>
      <c r="C253" s="53">
        <v>1037622755</v>
      </c>
      <c r="D253" s="54">
        <v>5343014</v>
      </c>
    </row>
    <row r="254" spans="1:4" x14ac:dyDescent="0.3">
      <c r="A254" s="52" t="s">
        <v>490</v>
      </c>
      <c r="B254" s="52" t="s">
        <v>491</v>
      </c>
      <c r="C254" s="53">
        <v>1037631907</v>
      </c>
      <c r="D254" s="52"/>
    </row>
    <row r="255" spans="1:4" x14ac:dyDescent="0.3">
      <c r="A255" s="52" t="s">
        <v>492</v>
      </c>
      <c r="B255" s="54" t="s">
        <v>493</v>
      </c>
      <c r="C255" s="55">
        <v>1037633650</v>
      </c>
      <c r="D255" s="54" t="s">
        <v>44</v>
      </c>
    </row>
    <row r="256" spans="1:4" x14ac:dyDescent="0.3">
      <c r="A256" s="52" t="s">
        <v>144</v>
      </c>
      <c r="B256" s="52" t="s">
        <v>494</v>
      </c>
      <c r="C256" s="53">
        <v>1037641294</v>
      </c>
      <c r="D256" s="52">
        <v>5547417</v>
      </c>
    </row>
    <row r="257" spans="1:4" x14ac:dyDescent="0.3">
      <c r="A257" s="52" t="s">
        <v>326</v>
      </c>
      <c r="B257" s="52" t="s">
        <v>495</v>
      </c>
      <c r="C257" s="53">
        <v>1037643555</v>
      </c>
      <c r="D257" s="54">
        <v>5467116</v>
      </c>
    </row>
    <row r="258" spans="1:4" x14ac:dyDescent="0.3">
      <c r="A258" s="52" t="s">
        <v>496</v>
      </c>
      <c r="B258" s="52" t="s">
        <v>497</v>
      </c>
      <c r="C258" s="53">
        <v>1037645885</v>
      </c>
      <c r="D258" s="52">
        <v>5024520</v>
      </c>
    </row>
    <row r="259" spans="1:4" x14ac:dyDescent="0.3">
      <c r="A259" s="52" t="s">
        <v>218</v>
      </c>
      <c r="B259" s="52" t="s">
        <v>498</v>
      </c>
      <c r="C259" s="53">
        <v>1037651776</v>
      </c>
      <c r="D259" s="54">
        <v>5229823</v>
      </c>
    </row>
    <row r="260" spans="1:4" x14ac:dyDescent="0.3">
      <c r="A260" s="52" t="s">
        <v>499</v>
      </c>
      <c r="B260" s="52" t="s">
        <v>500</v>
      </c>
      <c r="C260" s="53">
        <v>1037655861</v>
      </c>
      <c r="D260" s="54">
        <v>5466715</v>
      </c>
    </row>
    <row r="261" spans="1:4" x14ac:dyDescent="0.3">
      <c r="A261" s="52" t="s">
        <v>501</v>
      </c>
      <c r="B261" s="52" t="s">
        <v>502</v>
      </c>
      <c r="C261" s="53">
        <v>1037660776</v>
      </c>
      <c r="D261" s="54">
        <v>5259122</v>
      </c>
    </row>
    <row r="262" spans="1:4" x14ac:dyDescent="0.3">
      <c r="A262" s="52" t="s">
        <v>503</v>
      </c>
      <c r="B262" s="52" t="s">
        <v>504</v>
      </c>
      <c r="C262" s="53">
        <v>1037665360</v>
      </c>
      <c r="D262" s="54" t="s">
        <v>44</v>
      </c>
    </row>
    <row r="263" spans="1:4" x14ac:dyDescent="0.3">
      <c r="A263" s="52" t="s">
        <v>505</v>
      </c>
      <c r="B263" s="52" t="s">
        <v>506</v>
      </c>
      <c r="C263" s="53">
        <v>1037666129</v>
      </c>
      <c r="D263" s="52">
        <v>5051422</v>
      </c>
    </row>
    <row r="264" spans="1:4" x14ac:dyDescent="0.3">
      <c r="A264" s="52" t="s">
        <v>254</v>
      </c>
      <c r="B264" s="52" t="s">
        <v>507</v>
      </c>
      <c r="C264" s="53">
        <v>1038094591</v>
      </c>
      <c r="D264" s="52"/>
    </row>
    <row r="265" spans="1:4" x14ac:dyDescent="0.3">
      <c r="A265" s="52" t="s">
        <v>508</v>
      </c>
      <c r="B265" s="52" t="s">
        <v>509</v>
      </c>
      <c r="C265" s="53">
        <v>1038334858</v>
      </c>
      <c r="D265" s="52">
        <v>5797015</v>
      </c>
    </row>
    <row r="266" spans="1:4" x14ac:dyDescent="0.3">
      <c r="A266" s="52" t="s">
        <v>510</v>
      </c>
      <c r="B266" s="52" t="s">
        <v>511</v>
      </c>
      <c r="C266" s="53">
        <v>1038803821</v>
      </c>
      <c r="D266" s="52">
        <v>8058</v>
      </c>
    </row>
    <row r="267" spans="1:4" x14ac:dyDescent="0.3">
      <c r="A267" s="52" t="s">
        <v>138</v>
      </c>
      <c r="B267" s="52" t="s">
        <v>512</v>
      </c>
      <c r="C267" s="53">
        <v>1038869296</v>
      </c>
      <c r="D267" s="52"/>
    </row>
    <row r="268" spans="1:4" x14ac:dyDescent="0.3">
      <c r="A268" s="52" t="s">
        <v>163</v>
      </c>
      <c r="B268" s="52" t="s">
        <v>513</v>
      </c>
      <c r="C268" s="53">
        <v>1039459208</v>
      </c>
      <c r="D268" s="54" t="s">
        <v>44</v>
      </c>
    </row>
    <row r="269" spans="1:4" x14ac:dyDescent="0.3">
      <c r="A269" s="52" t="s">
        <v>514</v>
      </c>
      <c r="B269" s="52" t="s">
        <v>515</v>
      </c>
      <c r="C269" s="53">
        <v>1039462076</v>
      </c>
      <c r="D269" s="52">
        <v>5417716</v>
      </c>
    </row>
    <row r="270" spans="1:4" x14ac:dyDescent="0.3">
      <c r="A270" s="52" t="s">
        <v>516</v>
      </c>
      <c r="B270" s="52" t="s">
        <v>64</v>
      </c>
      <c r="C270" s="53">
        <v>1039468823</v>
      </c>
      <c r="D270" s="52">
        <v>24060093163</v>
      </c>
    </row>
    <row r="271" spans="1:4" x14ac:dyDescent="0.3">
      <c r="A271" s="52" t="s">
        <v>517</v>
      </c>
      <c r="B271" s="52" t="s">
        <v>518</v>
      </c>
      <c r="C271" s="53">
        <v>1039469664</v>
      </c>
      <c r="D271" s="54">
        <v>5715622</v>
      </c>
    </row>
    <row r="272" spans="1:4" x14ac:dyDescent="0.3">
      <c r="A272" s="52" t="s">
        <v>519</v>
      </c>
      <c r="B272" s="52" t="s">
        <v>520</v>
      </c>
      <c r="C272" s="53">
        <v>1039685400</v>
      </c>
      <c r="D272" s="52">
        <v>26060065991</v>
      </c>
    </row>
    <row r="273" spans="1:4" x14ac:dyDescent="0.3">
      <c r="A273" s="52" t="s">
        <v>428</v>
      </c>
      <c r="B273" s="52" t="s">
        <v>521</v>
      </c>
      <c r="C273" s="53">
        <v>1040327404</v>
      </c>
      <c r="D273" s="52">
        <v>5128521</v>
      </c>
    </row>
    <row r="274" spans="1:4" x14ac:dyDescent="0.3">
      <c r="A274" s="52" t="s">
        <v>522</v>
      </c>
      <c r="B274" s="52" t="s">
        <v>523</v>
      </c>
      <c r="C274" s="53">
        <v>1040327628</v>
      </c>
      <c r="D274" s="54" t="s">
        <v>44</v>
      </c>
    </row>
    <row r="275" spans="1:4" x14ac:dyDescent="0.3">
      <c r="A275" s="52" t="s">
        <v>524</v>
      </c>
      <c r="B275" s="52" t="s">
        <v>525</v>
      </c>
      <c r="C275" s="53">
        <v>1040375333</v>
      </c>
      <c r="D275" s="54" t="s">
        <v>526</v>
      </c>
    </row>
    <row r="276" spans="1:4" x14ac:dyDescent="0.3">
      <c r="A276" s="52" t="s">
        <v>527</v>
      </c>
      <c r="B276" s="52" t="s">
        <v>528</v>
      </c>
      <c r="C276" s="53">
        <v>1040508991</v>
      </c>
      <c r="D276" s="54" t="s">
        <v>529</v>
      </c>
    </row>
    <row r="277" spans="1:4" x14ac:dyDescent="0.3">
      <c r="A277" s="52" t="s">
        <v>198</v>
      </c>
      <c r="B277" s="52" t="s">
        <v>530</v>
      </c>
      <c r="C277" s="53">
        <v>1040571586</v>
      </c>
      <c r="D277" s="54">
        <v>25060181731</v>
      </c>
    </row>
    <row r="278" spans="1:4" x14ac:dyDescent="0.3">
      <c r="A278" s="52" t="s">
        <v>531</v>
      </c>
      <c r="B278" s="52" t="s">
        <v>532</v>
      </c>
      <c r="C278" s="53">
        <v>1040730543</v>
      </c>
      <c r="D278" s="54">
        <v>25060193911</v>
      </c>
    </row>
    <row r="279" spans="1:4" x14ac:dyDescent="0.3">
      <c r="A279" s="52" t="s">
        <v>533</v>
      </c>
      <c r="B279" s="52" t="s">
        <v>534</v>
      </c>
      <c r="C279" s="53">
        <v>1040748789</v>
      </c>
      <c r="D279" s="54">
        <v>25060164136</v>
      </c>
    </row>
    <row r="280" spans="1:4" x14ac:dyDescent="0.3">
      <c r="A280" s="52" t="s">
        <v>535</v>
      </c>
      <c r="B280" s="52" t="s">
        <v>536</v>
      </c>
      <c r="C280" s="53">
        <v>1040752129</v>
      </c>
      <c r="D280" s="53">
        <v>2024060016479</v>
      </c>
    </row>
    <row r="281" spans="1:4" x14ac:dyDescent="0.3">
      <c r="A281" s="52" t="s">
        <v>537</v>
      </c>
      <c r="B281" s="52" t="s">
        <v>538</v>
      </c>
      <c r="C281" s="53">
        <v>1045050556</v>
      </c>
      <c r="D281" s="54">
        <v>5671422</v>
      </c>
    </row>
    <row r="282" spans="1:4" x14ac:dyDescent="0.3">
      <c r="A282" s="52" t="s">
        <v>539</v>
      </c>
      <c r="B282" s="52" t="s">
        <v>540</v>
      </c>
      <c r="C282" s="53">
        <v>1045107358</v>
      </c>
      <c r="D282" s="54">
        <v>5198907</v>
      </c>
    </row>
    <row r="283" spans="1:4" x14ac:dyDescent="0.3">
      <c r="A283" s="52" t="s">
        <v>541</v>
      </c>
      <c r="B283" s="52" t="s">
        <v>542</v>
      </c>
      <c r="C283" s="53">
        <v>1045113217</v>
      </c>
      <c r="D283" s="54">
        <v>5352216</v>
      </c>
    </row>
    <row r="284" spans="1:4" x14ac:dyDescent="0.3">
      <c r="A284" s="52" t="s">
        <v>543</v>
      </c>
      <c r="B284" s="52" t="s">
        <v>544</v>
      </c>
      <c r="C284" s="53">
        <v>1045427964</v>
      </c>
      <c r="D284" s="54">
        <v>25060179529</v>
      </c>
    </row>
    <row r="285" spans="1:4" x14ac:dyDescent="0.3">
      <c r="A285" s="52" t="s">
        <v>545</v>
      </c>
      <c r="B285" s="52" t="s">
        <v>546</v>
      </c>
      <c r="C285" s="55">
        <v>1045437950</v>
      </c>
      <c r="D285" s="54" t="s">
        <v>44</v>
      </c>
    </row>
    <row r="286" spans="1:4" x14ac:dyDescent="0.3">
      <c r="A286" s="52" t="s">
        <v>547</v>
      </c>
      <c r="B286" s="52" t="s">
        <v>548</v>
      </c>
      <c r="C286" s="53">
        <v>1045670290</v>
      </c>
      <c r="D286" s="54">
        <v>4230</v>
      </c>
    </row>
    <row r="287" spans="1:4" x14ac:dyDescent="0.3">
      <c r="A287" s="52" t="s">
        <v>549</v>
      </c>
      <c r="B287" s="52" t="s">
        <v>550</v>
      </c>
      <c r="C287" s="53">
        <v>1046669597</v>
      </c>
      <c r="D287" s="52"/>
    </row>
    <row r="288" spans="1:4" x14ac:dyDescent="0.3">
      <c r="A288" s="52" t="s">
        <v>551</v>
      </c>
      <c r="B288" s="52" t="s">
        <v>552</v>
      </c>
      <c r="C288" s="53">
        <v>1047382343</v>
      </c>
      <c r="D288" s="54" t="s">
        <v>44</v>
      </c>
    </row>
    <row r="289" spans="1:4" x14ac:dyDescent="0.3">
      <c r="A289" s="52" t="s">
        <v>553</v>
      </c>
      <c r="B289" s="52" t="s">
        <v>554</v>
      </c>
      <c r="C289" s="53">
        <v>1053857910</v>
      </c>
      <c r="D289" s="54">
        <v>282023</v>
      </c>
    </row>
    <row r="290" spans="1:4" x14ac:dyDescent="0.3">
      <c r="A290" s="52" t="s">
        <v>555</v>
      </c>
      <c r="B290" s="52" t="s">
        <v>556</v>
      </c>
      <c r="C290" s="53">
        <v>1067961110</v>
      </c>
      <c r="D290" s="52">
        <v>5442720</v>
      </c>
    </row>
    <row r="291" spans="1:4" x14ac:dyDescent="0.3">
      <c r="A291" s="52" t="s">
        <v>557</v>
      </c>
      <c r="B291" s="52" t="s">
        <v>558</v>
      </c>
      <c r="C291" s="53">
        <v>1072925956</v>
      </c>
      <c r="D291" s="52" t="s">
        <v>102</v>
      </c>
    </row>
    <row r="292" spans="1:4" x14ac:dyDescent="0.3">
      <c r="A292" s="52" t="s">
        <v>229</v>
      </c>
      <c r="B292" s="54" t="s">
        <v>559</v>
      </c>
      <c r="C292" s="55">
        <v>1073252722</v>
      </c>
      <c r="D292" s="54" t="s">
        <v>44</v>
      </c>
    </row>
    <row r="293" spans="1:4" x14ac:dyDescent="0.3">
      <c r="A293" s="52" t="s">
        <v>560</v>
      </c>
      <c r="B293" s="52" t="s">
        <v>561</v>
      </c>
      <c r="C293" s="53">
        <v>1075538001</v>
      </c>
      <c r="D293" s="52"/>
    </row>
    <row r="294" spans="1:4" x14ac:dyDescent="0.3">
      <c r="A294" s="52" t="s">
        <v>562</v>
      </c>
      <c r="B294" s="54" t="s">
        <v>563</v>
      </c>
      <c r="C294" s="55">
        <v>1078577501</v>
      </c>
      <c r="D294" s="54" t="s">
        <v>44</v>
      </c>
    </row>
    <row r="295" spans="1:4" x14ac:dyDescent="0.3">
      <c r="A295" s="52" t="s">
        <v>564</v>
      </c>
      <c r="B295" s="54" t="s">
        <v>565</v>
      </c>
      <c r="C295" s="53">
        <v>1085113906</v>
      </c>
      <c r="D295" s="54" t="s">
        <v>44</v>
      </c>
    </row>
    <row r="296" spans="1:4" x14ac:dyDescent="0.3">
      <c r="A296" s="52" t="s">
        <v>566</v>
      </c>
      <c r="B296" s="52" t="s">
        <v>567</v>
      </c>
      <c r="C296" s="53">
        <v>1088591916</v>
      </c>
      <c r="D296" s="54">
        <v>5696615</v>
      </c>
    </row>
    <row r="297" spans="1:4" x14ac:dyDescent="0.3">
      <c r="A297" s="52" t="s">
        <v>568</v>
      </c>
      <c r="B297" s="52" t="s">
        <v>569</v>
      </c>
      <c r="C297" s="53">
        <v>1092455217</v>
      </c>
      <c r="D297" s="54">
        <v>25060009148</v>
      </c>
    </row>
    <row r="298" spans="1:4" x14ac:dyDescent="0.3">
      <c r="A298" s="52" t="s">
        <v>570</v>
      </c>
      <c r="B298" s="52" t="s">
        <v>571</v>
      </c>
      <c r="C298" s="53">
        <v>1096210900</v>
      </c>
      <c r="D298" s="54">
        <v>5569322</v>
      </c>
    </row>
    <row r="299" spans="1:4" x14ac:dyDescent="0.3">
      <c r="A299" s="52" t="s">
        <v>572</v>
      </c>
      <c r="B299" s="52" t="s">
        <v>573</v>
      </c>
      <c r="C299" s="53">
        <v>1101385998</v>
      </c>
      <c r="D299" s="54">
        <v>5227214</v>
      </c>
    </row>
    <row r="300" spans="1:4" x14ac:dyDescent="0.3">
      <c r="A300" s="52" t="s">
        <v>574</v>
      </c>
      <c r="B300" s="52" t="s">
        <v>575</v>
      </c>
      <c r="C300" s="53">
        <v>1110529239</v>
      </c>
      <c r="D300" s="54">
        <v>5031920</v>
      </c>
    </row>
    <row r="301" spans="1:4" x14ac:dyDescent="0.3">
      <c r="A301" s="52" t="s">
        <v>576</v>
      </c>
      <c r="B301" s="54" t="s">
        <v>577</v>
      </c>
      <c r="C301" s="55">
        <v>1111342117</v>
      </c>
      <c r="D301" s="54" t="s">
        <v>44</v>
      </c>
    </row>
    <row r="302" spans="1:4" x14ac:dyDescent="0.3">
      <c r="A302" s="52" t="s">
        <v>94</v>
      </c>
      <c r="B302" s="52" t="s">
        <v>578</v>
      </c>
      <c r="C302" s="53">
        <v>1111538646</v>
      </c>
      <c r="D302" s="54" t="s">
        <v>44</v>
      </c>
    </row>
    <row r="303" spans="1:4" x14ac:dyDescent="0.3">
      <c r="A303" s="52" t="s">
        <v>579</v>
      </c>
      <c r="B303" s="52" t="s">
        <v>580</v>
      </c>
      <c r="C303" s="53">
        <v>1112786721</v>
      </c>
      <c r="D303" s="54">
        <v>5570322</v>
      </c>
    </row>
    <row r="304" spans="1:4" x14ac:dyDescent="0.3">
      <c r="A304" s="52" t="s">
        <v>581</v>
      </c>
      <c r="B304" s="54" t="s">
        <v>582</v>
      </c>
      <c r="C304" s="53">
        <v>1113669720</v>
      </c>
      <c r="D304" s="54">
        <v>5264122</v>
      </c>
    </row>
    <row r="305" spans="1:4" x14ac:dyDescent="0.3">
      <c r="A305" s="52" t="s">
        <v>583</v>
      </c>
      <c r="B305" s="52" t="s">
        <v>584</v>
      </c>
      <c r="C305" s="53">
        <v>1115070893</v>
      </c>
      <c r="D305" s="54">
        <v>7640032016</v>
      </c>
    </row>
    <row r="306" spans="1:4" x14ac:dyDescent="0.3">
      <c r="A306" s="52" t="s">
        <v>585</v>
      </c>
      <c r="B306" s="52" t="s">
        <v>586</v>
      </c>
      <c r="C306" s="53">
        <v>1115691541</v>
      </c>
      <c r="D306" s="54">
        <v>25061009713</v>
      </c>
    </row>
    <row r="307" spans="1:4" x14ac:dyDescent="0.3">
      <c r="A307" s="52" t="s">
        <v>587</v>
      </c>
      <c r="B307" s="54" t="s">
        <v>588</v>
      </c>
      <c r="C307" s="55">
        <v>1115946902</v>
      </c>
      <c r="D307" s="54" t="s">
        <v>44</v>
      </c>
    </row>
    <row r="308" spans="1:4" x14ac:dyDescent="0.3">
      <c r="A308" s="52" t="s">
        <v>589</v>
      </c>
      <c r="B308" s="54" t="s">
        <v>590</v>
      </c>
      <c r="C308" s="55">
        <v>1118559091</v>
      </c>
      <c r="D308" s="52">
        <v>547719</v>
      </c>
    </row>
    <row r="309" spans="1:4" x14ac:dyDescent="0.3">
      <c r="A309" s="52" t="s">
        <v>591</v>
      </c>
      <c r="B309" s="54" t="s">
        <v>592</v>
      </c>
      <c r="C309" s="55">
        <v>1118571413</v>
      </c>
      <c r="D309" s="54">
        <v>5601323</v>
      </c>
    </row>
    <row r="310" spans="1:4" x14ac:dyDescent="0.3">
      <c r="A310" s="52" t="s">
        <v>593</v>
      </c>
      <c r="B310" s="52" t="s">
        <v>594</v>
      </c>
      <c r="C310" s="53">
        <v>1119181802</v>
      </c>
      <c r="D310" s="52">
        <v>5180521</v>
      </c>
    </row>
    <row r="311" spans="1:4" x14ac:dyDescent="0.3">
      <c r="A311" s="52" t="s">
        <v>595</v>
      </c>
      <c r="B311" s="52" t="s">
        <v>596</v>
      </c>
      <c r="C311" s="53">
        <v>1120839269</v>
      </c>
      <c r="D311" s="52"/>
    </row>
    <row r="312" spans="1:4" x14ac:dyDescent="0.3">
      <c r="A312" s="52" t="s">
        <v>597</v>
      </c>
      <c r="B312" s="52" t="s">
        <v>598</v>
      </c>
      <c r="C312" s="53">
        <v>1121936567</v>
      </c>
      <c r="D312" s="52"/>
    </row>
    <row r="313" spans="1:4" x14ac:dyDescent="0.3">
      <c r="A313" s="52" t="s">
        <v>599</v>
      </c>
      <c r="B313" s="52" t="s">
        <v>600</v>
      </c>
      <c r="C313" s="53">
        <v>1124004179</v>
      </c>
      <c r="D313" s="52">
        <v>590</v>
      </c>
    </row>
    <row r="314" spans="1:4" x14ac:dyDescent="0.3">
      <c r="A314" s="52" t="s">
        <v>234</v>
      </c>
      <c r="B314" s="52" t="s">
        <v>601</v>
      </c>
      <c r="C314" s="53">
        <v>1128397533</v>
      </c>
      <c r="D314" s="54">
        <v>5374815</v>
      </c>
    </row>
    <row r="315" spans="1:4" x14ac:dyDescent="0.3">
      <c r="A315" s="52" t="s">
        <v>602</v>
      </c>
      <c r="B315" s="52" t="s">
        <v>603</v>
      </c>
      <c r="C315" s="53">
        <v>1128403070</v>
      </c>
      <c r="D315" s="54">
        <v>5232116</v>
      </c>
    </row>
    <row r="316" spans="1:4" x14ac:dyDescent="0.3">
      <c r="A316" s="52" t="s">
        <v>604</v>
      </c>
      <c r="B316" s="52" t="s">
        <v>605</v>
      </c>
      <c r="C316" s="53">
        <v>1128419525</v>
      </c>
      <c r="D316" s="52">
        <v>5180921</v>
      </c>
    </row>
    <row r="317" spans="1:4" x14ac:dyDescent="0.3">
      <c r="A317" s="52" t="s">
        <v>225</v>
      </c>
      <c r="B317" s="52" t="s">
        <v>606</v>
      </c>
      <c r="C317" s="53">
        <v>1128434314</v>
      </c>
      <c r="D317" s="54">
        <v>5428109</v>
      </c>
    </row>
    <row r="318" spans="1:4" x14ac:dyDescent="0.3">
      <c r="A318" s="52" t="s">
        <v>607</v>
      </c>
      <c r="B318" s="52" t="s">
        <v>608</v>
      </c>
      <c r="C318" s="53">
        <v>1128439079</v>
      </c>
      <c r="D318" s="52">
        <v>5269618</v>
      </c>
    </row>
    <row r="319" spans="1:4" x14ac:dyDescent="0.3">
      <c r="A319" s="52" t="s">
        <v>409</v>
      </c>
      <c r="B319" s="52" t="s">
        <v>609</v>
      </c>
      <c r="C319" s="53">
        <v>1146437642</v>
      </c>
      <c r="D319" s="54" t="s">
        <v>44</v>
      </c>
    </row>
    <row r="320" spans="1:4" x14ac:dyDescent="0.3">
      <c r="A320" s="52" t="s">
        <v>380</v>
      </c>
      <c r="B320" s="52" t="s">
        <v>610</v>
      </c>
      <c r="C320" s="53">
        <v>1146443718</v>
      </c>
      <c r="D320" s="52">
        <v>5117223</v>
      </c>
    </row>
    <row r="321" spans="1:4" x14ac:dyDescent="0.3">
      <c r="A321" s="52" t="s">
        <v>326</v>
      </c>
      <c r="B321" s="52" t="s">
        <v>611</v>
      </c>
      <c r="C321" s="53">
        <v>1152203332</v>
      </c>
      <c r="D321" s="54">
        <v>5056222</v>
      </c>
    </row>
    <row r="322" spans="1:4" x14ac:dyDescent="0.3">
      <c r="A322" s="52" t="s">
        <v>612</v>
      </c>
      <c r="B322" s="52" t="s">
        <v>613</v>
      </c>
      <c r="C322" s="53">
        <v>1152212652</v>
      </c>
      <c r="D322" s="52">
        <v>2024060245607</v>
      </c>
    </row>
    <row r="323" spans="1:4" x14ac:dyDescent="0.3">
      <c r="A323" s="52" t="s">
        <v>614</v>
      </c>
      <c r="B323" s="52" t="s">
        <v>615</v>
      </c>
      <c r="C323" s="53">
        <v>1152218533</v>
      </c>
      <c r="D323" s="52">
        <v>764727</v>
      </c>
    </row>
    <row r="324" spans="1:4" x14ac:dyDescent="0.3">
      <c r="A324" s="52" t="s">
        <v>616</v>
      </c>
      <c r="B324" s="52" t="s">
        <v>617</v>
      </c>
      <c r="C324" s="53">
        <v>1152219045</v>
      </c>
      <c r="D324" s="54">
        <v>24060417687</v>
      </c>
    </row>
    <row r="325" spans="1:4" x14ac:dyDescent="0.3">
      <c r="A325" s="52" t="s">
        <v>618</v>
      </c>
      <c r="B325" s="54" t="s">
        <v>619</v>
      </c>
      <c r="C325" s="55">
        <v>1152222271</v>
      </c>
      <c r="D325" s="54">
        <v>24060432051</v>
      </c>
    </row>
    <row r="326" spans="1:4" x14ac:dyDescent="0.3">
      <c r="A326" s="52" t="s">
        <v>620</v>
      </c>
      <c r="B326" s="52" t="s">
        <v>621</v>
      </c>
      <c r="C326" s="53">
        <v>1152451864</v>
      </c>
      <c r="D326" s="52">
        <v>24060019534</v>
      </c>
    </row>
    <row r="327" spans="1:4" x14ac:dyDescent="0.3">
      <c r="A327" s="52" t="s">
        <v>622</v>
      </c>
      <c r="B327" s="52" t="s">
        <v>623</v>
      </c>
      <c r="C327" s="53">
        <v>1152457708</v>
      </c>
      <c r="D327" s="54">
        <v>24060432006</v>
      </c>
    </row>
    <row r="328" spans="1:4" x14ac:dyDescent="0.3">
      <c r="A328" s="52" t="s">
        <v>624</v>
      </c>
      <c r="B328" s="52" t="s">
        <v>625</v>
      </c>
      <c r="C328" s="53">
        <v>1152465130</v>
      </c>
      <c r="D328" s="52">
        <v>25060002125</v>
      </c>
    </row>
    <row r="329" spans="1:4" x14ac:dyDescent="0.3">
      <c r="A329" s="52" t="s">
        <v>305</v>
      </c>
      <c r="B329" s="54" t="s">
        <v>626</v>
      </c>
      <c r="C329" s="55">
        <v>1152466377</v>
      </c>
      <c r="D329" s="52">
        <v>5599419</v>
      </c>
    </row>
    <row r="330" spans="1:4" x14ac:dyDescent="0.3">
      <c r="A330" s="52" t="s">
        <v>138</v>
      </c>
      <c r="B330" s="52" t="s">
        <v>627</v>
      </c>
      <c r="C330" s="53">
        <v>1152700379</v>
      </c>
      <c r="D330" s="54">
        <v>5256920</v>
      </c>
    </row>
    <row r="331" spans="1:4" x14ac:dyDescent="0.3">
      <c r="A331" s="52" t="s">
        <v>628</v>
      </c>
      <c r="B331" s="52" t="s">
        <v>629</v>
      </c>
      <c r="C331" s="53">
        <v>1152709519</v>
      </c>
      <c r="D331" s="52">
        <v>1152709519</v>
      </c>
    </row>
    <row r="332" spans="1:4" x14ac:dyDescent="0.3">
      <c r="A332" s="52" t="s">
        <v>630</v>
      </c>
      <c r="B332" s="52" t="s">
        <v>631</v>
      </c>
      <c r="C332" s="53">
        <v>1152710976</v>
      </c>
      <c r="D332" s="54">
        <v>5562516</v>
      </c>
    </row>
    <row r="333" spans="1:4" x14ac:dyDescent="0.3">
      <c r="A333" s="52" t="s">
        <v>632</v>
      </c>
      <c r="B333" s="52" t="s">
        <v>633</v>
      </c>
      <c r="C333" s="53">
        <v>1192717160</v>
      </c>
      <c r="D333" s="54" t="s">
        <v>44</v>
      </c>
    </row>
    <row r="334" spans="1:4" x14ac:dyDescent="0.3">
      <c r="A334" s="52" t="s">
        <v>634</v>
      </c>
      <c r="B334" s="54" t="s">
        <v>635</v>
      </c>
      <c r="C334" s="53">
        <v>1192815965</v>
      </c>
      <c r="D334" s="54" t="s">
        <v>44</v>
      </c>
    </row>
    <row r="335" spans="1:4" x14ac:dyDescent="0.3">
      <c r="A335" s="52" t="s">
        <v>636</v>
      </c>
      <c r="B335" s="54" t="s">
        <v>637</v>
      </c>
      <c r="C335" s="53">
        <v>1192920112</v>
      </c>
      <c r="D335" s="54" t="s">
        <v>44</v>
      </c>
    </row>
    <row r="336" spans="1:4" x14ac:dyDescent="0.3">
      <c r="A336" s="52" t="s">
        <v>638</v>
      </c>
      <c r="B336" s="52" t="s">
        <v>639</v>
      </c>
      <c r="C336" s="53">
        <v>1193290385</v>
      </c>
      <c r="D336" s="52"/>
    </row>
    <row r="337" spans="1:4" x14ac:dyDescent="0.3">
      <c r="A337" s="52" t="s">
        <v>640</v>
      </c>
      <c r="B337" s="52" t="s">
        <v>641</v>
      </c>
      <c r="C337" s="53">
        <v>1193344423</v>
      </c>
      <c r="D337" s="52"/>
    </row>
    <row r="338" spans="1:4" x14ac:dyDescent="0.3">
      <c r="A338" s="52" t="s">
        <v>642</v>
      </c>
      <c r="B338" s="52" t="s">
        <v>643</v>
      </c>
      <c r="C338" s="53">
        <v>1193401088</v>
      </c>
      <c r="D338" s="52">
        <v>3657</v>
      </c>
    </row>
    <row r="339" spans="1:4" x14ac:dyDescent="0.3">
      <c r="A339" s="52" t="s">
        <v>132</v>
      </c>
      <c r="B339" s="54" t="s">
        <v>644</v>
      </c>
      <c r="C339" s="55">
        <v>1193520287</v>
      </c>
      <c r="D339" s="54" t="s">
        <v>44</v>
      </c>
    </row>
    <row r="340" spans="1:4" x14ac:dyDescent="0.3">
      <c r="A340" s="52" t="s">
        <v>645</v>
      </c>
      <c r="B340" s="52" t="s">
        <v>646</v>
      </c>
      <c r="C340" s="53">
        <v>1193529876</v>
      </c>
      <c r="D340" s="52">
        <v>5260720</v>
      </c>
    </row>
    <row r="341" spans="1:4" x14ac:dyDescent="0.3">
      <c r="A341" s="52" t="s">
        <v>647</v>
      </c>
      <c r="B341" s="52" t="s">
        <v>648</v>
      </c>
      <c r="C341" s="53">
        <v>1193597565</v>
      </c>
      <c r="D341" s="54">
        <v>5358722</v>
      </c>
    </row>
    <row r="342" spans="1:4" x14ac:dyDescent="0.3">
      <c r="A342" s="52" t="s">
        <v>649</v>
      </c>
      <c r="B342" s="52" t="s">
        <v>650</v>
      </c>
      <c r="C342" s="53">
        <v>1194405964</v>
      </c>
      <c r="D342" s="52"/>
    </row>
    <row r="343" spans="1:4" x14ac:dyDescent="0.3">
      <c r="A343" s="52" t="s">
        <v>651</v>
      </c>
      <c r="B343" s="52" t="s">
        <v>652</v>
      </c>
      <c r="C343" s="53">
        <v>1214722611</v>
      </c>
      <c r="D343" s="54">
        <v>19057</v>
      </c>
    </row>
    <row r="344" spans="1:4" x14ac:dyDescent="0.3">
      <c r="A344" s="52" t="s">
        <v>653</v>
      </c>
      <c r="B344" s="52" t="s">
        <v>654</v>
      </c>
      <c r="C344" s="53">
        <v>1214734374</v>
      </c>
      <c r="D344" s="54">
        <v>5184321</v>
      </c>
    </row>
    <row r="345" spans="1:4" x14ac:dyDescent="0.3">
      <c r="A345" s="52" t="s">
        <v>655</v>
      </c>
      <c r="B345" s="52" t="s">
        <v>656</v>
      </c>
      <c r="C345" s="53">
        <v>1216724894</v>
      </c>
      <c r="D345" s="54">
        <v>1216724894</v>
      </c>
    </row>
    <row r="346" spans="1:4" x14ac:dyDescent="0.3">
      <c r="A346" s="52" t="s">
        <v>34</v>
      </c>
      <c r="B346" s="52" t="s">
        <v>657</v>
      </c>
      <c r="C346" s="53">
        <v>1216725691</v>
      </c>
      <c r="D346" s="52"/>
    </row>
    <row r="347" spans="1:4" x14ac:dyDescent="0.3">
      <c r="A347" s="52" t="s">
        <v>658</v>
      </c>
      <c r="B347" s="52" t="s">
        <v>487</v>
      </c>
      <c r="C347" s="53">
        <v>1216728020</v>
      </c>
      <c r="D347" s="52">
        <v>5129521</v>
      </c>
    </row>
    <row r="348" spans="1:4" x14ac:dyDescent="0.3">
      <c r="A348" s="52" t="s">
        <v>659</v>
      </c>
      <c r="B348" s="52" t="s">
        <v>660</v>
      </c>
      <c r="C348" s="53">
        <v>1233903367</v>
      </c>
      <c r="D348" s="52" t="s">
        <v>44</v>
      </c>
    </row>
    <row r="349" spans="1:4" x14ac:dyDescent="0.3">
      <c r="A349" s="52"/>
      <c r="B349" s="52"/>
      <c r="C349" s="53"/>
      <c r="D349" s="52"/>
    </row>
    <row r="350" spans="1:4" x14ac:dyDescent="0.3">
      <c r="A350" s="52"/>
      <c r="B350" s="52"/>
      <c r="C350" s="53"/>
      <c r="D350" s="52"/>
    </row>
    <row r="351" spans="1:4" x14ac:dyDescent="0.3">
      <c r="A351" s="52"/>
      <c r="B351" s="52"/>
      <c r="C351" s="53"/>
      <c r="D351" s="52"/>
    </row>
    <row r="352" spans="1:4" x14ac:dyDescent="0.3">
      <c r="A352" s="52"/>
      <c r="B352" s="52"/>
      <c r="C352" s="53"/>
      <c r="D352" s="52"/>
    </row>
    <row r="353" spans="1:4" x14ac:dyDescent="0.3">
      <c r="A353" s="52"/>
      <c r="B353" s="52"/>
      <c r="C353" s="53"/>
      <c r="D353" s="52"/>
    </row>
    <row r="354" spans="1:4" x14ac:dyDescent="0.3">
      <c r="A354" s="52"/>
      <c r="B354" s="52"/>
      <c r="C354" s="53"/>
      <c r="D354" s="52"/>
    </row>
    <row r="355" spans="1:4" x14ac:dyDescent="0.3">
      <c r="A355" s="52"/>
      <c r="B355" s="52"/>
      <c r="C355" s="53"/>
      <c r="D355" s="52"/>
    </row>
    <row r="356" spans="1:4" x14ac:dyDescent="0.3">
      <c r="A356" s="52"/>
      <c r="B356" s="52"/>
      <c r="C356" s="53"/>
      <c r="D356" s="52"/>
    </row>
    <row r="357" spans="1:4" x14ac:dyDescent="0.3">
      <c r="A357" s="52"/>
      <c r="B357" s="52"/>
      <c r="C357" s="53"/>
      <c r="D357" s="52"/>
    </row>
    <row r="358" spans="1:4" x14ac:dyDescent="0.3">
      <c r="A358" s="4"/>
      <c r="B358" s="4"/>
      <c r="C358" s="69"/>
      <c r="D358" s="4"/>
    </row>
    <row r="359" spans="1:4" x14ac:dyDescent="0.3">
      <c r="A359" s="4"/>
      <c r="B359" s="4"/>
      <c r="C359" s="69"/>
      <c r="D359" s="4"/>
    </row>
    <row r="360" spans="1:4" x14ac:dyDescent="0.3">
      <c r="A360" s="4"/>
      <c r="B360" s="4"/>
      <c r="C360" s="69"/>
      <c r="D360" s="4"/>
    </row>
    <row r="361" spans="1:4" x14ac:dyDescent="0.3">
      <c r="A361" s="4"/>
      <c r="B361" s="4"/>
      <c r="C361" s="69"/>
      <c r="D361" s="4"/>
    </row>
    <row r="362" spans="1:4" x14ac:dyDescent="0.3">
      <c r="A362" s="4"/>
      <c r="B362" s="4"/>
      <c r="C362" s="69"/>
      <c r="D362" s="4"/>
    </row>
    <row r="363" spans="1:4" x14ac:dyDescent="0.3">
      <c r="A363" s="4"/>
      <c r="B363" s="4"/>
      <c r="C363" s="69"/>
      <c r="D363" s="4"/>
    </row>
    <row r="364" spans="1:4" x14ac:dyDescent="0.3">
      <c r="A364" s="4"/>
      <c r="B364" s="4"/>
      <c r="C364" s="69"/>
      <c r="D364" s="4"/>
    </row>
    <row r="365" spans="1:4" x14ac:dyDescent="0.3">
      <c r="A365" s="4"/>
      <c r="B365" s="4"/>
      <c r="C365" s="69"/>
      <c r="D365" s="4"/>
    </row>
    <row r="366" spans="1:4" x14ac:dyDescent="0.3">
      <c r="A366" s="4"/>
      <c r="B366" s="4"/>
      <c r="C366" s="69"/>
      <c r="D366" s="4"/>
    </row>
    <row r="367" spans="1:4" x14ac:dyDescent="0.3">
      <c r="A367" s="4"/>
      <c r="B367" s="4"/>
      <c r="C367" s="69"/>
      <c r="D367" s="4"/>
    </row>
    <row r="368" spans="1:4" x14ac:dyDescent="0.3">
      <c r="A368" s="4"/>
      <c r="B368" s="4"/>
      <c r="C368" s="69"/>
      <c r="D368" s="4"/>
    </row>
    <row r="369" spans="1:4" x14ac:dyDescent="0.3">
      <c r="A369" s="4"/>
      <c r="B369" s="4"/>
      <c r="C369" s="69"/>
      <c r="D369" s="4"/>
    </row>
    <row r="370" spans="1:4" x14ac:dyDescent="0.3">
      <c r="A370" s="4"/>
      <c r="B370" s="4"/>
      <c r="C370" s="69"/>
      <c r="D370" s="4"/>
    </row>
    <row r="371" spans="1:4" x14ac:dyDescent="0.3">
      <c r="A371" s="4"/>
      <c r="B371" s="4"/>
      <c r="C371" s="69"/>
      <c r="D371" s="4"/>
    </row>
    <row r="372" spans="1:4" x14ac:dyDescent="0.3">
      <c r="A372" s="4"/>
      <c r="B372" s="4"/>
      <c r="C372" s="69"/>
      <c r="D372" s="4"/>
    </row>
    <row r="373" spans="1:4" x14ac:dyDescent="0.3">
      <c r="A373" s="4"/>
      <c r="B373" s="4"/>
      <c r="C373" s="69"/>
      <c r="D373" s="4"/>
    </row>
    <row r="374" spans="1:4" x14ac:dyDescent="0.3">
      <c r="A374" s="4"/>
      <c r="B374" s="4"/>
      <c r="C374" s="69"/>
      <c r="D374" s="4"/>
    </row>
    <row r="375" spans="1:4" x14ac:dyDescent="0.3">
      <c r="A375" s="4"/>
      <c r="B375" s="4"/>
      <c r="C375" s="69"/>
      <c r="D375" s="4"/>
    </row>
    <row r="376" spans="1:4" x14ac:dyDescent="0.3">
      <c r="A376" s="4"/>
      <c r="B376" s="4"/>
      <c r="C376" s="69"/>
      <c r="D376" s="4"/>
    </row>
    <row r="377" spans="1:4" x14ac:dyDescent="0.3">
      <c r="A377" s="4"/>
      <c r="B377" s="4"/>
      <c r="C377" s="69"/>
      <c r="D377" s="4"/>
    </row>
    <row r="378" spans="1:4" x14ac:dyDescent="0.3">
      <c r="A378" s="4"/>
      <c r="B378" s="4"/>
      <c r="C378" s="69"/>
      <c r="D378" s="4"/>
    </row>
    <row r="379" spans="1:4" x14ac:dyDescent="0.3">
      <c r="A379" s="4"/>
      <c r="B379" s="4"/>
      <c r="C379" s="69"/>
      <c r="D379" s="4"/>
    </row>
    <row r="380" spans="1:4" x14ac:dyDescent="0.3">
      <c r="A380" s="4"/>
      <c r="B380" s="4"/>
      <c r="C380" s="69"/>
      <c r="D380" s="4"/>
    </row>
    <row r="381" spans="1:4" x14ac:dyDescent="0.3">
      <c r="A381" s="4"/>
      <c r="B381" s="4"/>
      <c r="C381" s="69"/>
      <c r="D381" s="4"/>
    </row>
    <row r="382" spans="1:4" x14ac:dyDescent="0.3">
      <c r="A382" s="4"/>
      <c r="B382" s="4"/>
      <c r="C382" s="69"/>
      <c r="D382" s="4"/>
    </row>
    <row r="383" spans="1:4" x14ac:dyDescent="0.3">
      <c r="A383" s="4"/>
      <c r="B383" s="4"/>
      <c r="C383" s="69"/>
      <c r="D383" s="4"/>
    </row>
    <row r="384" spans="1:4" x14ac:dyDescent="0.3">
      <c r="A384" s="4"/>
      <c r="B384" s="4"/>
      <c r="C384" s="69"/>
      <c r="D384" s="4"/>
    </row>
    <row r="385" spans="1:4" x14ac:dyDescent="0.3">
      <c r="A385" s="4"/>
      <c r="B385" s="4"/>
      <c r="C385" s="69"/>
      <c r="D385" s="4"/>
    </row>
    <row r="386" spans="1:4" x14ac:dyDescent="0.3">
      <c r="A386" s="4"/>
      <c r="B386" s="4"/>
      <c r="C386" s="69"/>
      <c r="D386" s="4"/>
    </row>
    <row r="387" spans="1:4" x14ac:dyDescent="0.3">
      <c r="A387" s="4"/>
      <c r="B387" s="4"/>
      <c r="C387" s="69"/>
      <c r="D387" s="4"/>
    </row>
    <row r="388" spans="1:4" x14ac:dyDescent="0.3">
      <c r="A388" s="4"/>
      <c r="B388" s="4"/>
      <c r="C388" s="69"/>
      <c r="D388" s="4"/>
    </row>
    <row r="389" spans="1:4" x14ac:dyDescent="0.3">
      <c r="A389" s="4"/>
      <c r="B389" s="4"/>
      <c r="C389" s="69"/>
      <c r="D389" s="4"/>
    </row>
    <row r="390" spans="1:4" x14ac:dyDescent="0.3">
      <c r="A390" s="4"/>
      <c r="B390" s="4"/>
      <c r="C390" s="69"/>
      <c r="D390" s="4"/>
    </row>
    <row r="391" spans="1:4" x14ac:dyDescent="0.3">
      <c r="A391" s="4"/>
      <c r="B391" s="4"/>
      <c r="C391" s="69"/>
      <c r="D391" s="4"/>
    </row>
    <row r="392" spans="1:4" x14ac:dyDescent="0.3">
      <c r="A392" s="4"/>
      <c r="B392" s="4"/>
      <c r="C392" s="69"/>
      <c r="D392" s="4"/>
    </row>
    <row r="393" spans="1:4" x14ac:dyDescent="0.3">
      <c r="A393" s="4"/>
      <c r="B393" s="4"/>
      <c r="C393" s="69"/>
      <c r="D393" s="4"/>
    </row>
    <row r="394" spans="1:4" x14ac:dyDescent="0.3">
      <c r="A394" s="4"/>
      <c r="B394" s="4"/>
      <c r="C394" s="69"/>
      <c r="D394" s="4"/>
    </row>
    <row r="395" spans="1:4" x14ac:dyDescent="0.3">
      <c r="A395" s="4"/>
      <c r="B395" s="4"/>
      <c r="C395" s="69"/>
      <c r="D395" s="4"/>
    </row>
    <row r="396" spans="1:4" x14ac:dyDescent="0.3">
      <c r="A396" s="4"/>
      <c r="B396" s="4"/>
      <c r="C396" s="69"/>
      <c r="D396" s="4"/>
    </row>
    <row r="397" spans="1:4" x14ac:dyDescent="0.3">
      <c r="A397" s="4"/>
      <c r="B397" s="4"/>
      <c r="C397" s="69"/>
      <c r="D397" s="4"/>
    </row>
    <row r="398" spans="1:4" x14ac:dyDescent="0.3">
      <c r="A398" s="4"/>
      <c r="B398" s="4"/>
      <c r="C398" s="69"/>
      <c r="D398" s="4"/>
    </row>
    <row r="399" spans="1:4" x14ac:dyDescent="0.3">
      <c r="A399" s="4"/>
      <c r="B399" s="4"/>
      <c r="C399" s="69"/>
      <c r="D399" s="4"/>
    </row>
    <row r="400" spans="1:4" x14ac:dyDescent="0.3">
      <c r="A400" s="4"/>
      <c r="B400" s="4"/>
      <c r="C400" s="69"/>
      <c r="D400" s="4"/>
    </row>
    <row r="401" spans="1:4" x14ac:dyDescent="0.3">
      <c r="A401" s="4"/>
      <c r="B401" s="4"/>
      <c r="C401" s="69"/>
      <c r="D401" s="4"/>
    </row>
    <row r="402" spans="1:4" x14ac:dyDescent="0.3">
      <c r="A402" s="4"/>
      <c r="B402" s="4"/>
      <c r="C402" s="69"/>
      <c r="D402" s="4"/>
    </row>
    <row r="403" spans="1:4" x14ac:dyDescent="0.3">
      <c r="A403" s="4"/>
      <c r="B403" s="4"/>
      <c r="C403" s="69"/>
      <c r="D403" s="4"/>
    </row>
    <row r="404" spans="1:4" x14ac:dyDescent="0.3">
      <c r="A404" s="4"/>
      <c r="B404" s="4"/>
      <c r="C404" s="69"/>
      <c r="D404" s="4"/>
    </row>
    <row r="405" spans="1:4" x14ac:dyDescent="0.3">
      <c r="A405" s="4"/>
      <c r="B405" s="4"/>
      <c r="C405" s="69"/>
      <c r="D405" s="4"/>
    </row>
    <row r="406" spans="1:4" x14ac:dyDescent="0.3">
      <c r="A406" s="4"/>
      <c r="B406" s="4"/>
      <c r="C406" s="69"/>
      <c r="D406" s="4"/>
    </row>
    <row r="407" spans="1:4" x14ac:dyDescent="0.3">
      <c r="A407" s="4"/>
      <c r="B407" s="4"/>
      <c r="C407" s="69"/>
      <c r="D407" s="4"/>
    </row>
    <row r="408" spans="1:4" x14ac:dyDescent="0.3">
      <c r="A408" s="4"/>
      <c r="B408" s="4"/>
      <c r="C408" s="69"/>
      <c r="D408" s="4"/>
    </row>
    <row r="409" spans="1:4" x14ac:dyDescent="0.3">
      <c r="A409" s="4"/>
      <c r="B409" s="4"/>
      <c r="C409" s="69"/>
      <c r="D409" s="4"/>
    </row>
    <row r="410" spans="1:4" x14ac:dyDescent="0.3">
      <c r="A410" s="4"/>
      <c r="B410" s="4"/>
      <c r="C410" s="69"/>
      <c r="D410" s="4"/>
    </row>
    <row r="411" spans="1:4" x14ac:dyDescent="0.3">
      <c r="A411" s="4"/>
      <c r="B411" s="4"/>
      <c r="C411" s="69"/>
      <c r="D411" s="4"/>
    </row>
    <row r="412" spans="1:4" x14ac:dyDescent="0.3">
      <c r="A412" s="4"/>
      <c r="B412" s="4"/>
      <c r="C412" s="69"/>
      <c r="D412" s="4"/>
    </row>
    <row r="413" spans="1:4" x14ac:dyDescent="0.3">
      <c r="A413" s="4"/>
      <c r="B413" s="4"/>
      <c r="C413" s="69"/>
      <c r="D413" s="4"/>
    </row>
    <row r="414" spans="1:4" x14ac:dyDescent="0.3">
      <c r="A414" s="4"/>
      <c r="B414" s="4"/>
      <c r="C414" s="69"/>
      <c r="D414" s="4"/>
    </row>
    <row r="415" spans="1:4" x14ac:dyDescent="0.3">
      <c r="A415" s="4"/>
      <c r="B415" s="4"/>
      <c r="C415" s="69"/>
      <c r="D415" s="4"/>
    </row>
    <row r="416" spans="1:4" x14ac:dyDescent="0.3">
      <c r="A416" s="4"/>
      <c r="B416" s="4"/>
      <c r="C416" s="69"/>
      <c r="D416" s="4"/>
    </row>
    <row r="417" spans="1:4" x14ac:dyDescent="0.3">
      <c r="A417" s="4"/>
      <c r="B417" s="4"/>
      <c r="C417" s="69"/>
      <c r="D417" s="4"/>
    </row>
    <row r="418" spans="1:4" x14ac:dyDescent="0.3">
      <c r="A418" s="4"/>
      <c r="B418" s="4"/>
      <c r="C418" s="69"/>
      <c r="D418" s="4"/>
    </row>
    <row r="419" spans="1:4" x14ac:dyDescent="0.3">
      <c r="A419" s="4"/>
      <c r="B419" s="4"/>
      <c r="C419" s="69"/>
      <c r="D419" s="4"/>
    </row>
    <row r="420" spans="1:4" x14ac:dyDescent="0.3">
      <c r="A420" s="4"/>
      <c r="B420" s="4"/>
      <c r="C420" s="69"/>
      <c r="D420" s="4"/>
    </row>
    <row r="421" spans="1:4" x14ac:dyDescent="0.3">
      <c r="A421" s="4"/>
      <c r="B421" s="4"/>
      <c r="C421" s="69"/>
      <c r="D421" s="4"/>
    </row>
    <row r="422" spans="1:4" x14ac:dyDescent="0.3">
      <c r="A422" s="4"/>
      <c r="B422" s="4"/>
      <c r="C422" s="69"/>
      <c r="D422" s="4"/>
    </row>
    <row r="423" spans="1:4" x14ac:dyDescent="0.3">
      <c r="A423" s="4"/>
      <c r="B423" s="4"/>
      <c r="C423" s="69"/>
      <c r="D423" s="4"/>
    </row>
    <row r="424" spans="1:4" x14ac:dyDescent="0.3">
      <c r="A424" s="4"/>
      <c r="B424" s="4"/>
      <c r="C424" s="69"/>
      <c r="D424" s="4"/>
    </row>
    <row r="425" spans="1:4" x14ac:dyDescent="0.3">
      <c r="A425" s="4"/>
      <c r="B425" s="4"/>
      <c r="C425" s="69"/>
      <c r="D425" s="4"/>
    </row>
    <row r="426" spans="1:4" x14ac:dyDescent="0.3">
      <c r="A426" s="4"/>
      <c r="B426" s="4"/>
      <c r="C426" s="69"/>
      <c r="D426" s="4"/>
    </row>
    <row r="427" spans="1:4" x14ac:dyDescent="0.3">
      <c r="A427" s="4"/>
      <c r="B427" s="4"/>
      <c r="C427" s="69"/>
      <c r="D427" s="4"/>
    </row>
    <row r="428" spans="1:4" x14ac:dyDescent="0.3">
      <c r="A428" s="4"/>
      <c r="B428" s="4"/>
      <c r="C428" s="69"/>
      <c r="D428" s="4"/>
    </row>
    <row r="429" spans="1:4" x14ac:dyDescent="0.3">
      <c r="A429" s="4"/>
      <c r="B429" s="4"/>
      <c r="C429" s="69"/>
      <c r="D429" s="4"/>
    </row>
    <row r="430" spans="1:4" x14ac:dyDescent="0.3">
      <c r="A430" s="4"/>
      <c r="B430" s="4"/>
      <c r="C430" s="69"/>
      <c r="D430" s="4"/>
    </row>
    <row r="431" spans="1:4" x14ac:dyDescent="0.3">
      <c r="A431" s="4"/>
      <c r="B431" s="4"/>
      <c r="C431" s="69"/>
      <c r="D431" s="4"/>
    </row>
    <row r="432" spans="1:4" x14ac:dyDescent="0.3">
      <c r="A432" s="4"/>
      <c r="B432" s="4"/>
      <c r="C432" s="69"/>
      <c r="D432" s="4"/>
    </row>
    <row r="433" spans="1:4" x14ac:dyDescent="0.3">
      <c r="A433" s="4"/>
      <c r="B433" s="4"/>
      <c r="C433" s="69"/>
      <c r="D433" s="4"/>
    </row>
    <row r="434" spans="1:4" x14ac:dyDescent="0.3">
      <c r="A434" s="4"/>
      <c r="B434" s="4"/>
      <c r="C434" s="69"/>
      <c r="D434" s="4"/>
    </row>
    <row r="435" spans="1:4" x14ac:dyDescent="0.3">
      <c r="A435" s="4"/>
      <c r="B435" s="4"/>
      <c r="C435" s="69"/>
      <c r="D435" s="4"/>
    </row>
    <row r="436" spans="1:4" x14ac:dyDescent="0.3">
      <c r="A436" s="4"/>
      <c r="B436" s="4"/>
      <c r="C436" s="69"/>
      <c r="D436" s="4"/>
    </row>
    <row r="437" spans="1:4" x14ac:dyDescent="0.3">
      <c r="A437" s="4"/>
      <c r="B437" s="4"/>
      <c r="C437" s="69"/>
      <c r="D437" s="4"/>
    </row>
    <row r="438" spans="1:4" x14ac:dyDescent="0.3">
      <c r="A438" s="4"/>
      <c r="B438" s="4"/>
      <c r="C438" s="69"/>
      <c r="D438" s="4"/>
    </row>
    <row r="439" spans="1:4" x14ac:dyDescent="0.3">
      <c r="A439" s="4"/>
      <c r="B439" s="4"/>
      <c r="C439" s="69"/>
      <c r="D439" s="4"/>
    </row>
    <row r="440" spans="1:4" x14ac:dyDescent="0.3">
      <c r="A440" s="4"/>
      <c r="B440" s="4"/>
      <c r="C440" s="69"/>
      <c r="D440" s="4"/>
    </row>
    <row r="441" spans="1:4" x14ac:dyDescent="0.3">
      <c r="A441" s="4"/>
      <c r="B441" s="4"/>
      <c r="C441" s="69"/>
      <c r="D441" s="4"/>
    </row>
    <row r="442" spans="1:4" x14ac:dyDescent="0.3">
      <c r="A442" s="4"/>
      <c r="B442" s="4"/>
      <c r="C442" s="69"/>
      <c r="D442" s="4"/>
    </row>
    <row r="443" spans="1:4" x14ac:dyDescent="0.3">
      <c r="A443" s="4"/>
      <c r="B443" s="4"/>
      <c r="C443" s="69"/>
      <c r="D443" s="4"/>
    </row>
    <row r="444" spans="1:4" x14ac:dyDescent="0.3">
      <c r="A444" s="4"/>
      <c r="B444" s="4"/>
      <c r="C444" s="69"/>
      <c r="D444" s="4"/>
    </row>
    <row r="445" spans="1:4" x14ac:dyDescent="0.3">
      <c r="A445" s="4"/>
      <c r="B445" s="4"/>
      <c r="C445" s="69"/>
      <c r="D445" s="4"/>
    </row>
    <row r="446" spans="1:4" x14ac:dyDescent="0.3">
      <c r="A446" s="4"/>
      <c r="B446" s="4"/>
      <c r="C446" s="69"/>
      <c r="D446" s="4"/>
    </row>
    <row r="447" spans="1:4" x14ac:dyDescent="0.3">
      <c r="A447" s="4"/>
      <c r="B447" s="4"/>
      <c r="C447" s="69"/>
      <c r="D447" s="4"/>
    </row>
    <row r="448" spans="1:4" x14ac:dyDescent="0.3">
      <c r="A448" s="4"/>
      <c r="B448" s="4"/>
      <c r="C448" s="69"/>
      <c r="D448" s="4"/>
    </row>
    <row r="449" spans="1:4" x14ac:dyDescent="0.3">
      <c r="A449" s="4"/>
      <c r="B449" s="4"/>
      <c r="C449" s="69"/>
      <c r="D449" s="4"/>
    </row>
    <row r="450" spans="1:4" x14ac:dyDescent="0.3">
      <c r="A450" s="4"/>
      <c r="B450" s="4"/>
      <c r="C450" s="69"/>
      <c r="D450" s="4"/>
    </row>
    <row r="451" spans="1:4" x14ac:dyDescent="0.3">
      <c r="A451" s="4"/>
      <c r="B451" s="4"/>
      <c r="C451" s="69"/>
      <c r="D451" s="4"/>
    </row>
    <row r="452" spans="1:4" x14ac:dyDescent="0.3">
      <c r="A452" s="4"/>
      <c r="B452" s="4"/>
      <c r="C452" s="69"/>
      <c r="D452" s="4"/>
    </row>
    <row r="453" spans="1:4" x14ac:dyDescent="0.3">
      <c r="A453" s="4"/>
      <c r="B453" s="4"/>
      <c r="C453" s="69"/>
      <c r="D453" s="4"/>
    </row>
    <row r="454" spans="1:4" x14ac:dyDescent="0.3">
      <c r="A454" s="4"/>
      <c r="B454" s="4"/>
      <c r="C454" s="69"/>
      <c r="D454" s="4"/>
    </row>
    <row r="455" spans="1:4" x14ac:dyDescent="0.3">
      <c r="A455" s="4"/>
      <c r="B455" s="4"/>
      <c r="C455" s="69"/>
      <c r="D455" s="4"/>
    </row>
    <row r="456" spans="1:4" x14ac:dyDescent="0.3">
      <c r="A456" s="4"/>
      <c r="B456" s="4"/>
      <c r="C456" s="69"/>
      <c r="D456" s="4"/>
    </row>
    <row r="457" spans="1:4" x14ac:dyDescent="0.3">
      <c r="A457" s="4"/>
      <c r="B457" s="4"/>
      <c r="C457" s="69"/>
      <c r="D457" s="4"/>
    </row>
    <row r="458" spans="1:4" x14ac:dyDescent="0.3">
      <c r="A458" s="4"/>
      <c r="B458" s="4"/>
      <c r="C458" s="69"/>
      <c r="D458" s="4"/>
    </row>
    <row r="459" spans="1:4" x14ac:dyDescent="0.3">
      <c r="A459" s="4"/>
      <c r="B459" s="4"/>
      <c r="C459" s="69"/>
      <c r="D459" s="4"/>
    </row>
    <row r="460" spans="1:4" x14ac:dyDescent="0.3">
      <c r="A460" s="4"/>
      <c r="B460" s="4"/>
      <c r="C460" s="69"/>
      <c r="D460" s="4"/>
    </row>
    <row r="461" spans="1:4" x14ac:dyDescent="0.3">
      <c r="A461" s="4"/>
      <c r="B461" s="4"/>
      <c r="C461" s="69"/>
      <c r="D461" s="4"/>
    </row>
    <row r="462" spans="1:4" x14ac:dyDescent="0.3">
      <c r="A462" s="4"/>
      <c r="B462" s="4"/>
      <c r="C462" s="69"/>
      <c r="D462" s="4"/>
    </row>
    <row r="463" spans="1:4" x14ac:dyDescent="0.3">
      <c r="A463" s="4"/>
      <c r="B463" s="4"/>
      <c r="C463" s="69"/>
      <c r="D463" s="4"/>
    </row>
    <row r="464" spans="1:4" x14ac:dyDescent="0.3">
      <c r="A464" s="4"/>
      <c r="B464" s="4"/>
      <c r="C464" s="69"/>
      <c r="D464" s="4"/>
    </row>
    <row r="465" spans="1:4" x14ac:dyDescent="0.3">
      <c r="A465" s="4"/>
      <c r="B465" s="4"/>
      <c r="C465" s="69"/>
      <c r="D465" s="4"/>
    </row>
    <row r="466" spans="1:4" x14ac:dyDescent="0.3">
      <c r="A466" s="4"/>
      <c r="B466" s="4"/>
      <c r="C466" s="69"/>
      <c r="D466" s="4"/>
    </row>
    <row r="467" spans="1:4" x14ac:dyDescent="0.3">
      <c r="A467" s="4"/>
      <c r="B467" s="4"/>
      <c r="C467" s="69"/>
      <c r="D467" s="4"/>
    </row>
    <row r="468" spans="1:4" x14ac:dyDescent="0.3">
      <c r="A468" s="4"/>
      <c r="B468" s="4"/>
      <c r="C468" s="69"/>
      <c r="D468" s="4"/>
    </row>
    <row r="469" spans="1:4" x14ac:dyDescent="0.3">
      <c r="A469" s="4"/>
      <c r="B469" s="4"/>
      <c r="C469" s="69"/>
      <c r="D469" s="4"/>
    </row>
    <row r="470" spans="1:4" x14ac:dyDescent="0.3">
      <c r="A470" s="4"/>
      <c r="B470" s="4"/>
      <c r="C470" s="69"/>
      <c r="D470" s="4"/>
    </row>
    <row r="471" spans="1:4" x14ac:dyDescent="0.3">
      <c r="A471" s="4"/>
      <c r="B471" s="4"/>
      <c r="C471" s="69"/>
      <c r="D471" s="4"/>
    </row>
    <row r="472" spans="1:4" x14ac:dyDescent="0.3">
      <c r="A472" s="4"/>
      <c r="B472" s="4"/>
      <c r="C472" s="69"/>
      <c r="D472" s="4"/>
    </row>
    <row r="473" spans="1:4" x14ac:dyDescent="0.3">
      <c r="A473" s="4"/>
      <c r="B473" s="4"/>
      <c r="C473" s="69"/>
      <c r="D473" s="4"/>
    </row>
    <row r="474" spans="1:4" x14ac:dyDescent="0.3">
      <c r="A474" s="4"/>
      <c r="B474" s="4"/>
      <c r="C474" s="69"/>
      <c r="D474" s="4"/>
    </row>
    <row r="475" spans="1:4" x14ac:dyDescent="0.3">
      <c r="A475" s="4"/>
      <c r="B475" s="4"/>
      <c r="C475" s="69"/>
      <c r="D475" s="4"/>
    </row>
    <row r="476" spans="1:4" x14ac:dyDescent="0.3">
      <c r="A476" s="4"/>
      <c r="B476" s="4"/>
      <c r="C476" s="69"/>
      <c r="D476" s="4"/>
    </row>
    <row r="477" spans="1:4" x14ac:dyDescent="0.3">
      <c r="A477" s="4"/>
      <c r="B477" s="4"/>
      <c r="C477" s="69"/>
      <c r="D477" s="4"/>
    </row>
    <row r="478" spans="1:4" x14ac:dyDescent="0.3">
      <c r="A478" s="4"/>
      <c r="B478" s="4"/>
      <c r="C478" s="69"/>
      <c r="D478" s="4"/>
    </row>
    <row r="479" spans="1:4" x14ac:dyDescent="0.3">
      <c r="A479" s="4"/>
      <c r="B479" s="4"/>
      <c r="C479" s="69"/>
      <c r="D479" s="4"/>
    </row>
    <row r="480" spans="1:4" x14ac:dyDescent="0.3">
      <c r="A480" s="4"/>
      <c r="B480" s="4"/>
      <c r="C480" s="69"/>
      <c r="D480" s="4"/>
    </row>
    <row r="481" spans="1:4" x14ac:dyDescent="0.3">
      <c r="A481" s="4"/>
      <c r="B481" s="4"/>
      <c r="C481" s="69"/>
      <c r="D481" s="4"/>
    </row>
    <row r="482" spans="1:4" x14ac:dyDescent="0.3">
      <c r="A482" s="4"/>
      <c r="B482" s="4"/>
      <c r="C482" s="69"/>
      <c r="D482" s="4"/>
    </row>
    <row r="483" spans="1:4" x14ac:dyDescent="0.3">
      <c r="A483" s="4"/>
      <c r="B483" s="4"/>
      <c r="C483" s="69"/>
      <c r="D483" s="4"/>
    </row>
    <row r="484" spans="1:4" x14ac:dyDescent="0.3">
      <c r="A484" s="4"/>
      <c r="B484" s="4"/>
      <c r="C484" s="69"/>
      <c r="D484" s="4"/>
    </row>
    <row r="485" spans="1:4" x14ac:dyDescent="0.3">
      <c r="A485" s="4"/>
      <c r="B485" s="4"/>
      <c r="C485" s="69"/>
      <c r="D485" s="4"/>
    </row>
    <row r="486" spans="1:4" x14ac:dyDescent="0.3">
      <c r="A486" s="4"/>
      <c r="B486" s="4"/>
      <c r="C486" s="69"/>
      <c r="D486" s="4"/>
    </row>
    <row r="487" spans="1:4" x14ac:dyDescent="0.3">
      <c r="A487" s="4"/>
      <c r="B487" s="4"/>
      <c r="C487" s="69"/>
      <c r="D487" s="4"/>
    </row>
    <row r="488" spans="1:4" x14ac:dyDescent="0.3">
      <c r="A488" s="4"/>
      <c r="B488" s="4"/>
      <c r="C488" s="69"/>
      <c r="D488" s="4"/>
    </row>
    <row r="489" spans="1:4" x14ac:dyDescent="0.3">
      <c r="A489" s="4"/>
      <c r="B489" s="4"/>
      <c r="C489" s="69"/>
      <c r="D489" s="4"/>
    </row>
    <row r="490" spans="1:4" x14ac:dyDescent="0.3">
      <c r="A490" s="4"/>
      <c r="B490" s="4"/>
      <c r="C490" s="69"/>
      <c r="D490" s="4"/>
    </row>
    <row r="491" spans="1:4" x14ac:dyDescent="0.3">
      <c r="A491" s="4"/>
      <c r="B491" s="4"/>
      <c r="C491" s="69"/>
      <c r="D491" s="4"/>
    </row>
    <row r="492" spans="1:4" x14ac:dyDescent="0.3">
      <c r="A492" s="4"/>
      <c r="B492" s="4"/>
      <c r="C492" s="69"/>
      <c r="D492" s="4"/>
    </row>
    <row r="493" spans="1:4" x14ac:dyDescent="0.3">
      <c r="A493" s="4"/>
      <c r="B493" s="4"/>
      <c r="C493" s="69"/>
      <c r="D493" s="4"/>
    </row>
    <row r="494" spans="1:4" x14ac:dyDescent="0.3">
      <c r="A494" s="4"/>
      <c r="B494" s="4"/>
      <c r="C494" s="69"/>
      <c r="D494" s="4"/>
    </row>
    <row r="495" spans="1:4" x14ac:dyDescent="0.3">
      <c r="A495" s="4"/>
      <c r="B495" s="4"/>
      <c r="C495" s="69"/>
      <c r="D495" s="4"/>
    </row>
    <row r="496" spans="1:4" x14ac:dyDescent="0.3">
      <c r="A496" s="4"/>
      <c r="B496" s="4"/>
      <c r="C496" s="69"/>
      <c r="D496" s="4"/>
    </row>
    <row r="497" spans="1:4" x14ac:dyDescent="0.3">
      <c r="A497" s="4"/>
      <c r="B497" s="4"/>
      <c r="C497" s="69"/>
      <c r="D497" s="4"/>
    </row>
    <row r="498" spans="1:4" x14ac:dyDescent="0.3">
      <c r="A498" s="4"/>
      <c r="B498" s="4"/>
      <c r="C498" s="69"/>
      <c r="D498" s="4"/>
    </row>
    <row r="499" spans="1:4" x14ac:dyDescent="0.3">
      <c r="A499" s="4"/>
      <c r="B499" s="4"/>
      <c r="C499" s="69"/>
      <c r="D499" s="4"/>
    </row>
    <row r="500" spans="1:4" x14ac:dyDescent="0.3">
      <c r="A500" s="4"/>
      <c r="B500" s="4"/>
      <c r="C500" s="69"/>
      <c r="D500" s="4"/>
    </row>
    <row r="501" spans="1:4" x14ac:dyDescent="0.3">
      <c r="A501" s="4"/>
      <c r="B501" s="4"/>
      <c r="C501" s="69"/>
      <c r="D501" s="4"/>
    </row>
    <row r="502" spans="1:4" x14ac:dyDescent="0.3">
      <c r="A502" s="4"/>
      <c r="B502" s="4"/>
      <c r="C502" s="69"/>
      <c r="D502" s="4"/>
    </row>
    <row r="503" spans="1:4" x14ac:dyDescent="0.3">
      <c r="A503" s="4"/>
      <c r="B503" s="4"/>
      <c r="C503" s="69"/>
      <c r="D503" s="4"/>
    </row>
    <row r="504" spans="1:4" x14ac:dyDescent="0.3">
      <c r="A504" s="4"/>
      <c r="B504" s="4"/>
      <c r="C504" s="69"/>
      <c r="D504" s="4"/>
    </row>
    <row r="505" spans="1:4" x14ac:dyDescent="0.3">
      <c r="A505" s="4"/>
      <c r="B505" s="4"/>
      <c r="C505" s="69"/>
      <c r="D505" s="4"/>
    </row>
    <row r="506" spans="1:4" x14ac:dyDescent="0.3">
      <c r="A506" s="4"/>
      <c r="B506" s="4"/>
      <c r="C506" s="69"/>
      <c r="D506" s="4"/>
    </row>
    <row r="507" spans="1:4" x14ac:dyDescent="0.3">
      <c r="A507" s="4"/>
      <c r="B507" s="4"/>
      <c r="C507" s="69"/>
      <c r="D507" s="4"/>
    </row>
    <row r="508" spans="1:4" x14ac:dyDescent="0.3">
      <c r="A508" s="4"/>
      <c r="B508" s="4"/>
      <c r="C508" s="69"/>
      <c r="D508" s="4"/>
    </row>
    <row r="509" spans="1:4" x14ac:dyDescent="0.3">
      <c r="A509" s="4"/>
      <c r="B509" s="4"/>
      <c r="C509" s="69"/>
      <c r="D509" s="4"/>
    </row>
    <row r="510" spans="1:4" x14ac:dyDescent="0.3">
      <c r="A510" s="4"/>
      <c r="B510" s="4"/>
      <c r="C510" s="69"/>
      <c r="D510" s="4"/>
    </row>
    <row r="511" spans="1:4" x14ac:dyDescent="0.3">
      <c r="A511" s="4"/>
      <c r="B511" s="4"/>
      <c r="C511" s="69"/>
      <c r="D511" s="4"/>
    </row>
    <row r="512" spans="1:4" x14ac:dyDescent="0.3">
      <c r="A512" s="4"/>
      <c r="B512" s="4"/>
      <c r="C512" s="69"/>
      <c r="D512" s="4"/>
    </row>
    <row r="513" spans="1:4" x14ac:dyDescent="0.3">
      <c r="A513" s="4"/>
      <c r="B513" s="4"/>
      <c r="C513" s="69"/>
      <c r="D513" s="4"/>
    </row>
    <row r="514" spans="1:4" x14ac:dyDescent="0.3">
      <c r="A514" s="4"/>
      <c r="B514" s="4"/>
      <c r="C514" s="69"/>
      <c r="D514" s="4"/>
    </row>
    <row r="515" spans="1:4" x14ac:dyDescent="0.3">
      <c r="A515" s="4"/>
      <c r="B515" s="4"/>
      <c r="C515" s="69"/>
      <c r="D515" s="4"/>
    </row>
    <row r="516" spans="1:4" x14ac:dyDescent="0.3">
      <c r="A516" s="4"/>
      <c r="B516" s="4"/>
      <c r="C516" s="69"/>
      <c r="D516" s="4"/>
    </row>
    <row r="517" spans="1:4" x14ac:dyDescent="0.3">
      <c r="A517" s="4"/>
      <c r="B517" s="4"/>
      <c r="C517" s="69"/>
      <c r="D517" s="4"/>
    </row>
    <row r="518" spans="1:4" x14ac:dyDescent="0.3">
      <c r="A518" s="4"/>
      <c r="B518" s="4"/>
      <c r="C518" s="69"/>
      <c r="D518" s="4"/>
    </row>
    <row r="519" spans="1:4" x14ac:dyDescent="0.3">
      <c r="A519" s="4"/>
      <c r="B519" s="4"/>
      <c r="C519" s="69"/>
      <c r="D519" s="4"/>
    </row>
    <row r="520" spans="1:4" x14ac:dyDescent="0.3">
      <c r="A520" s="4"/>
      <c r="B520" s="4"/>
      <c r="C520" s="69"/>
      <c r="D520" s="4"/>
    </row>
    <row r="521" spans="1:4" x14ac:dyDescent="0.3">
      <c r="A521" s="4"/>
      <c r="B521" s="4"/>
      <c r="C521" s="69"/>
      <c r="D521" s="4"/>
    </row>
    <row r="522" spans="1:4" x14ac:dyDescent="0.3">
      <c r="A522" s="4"/>
      <c r="B522" s="4"/>
      <c r="C522" s="69"/>
      <c r="D522" s="4"/>
    </row>
    <row r="523" spans="1:4" x14ac:dyDescent="0.3">
      <c r="A523" s="4"/>
      <c r="B523" s="4"/>
      <c r="C523" s="69"/>
      <c r="D523" s="4"/>
    </row>
    <row r="524" spans="1:4" x14ac:dyDescent="0.3">
      <c r="A524" s="4"/>
      <c r="B524" s="4"/>
      <c r="C524" s="69"/>
      <c r="D524" s="4"/>
    </row>
    <row r="525" spans="1:4" x14ac:dyDescent="0.3">
      <c r="A525" s="4"/>
      <c r="B525" s="4"/>
      <c r="C525" s="69"/>
      <c r="D525" s="4"/>
    </row>
    <row r="526" spans="1:4" x14ac:dyDescent="0.3">
      <c r="A526" s="4"/>
      <c r="B526" s="4"/>
      <c r="C526" s="69"/>
      <c r="D526" s="4"/>
    </row>
    <row r="527" spans="1:4" x14ac:dyDescent="0.3">
      <c r="A527" s="4"/>
      <c r="B527" s="4"/>
      <c r="C527" s="69"/>
      <c r="D527" s="4"/>
    </row>
    <row r="528" spans="1:4" x14ac:dyDescent="0.3">
      <c r="A528" s="4"/>
      <c r="B528" s="4"/>
      <c r="C528" s="69"/>
      <c r="D528" s="4"/>
    </row>
    <row r="529" spans="1:4" x14ac:dyDescent="0.3">
      <c r="A529" s="4"/>
      <c r="B529" s="4"/>
      <c r="C529" s="69"/>
      <c r="D529" s="4"/>
    </row>
    <row r="530" spans="1:4" x14ac:dyDescent="0.3">
      <c r="A530" s="4"/>
      <c r="B530" s="4"/>
      <c r="C530" s="69"/>
      <c r="D530" s="4"/>
    </row>
    <row r="531" spans="1:4" x14ac:dyDescent="0.3">
      <c r="A531" s="4"/>
      <c r="B531" s="4"/>
      <c r="C531" s="69"/>
      <c r="D531" s="4"/>
    </row>
    <row r="532" spans="1:4" x14ac:dyDescent="0.3">
      <c r="A532" s="4"/>
      <c r="B532" s="4"/>
      <c r="C532" s="69"/>
      <c r="D532" s="4"/>
    </row>
    <row r="533" spans="1:4" x14ac:dyDescent="0.3">
      <c r="A533" s="4"/>
      <c r="B533" s="4"/>
      <c r="C533" s="69"/>
      <c r="D533" s="4"/>
    </row>
    <row r="534" spans="1:4" x14ac:dyDescent="0.3">
      <c r="A534" s="4"/>
      <c r="B534" s="4"/>
      <c r="C534" s="69"/>
      <c r="D534" s="4"/>
    </row>
    <row r="535" spans="1:4" x14ac:dyDescent="0.3">
      <c r="A535" s="4"/>
      <c r="B535" s="4"/>
      <c r="C535" s="69"/>
      <c r="D535" s="4"/>
    </row>
    <row r="536" spans="1:4" x14ac:dyDescent="0.3">
      <c r="A536" s="4"/>
      <c r="B536" s="4"/>
      <c r="C536" s="69"/>
      <c r="D536" s="4"/>
    </row>
    <row r="537" spans="1:4" x14ac:dyDescent="0.3">
      <c r="A537" s="4"/>
      <c r="B537" s="4"/>
      <c r="C537" s="69"/>
      <c r="D537" s="4"/>
    </row>
    <row r="538" spans="1:4" x14ac:dyDescent="0.3">
      <c r="A538" s="4"/>
      <c r="B538" s="4"/>
      <c r="C538" s="69"/>
      <c r="D538" s="4"/>
    </row>
    <row r="539" spans="1:4" x14ac:dyDescent="0.3">
      <c r="A539" s="4"/>
      <c r="B539" s="4"/>
      <c r="C539" s="69"/>
      <c r="D539" s="4"/>
    </row>
    <row r="540" spans="1:4" x14ac:dyDescent="0.3">
      <c r="A540" s="4"/>
      <c r="B540" s="4"/>
      <c r="C540" s="69"/>
      <c r="D540" s="4"/>
    </row>
    <row r="541" spans="1:4" x14ac:dyDescent="0.3">
      <c r="A541" s="4"/>
      <c r="B541" s="4"/>
      <c r="C541" s="69"/>
      <c r="D541" s="4"/>
    </row>
    <row r="542" spans="1:4" x14ac:dyDescent="0.3">
      <c r="A542" s="4"/>
      <c r="B542" s="4"/>
      <c r="C542" s="69"/>
      <c r="D542" s="4"/>
    </row>
    <row r="543" spans="1:4" x14ac:dyDescent="0.3">
      <c r="A543" s="4"/>
      <c r="B543" s="4"/>
      <c r="C543" s="69"/>
      <c r="D543" s="4"/>
    </row>
    <row r="544" spans="1:4" x14ac:dyDescent="0.3">
      <c r="A544" s="4"/>
      <c r="B544" s="4"/>
      <c r="C544" s="69"/>
      <c r="D544" s="4"/>
    </row>
    <row r="545" spans="1:4" x14ac:dyDescent="0.3">
      <c r="A545" s="4"/>
      <c r="B545" s="4"/>
      <c r="C545" s="69"/>
      <c r="D545" s="4"/>
    </row>
    <row r="546" spans="1:4" x14ac:dyDescent="0.3">
      <c r="A546" s="4"/>
      <c r="B546" s="4"/>
      <c r="C546" s="69"/>
      <c r="D546" s="4"/>
    </row>
    <row r="547" spans="1:4" x14ac:dyDescent="0.3">
      <c r="A547" s="4"/>
      <c r="B547" s="4"/>
      <c r="C547" s="69"/>
      <c r="D547" s="4"/>
    </row>
    <row r="548" spans="1:4" x14ac:dyDescent="0.3">
      <c r="A548" s="4"/>
      <c r="B548" s="4"/>
      <c r="C548" s="69"/>
      <c r="D548" s="4"/>
    </row>
    <row r="549" spans="1:4" x14ac:dyDescent="0.3">
      <c r="A549" s="4"/>
      <c r="B549" s="4"/>
      <c r="C549" s="69"/>
      <c r="D549" s="4"/>
    </row>
    <row r="550" spans="1:4" x14ac:dyDescent="0.3">
      <c r="A550" s="4"/>
      <c r="B550" s="4"/>
      <c r="C550" s="69"/>
      <c r="D550" s="4"/>
    </row>
    <row r="551" spans="1:4" x14ac:dyDescent="0.3">
      <c r="A551" s="4"/>
      <c r="B551" s="4"/>
      <c r="C551" s="69"/>
      <c r="D551" s="4"/>
    </row>
    <row r="552" spans="1:4" x14ac:dyDescent="0.3">
      <c r="A552" s="4"/>
      <c r="B552" s="4"/>
      <c r="C552" s="69"/>
      <c r="D552" s="4"/>
    </row>
    <row r="553" spans="1:4" x14ac:dyDescent="0.3">
      <c r="A553" s="4"/>
      <c r="B553" s="4"/>
      <c r="C553" s="69"/>
      <c r="D553" s="4"/>
    </row>
    <row r="554" spans="1:4" x14ac:dyDescent="0.3">
      <c r="A554" s="4"/>
      <c r="B554" s="4"/>
      <c r="C554" s="69"/>
      <c r="D554" s="4"/>
    </row>
    <row r="555" spans="1:4" x14ac:dyDescent="0.3">
      <c r="A555" s="4"/>
      <c r="B555" s="4"/>
      <c r="C555" s="69"/>
      <c r="D555" s="4"/>
    </row>
    <row r="556" spans="1:4" x14ac:dyDescent="0.3">
      <c r="A556" s="4"/>
      <c r="B556" s="4"/>
      <c r="C556" s="69"/>
      <c r="D556" s="4"/>
    </row>
    <row r="557" spans="1:4" x14ac:dyDescent="0.3">
      <c r="A557" s="4"/>
      <c r="B557" s="4"/>
      <c r="C557" s="69"/>
      <c r="D557" s="4"/>
    </row>
    <row r="558" spans="1:4" x14ac:dyDescent="0.3">
      <c r="A558" s="4"/>
      <c r="B558" s="4"/>
      <c r="C558" s="69"/>
      <c r="D558" s="4"/>
    </row>
    <row r="559" spans="1:4" x14ac:dyDescent="0.3">
      <c r="A559" s="4"/>
      <c r="B559" s="4"/>
      <c r="C559" s="69"/>
      <c r="D559" s="4"/>
    </row>
    <row r="560" spans="1:4" x14ac:dyDescent="0.3">
      <c r="A560" s="4"/>
      <c r="B560" s="4"/>
      <c r="C560" s="69"/>
      <c r="D560" s="4"/>
    </row>
    <row r="561" spans="1:4" x14ac:dyDescent="0.3">
      <c r="A561" s="4"/>
      <c r="B561" s="4"/>
      <c r="C561" s="69"/>
      <c r="D561" s="4"/>
    </row>
    <row r="562" spans="1:4" x14ac:dyDescent="0.3">
      <c r="A562" s="4"/>
      <c r="B562" s="4"/>
      <c r="C562" s="69"/>
      <c r="D562" s="4"/>
    </row>
    <row r="563" spans="1:4" x14ac:dyDescent="0.3">
      <c r="A563" s="4"/>
      <c r="B563" s="4"/>
      <c r="C563" s="69"/>
      <c r="D563" s="4"/>
    </row>
    <row r="564" spans="1:4" x14ac:dyDescent="0.3">
      <c r="A564" s="4"/>
      <c r="B564" s="4"/>
      <c r="C564" s="69"/>
      <c r="D564" s="4"/>
    </row>
    <row r="565" spans="1:4" x14ac:dyDescent="0.3">
      <c r="A565" s="4"/>
      <c r="B565" s="4"/>
      <c r="C565" s="69"/>
      <c r="D565" s="4"/>
    </row>
    <row r="566" spans="1:4" x14ac:dyDescent="0.3">
      <c r="A566" s="4"/>
      <c r="B566" s="4"/>
      <c r="C566" s="69"/>
      <c r="D566" s="4"/>
    </row>
    <row r="567" spans="1:4" x14ac:dyDescent="0.3">
      <c r="A567" s="4"/>
      <c r="B567" s="4"/>
      <c r="C567" s="69"/>
      <c r="D567" s="4"/>
    </row>
    <row r="568" spans="1:4" x14ac:dyDescent="0.3">
      <c r="A568" s="4"/>
      <c r="B568" s="4"/>
      <c r="C568" s="69"/>
      <c r="D568" s="4"/>
    </row>
    <row r="569" spans="1:4" x14ac:dyDescent="0.3">
      <c r="A569" s="4"/>
      <c r="B569" s="4"/>
      <c r="C569" s="69"/>
      <c r="D569" s="4"/>
    </row>
    <row r="570" spans="1:4" x14ac:dyDescent="0.3">
      <c r="A570" s="4"/>
      <c r="B570" s="4"/>
      <c r="C570" s="69"/>
      <c r="D570" s="4"/>
    </row>
    <row r="571" spans="1:4" x14ac:dyDescent="0.3">
      <c r="A571" s="4"/>
      <c r="B571" s="4"/>
      <c r="C571" s="69"/>
      <c r="D571" s="4"/>
    </row>
    <row r="572" spans="1:4" x14ac:dyDescent="0.3">
      <c r="A572" s="4"/>
      <c r="B572" s="4"/>
      <c r="C572" s="69"/>
      <c r="D572" s="4"/>
    </row>
    <row r="573" spans="1:4" x14ac:dyDescent="0.3">
      <c r="A573" s="4"/>
      <c r="B573" s="4"/>
      <c r="C573" s="69"/>
      <c r="D573" s="4"/>
    </row>
    <row r="574" spans="1:4" x14ac:dyDescent="0.3">
      <c r="A574" s="4"/>
      <c r="B574" s="4"/>
      <c r="C574" s="69"/>
      <c r="D574" s="4"/>
    </row>
    <row r="575" spans="1:4" x14ac:dyDescent="0.3">
      <c r="A575" s="4"/>
      <c r="B575" s="4"/>
      <c r="C575" s="69"/>
      <c r="D575" s="4"/>
    </row>
    <row r="576" spans="1:4" x14ac:dyDescent="0.3">
      <c r="A576" s="4"/>
      <c r="B576" s="4"/>
      <c r="C576" s="69"/>
      <c r="D576" s="4"/>
    </row>
    <row r="577" spans="1:4" x14ac:dyDescent="0.3">
      <c r="A577" s="4"/>
      <c r="B577" s="4"/>
      <c r="C577" s="69"/>
      <c r="D577" s="4"/>
    </row>
    <row r="578" spans="1:4" x14ac:dyDescent="0.3">
      <c r="A578" s="4"/>
      <c r="B578" s="4"/>
      <c r="C578" s="69"/>
      <c r="D578" s="4"/>
    </row>
    <row r="579" spans="1:4" x14ac:dyDescent="0.3">
      <c r="A579" s="4"/>
      <c r="B579" s="4"/>
      <c r="C579" s="69"/>
      <c r="D579" s="4"/>
    </row>
    <row r="580" spans="1:4" x14ac:dyDescent="0.3">
      <c r="A580" s="4"/>
      <c r="B580" s="4"/>
      <c r="C580" s="69"/>
      <c r="D580" s="4"/>
    </row>
    <row r="581" spans="1:4" x14ac:dyDescent="0.3">
      <c r="A581" s="4"/>
      <c r="B581" s="4"/>
      <c r="C581" s="69"/>
      <c r="D581" s="4"/>
    </row>
    <row r="582" spans="1:4" x14ac:dyDescent="0.3">
      <c r="A582" s="4"/>
      <c r="B582" s="4"/>
      <c r="C582" s="69"/>
      <c r="D582" s="4"/>
    </row>
    <row r="583" spans="1:4" x14ac:dyDescent="0.3">
      <c r="A583" s="4"/>
      <c r="B583" s="4"/>
      <c r="C583" s="69"/>
      <c r="D583" s="4"/>
    </row>
    <row r="584" spans="1:4" x14ac:dyDescent="0.3">
      <c r="A584" s="4"/>
      <c r="B584" s="4"/>
      <c r="C584" s="69"/>
      <c r="D584" s="4"/>
    </row>
  </sheetData>
  <autoFilter ref="A1:Z584" xr:uid="{00000000-0009-0000-0000-000002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Personal de Apoyo</vt:lpstr>
      <vt:lpstr>Voluntarios</vt:lpstr>
      <vt:lpstr>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Llano</dc:creator>
  <cp:lastModifiedBy>DIDUAYAN GOMEZ VASCO</cp:lastModifiedBy>
  <dcterms:created xsi:type="dcterms:W3CDTF">2013-02-23T14:40:56Z</dcterms:created>
  <dcterms:modified xsi:type="dcterms:W3CDTF">2026-07-18T17:02:00Z</dcterms:modified>
</cp:coreProperties>
</file>