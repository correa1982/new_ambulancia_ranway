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didua\Downloads\"/>
    </mc:Choice>
  </mc:AlternateContent>
  <xr:revisionPtr revIDLastSave="0" documentId="8_{4F7646B3-31A9-48B8-8FBE-D2AF7D1E0C0B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HOJA 1" sheetId="1" r:id="rId1"/>
    <sheet name="Hoja4" sheetId="4" r:id="rId2"/>
  </sheets>
  <definedNames>
    <definedName name="_xlnm._FilterDatabase" localSheetId="1" hidden="1">Hoja4!$A$1:$D$366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55" i="1" l="1"/>
  <c r="E186" i="1" l="1"/>
  <c r="D186" i="1"/>
  <c r="B186" i="1"/>
  <c r="E185" i="1"/>
  <c r="D185" i="1"/>
  <c r="B185" i="1"/>
  <c r="E184" i="1"/>
  <c r="D184" i="1"/>
  <c r="B184" i="1"/>
  <c r="E183" i="1"/>
  <c r="D183" i="1"/>
  <c r="B183" i="1"/>
  <c r="E176" i="1"/>
  <c r="D176" i="1"/>
  <c r="B176" i="1"/>
  <c r="E175" i="1"/>
  <c r="D175" i="1"/>
  <c r="B175" i="1"/>
  <c r="E174" i="1"/>
  <c r="D174" i="1"/>
  <c r="B174" i="1"/>
  <c r="E173" i="1"/>
  <c r="D173" i="1"/>
  <c r="B173" i="1"/>
  <c r="E166" i="1"/>
  <c r="D166" i="1"/>
  <c r="B166" i="1"/>
  <c r="E165" i="1"/>
  <c r="D165" i="1"/>
  <c r="B165" i="1"/>
  <c r="E164" i="1"/>
  <c r="D164" i="1"/>
  <c r="B164" i="1"/>
  <c r="E163" i="1"/>
  <c r="D163" i="1"/>
  <c r="B163" i="1"/>
  <c r="E156" i="1"/>
  <c r="D156" i="1"/>
  <c r="B156" i="1"/>
  <c r="E155" i="1"/>
  <c r="D155" i="1"/>
  <c r="E154" i="1"/>
  <c r="D154" i="1"/>
  <c r="B154" i="1"/>
  <c r="E153" i="1"/>
  <c r="D153" i="1"/>
  <c r="B153" i="1"/>
  <c r="E146" i="1"/>
  <c r="D146" i="1"/>
  <c r="B146" i="1"/>
  <c r="E145" i="1"/>
  <c r="D145" i="1"/>
  <c r="B145" i="1"/>
  <c r="E144" i="1"/>
  <c r="D144" i="1"/>
  <c r="B144" i="1"/>
  <c r="E143" i="1"/>
  <c r="D143" i="1"/>
  <c r="B143" i="1"/>
  <c r="E142" i="1"/>
  <c r="D142" i="1"/>
  <c r="B142" i="1"/>
  <c r="E138" i="1"/>
  <c r="D138" i="1"/>
  <c r="B138" i="1"/>
  <c r="E137" i="1"/>
  <c r="D137" i="1"/>
  <c r="B137" i="1"/>
  <c r="E136" i="1"/>
  <c r="D136" i="1"/>
  <c r="B136" i="1"/>
  <c r="E135" i="1"/>
  <c r="D135" i="1"/>
  <c r="B135" i="1"/>
  <c r="E134" i="1"/>
  <c r="D134" i="1"/>
  <c r="B134" i="1"/>
  <c r="E130" i="1"/>
  <c r="D130" i="1"/>
  <c r="B130" i="1"/>
  <c r="E129" i="1"/>
  <c r="D129" i="1"/>
  <c r="B129" i="1"/>
  <c r="E128" i="1"/>
  <c r="D128" i="1"/>
  <c r="B128" i="1"/>
  <c r="E127" i="1"/>
  <c r="D127" i="1"/>
  <c r="B127" i="1"/>
  <c r="E126" i="1"/>
  <c r="D126" i="1"/>
  <c r="B126" i="1"/>
  <c r="E122" i="1"/>
  <c r="D122" i="1"/>
  <c r="B122" i="1"/>
  <c r="E121" i="1"/>
  <c r="D121" i="1"/>
  <c r="B121" i="1"/>
  <c r="E120" i="1"/>
  <c r="D120" i="1"/>
  <c r="B120" i="1"/>
  <c r="E119" i="1"/>
  <c r="D119" i="1"/>
  <c r="B119" i="1"/>
  <c r="E118" i="1"/>
  <c r="D118" i="1"/>
  <c r="B118" i="1"/>
  <c r="E114" i="1"/>
  <c r="D114" i="1"/>
  <c r="B114" i="1"/>
  <c r="E113" i="1"/>
  <c r="D113" i="1"/>
  <c r="B113" i="1"/>
  <c r="E112" i="1"/>
  <c r="D112" i="1"/>
  <c r="B112" i="1"/>
  <c r="E111" i="1"/>
  <c r="D111" i="1"/>
  <c r="B111" i="1"/>
  <c r="E110" i="1"/>
  <c r="D110" i="1"/>
  <c r="B110" i="1"/>
  <c r="E106" i="1"/>
  <c r="D106" i="1"/>
  <c r="B106" i="1"/>
  <c r="E105" i="1"/>
  <c r="D105" i="1"/>
  <c r="B105" i="1"/>
  <c r="E104" i="1"/>
  <c r="D104" i="1"/>
  <c r="B104" i="1"/>
  <c r="E103" i="1"/>
  <c r="D103" i="1"/>
  <c r="B103" i="1"/>
  <c r="E102" i="1"/>
  <c r="D102" i="1"/>
  <c r="B102" i="1"/>
  <c r="E93" i="1"/>
  <c r="D93" i="1"/>
  <c r="B93" i="1"/>
  <c r="E92" i="1"/>
  <c r="D92" i="1"/>
  <c r="B92" i="1"/>
  <c r="E91" i="1"/>
  <c r="D91" i="1"/>
  <c r="B91" i="1"/>
  <c r="E90" i="1"/>
  <c r="D90" i="1"/>
  <c r="B90" i="1"/>
  <c r="E89" i="1"/>
  <c r="D89" i="1"/>
  <c r="B89" i="1"/>
  <c r="E85" i="1"/>
  <c r="D85" i="1"/>
  <c r="B85" i="1"/>
  <c r="E84" i="1"/>
  <c r="D84" i="1"/>
  <c r="B84" i="1"/>
  <c r="E83" i="1"/>
  <c r="D83" i="1"/>
  <c r="B83" i="1"/>
  <c r="E82" i="1"/>
  <c r="D82" i="1"/>
  <c r="B82" i="1"/>
  <c r="E81" i="1"/>
  <c r="D81" i="1"/>
  <c r="B81" i="1"/>
  <c r="E77" i="1"/>
  <c r="D77" i="1"/>
  <c r="B77" i="1"/>
  <c r="E76" i="1"/>
  <c r="D76" i="1"/>
  <c r="B76" i="1"/>
  <c r="E75" i="1"/>
  <c r="D75" i="1"/>
  <c r="B75" i="1"/>
  <c r="E74" i="1"/>
  <c r="D74" i="1"/>
  <c r="B74" i="1"/>
  <c r="E73" i="1"/>
  <c r="D73" i="1"/>
  <c r="B73" i="1"/>
  <c r="E69" i="1"/>
  <c r="D69" i="1"/>
  <c r="B69" i="1"/>
  <c r="E68" i="1"/>
  <c r="D68" i="1"/>
  <c r="B68" i="1"/>
  <c r="E67" i="1"/>
  <c r="D67" i="1"/>
  <c r="B67" i="1"/>
  <c r="E66" i="1"/>
  <c r="D66" i="1"/>
  <c r="B66" i="1"/>
  <c r="E65" i="1"/>
  <c r="D65" i="1"/>
  <c r="B65" i="1"/>
  <c r="E61" i="1"/>
  <c r="D61" i="1"/>
  <c r="B61" i="1"/>
  <c r="E60" i="1"/>
  <c r="D60" i="1"/>
  <c r="B60" i="1"/>
  <c r="E59" i="1"/>
  <c r="D59" i="1"/>
  <c r="B59" i="1"/>
  <c r="E58" i="1"/>
  <c r="D58" i="1"/>
  <c r="B58" i="1"/>
  <c r="E57" i="1"/>
  <c r="D57" i="1"/>
  <c r="B57" i="1"/>
  <c r="E53" i="1"/>
  <c r="D53" i="1"/>
  <c r="B53" i="1"/>
  <c r="E52" i="1"/>
  <c r="D52" i="1"/>
  <c r="B52" i="1"/>
  <c r="E51" i="1"/>
  <c r="D51" i="1"/>
  <c r="B51" i="1"/>
  <c r="E50" i="1"/>
  <c r="D50" i="1"/>
  <c r="B50" i="1"/>
  <c r="E49" i="1"/>
  <c r="D49" i="1"/>
  <c r="B49" i="1"/>
  <c r="E45" i="1"/>
  <c r="D45" i="1"/>
  <c r="B45" i="1"/>
  <c r="E44" i="1"/>
  <c r="D44" i="1"/>
  <c r="B44" i="1"/>
  <c r="E43" i="1"/>
  <c r="D43" i="1"/>
  <c r="B43" i="1"/>
  <c r="E42" i="1"/>
  <c r="D42" i="1"/>
  <c r="B42" i="1"/>
  <c r="E41" i="1"/>
  <c r="D41" i="1"/>
  <c r="B41" i="1"/>
  <c r="E37" i="1"/>
  <c r="D37" i="1"/>
  <c r="B37" i="1"/>
  <c r="E36" i="1"/>
  <c r="D36" i="1"/>
  <c r="B36" i="1"/>
  <c r="E35" i="1"/>
  <c r="D35" i="1"/>
  <c r="B35" i="1"/>
  <c r="E34" i="1"/>
  <c r="D34" i="1"/>
  <c r="B34" i="1"/>
  <c r="E33" i="1"/>
  <c r="D33" i="1"/>
  <c r="B33" i="1"/>
  <c r="D25" i="1"/>
  <c r="E29" i="1"/>
  <c r="D29" i="1"/>
  <c r="B29" i="1"/>
  <c r="E28" i="1"/>
  <c r="D28" i="1"/>
  <c r="B28" i="1"/>
  <c r="E27" i="1"/>
  <c r="D27" i="1"/>
  <c r="B27" i="1"/>
  <c r="E26" i="1"/>
  <c r="D26" i="1"/>
  <c r="B26" i="1"/>
  <c r="E25" i="1"/>
  <c r="B25" i="1"/>
  <c r="B18" i="1"/>
  <c r="D18" i="1"/>
  <c r="E18" i="1"/>
  <c r="B19" i="1"/>
  <c r="D19" i="1"/>
  <c r="E19" i="1"/>
  <c r="B20" i="1"/>
  <c r="D20" i="1"/>
  <c r="E20" i="1"/>
  <c r="B21" i="1"/>
  <c r="D21" i="1"/>
  <c r="E21" i="1"/>
  <c r="E17" i="1"/>
  <c r="D17" i="1"/>
  <c r="B1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Carlos Diego Cardona Jimenez</author>
  </authors>
  <commentList>
    <comment ref="D16" authorId="0" shapeId="0" xr:uid="{00000000-0006-0000-0000-000001000000}">
      <text>
        <r>
          <rPr>
            <sz val="10"/>
            <color indexed="81"/>
            <rFont val="Arial"/>
            <family val="2"/>
          </rPr>
          <t>Acá se coloca:
Médico o Tecnólogo en Atención Prehospitalaria (TAPH) o Auxiliar de Enfermeria o Socorrista o Voluntario.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D24" authorId="0" shapeId="0" xr:uid="{00000000-0006-0000-0000-000002000000}">
      <text>
        <r>
          <rPr>
            <sz val="10"/>
            <color indexed="81"/>
            <rFont val="Arial"/>
            <family val="2"/>
          </rPr>
          <t>Acá se coloca:
Médico o Tecnólogo en Atención Prehospitalaria (TAPH) o Auxiliar de Enfermeria o Socorrista o Voluntario.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32" authorId="0" shapeId="0" xr:uid="{00000000-0006-0000-0000-000003000000}">
      <text>
        <r>
          <rPr>
            <sz val="10"/>
            <color indexed="81"/>
            <rFont val="Arial"/>
            <family val="2"/>
          </rPr>
          <t>Acá se coloca:
Médico o Tecnólogo en Atención Prehospitalaria (TAPH) o Auxiliar de Enfermeria o Socorrista o Voluntario.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40" authorId="0" shapeId="0" xr:uid="{00000000-0006-0000-0000-000004000000}">
      <text>
        <r>
          <rPr>
            <sz val="10"/>
            <color indexed="81"/>
            <rFont val="Arial"/>
            <family val="2"/>
          </rPr>
          <t>Acá se coloca:
Médico o Tecnólogo en Atención Prehospitalaria (TAPH) o Auxiliar de Enfermeria o Socorrista o Voluntario.</t>
        </r>
      </text>
    </comment>
    <comment ref="D48" authorId="0" shapeId="0" xr:uid="{00000000-0006-0000-0000-000005000000}">
      <text>
        <r>
          <rPr>
            <sz val="10"/>
            <color indexed="81"/>
            <rFont val="Arial"/>
            <family val="2"/>
          </rPr>
          <t>Acá se coloca:
Médico o Tecnólogo en Atención Prehospitalaria (TAPH) o Auxiliar de Enfermeria o Socorrista o Voluntario.</t>
        </r>
      </text>
    </comment>
    <comment ref="D56" authorId="0" shapeId="0" xr:uid="{00000000-0006-0000-0000-000006000000}">
      <text>
        <r>
          <rPr>
            <sz val="10"/>
            <color indexed="81"/>
            <rFont val="Arial"/>
            <family val="2"/>
          </rPr>
          <t>Acá se coloca:
Médico o Tecnólogo en Atención Prehospitalaria (TAPH) o Auxiliar de Enfermeria o Socorrista o Voluntario.</t>
        </r>
      </text>
    </comment>
    <comment ref="D64" authorId="0" shapeId="0" xr:uid="{00000000-0006-0000-0000-000007000000}">
      <text>
        <r>
          <rPr>
            <sz val="10"/>
            <color indexed="81"/>
            <rFont val="Arial"/>
            <family val="2"/>
          </rPr>
          <t>Acá se coloca:
Médico o Tecnólogo en Atención Prehospitalaria (TAPH) o Auxiliar de Enfermeria o Socorrista o Voluntario.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72" authorId="0" shapeId="0" xr:uid="{00000000-0006-0000-0000-000008000000}">
      <text>
        <r>
          <rPr>
            <sz val="10"/>
            <color indexed="81"/>
            <rFont val="Arial"/>
            <family val="2"/>
          </rPr>
          <t>Acá se coloca:
Médico o Tecnólogo en Atención Prehospitalaria (TAPH) o Auxiliar de Enfermeria o Socorrista o Voluntario.</t>
        </r>
      </text>
    </comment>
    <comment ref="D80" authorId="0" shapeId="0" xr:uid="{00000000-0006-0000-0000-000009000000}">
      <text>
        <r>
          <rPr>
            <sz val="10"/>
            <color indexed="81"/>
            <rFont val="Arial"/>
            <family val="2"/>
          </rPr>
          <t>Acá se coloca:
Médico o Tecnólogo en Atención Prehospitalaria (TAPH) o Auxiliar de Enfermeria o Socorrista o Voluntario.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88" authorId="0" shapeId="0" xr:uid="{00000000-0006-0000-0000-00000A000000}">
      <text>
        <r>
          <rPr>
            <sz val="10"/>
            <color indexed="81"/>
            <rFont val="Arial"/>
            <family val="2"/>
          </rPr>
          <t>Acá se coloca:
Médico o Tecnólogo en Atención Prehospitalaria (TAPH) o Auxiliar de Enfermeria o Socorrista o Voluntario.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01" authorId="0" shapeId="0" xr:uid="{00000000-0006-0000-0000-00000B000000}">
      <text>
        <r>
          <rPr>
            <sz val="10"/>
            <color indexed="81"/>
            <rFont val="Arial"/>
            <family val="2"/>
          </rPr>
          <t>Acá se coloca:
Médico o Tecnólogo en Atención Prehospitalaria (TAPH) o Auxiliar de Enfermeria o Socorrista o Voluntario.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09" authorId="0" shapeId="0" xr:uid="{00000000-0006-0000-0000-00000C000000}">
      <text>
        <r>
          <rPr>
            <sz val="10"/>
            <color indexed="81"/>
            <rFont val="Arial"/>
            <family val="2"/>
          </rPr>
          <t>Acá se coloca:
Médico o Tecnólogo en Atención Prehospitalaria (TAPH) o Auxiliar de Enfermeria o Socorrista o Voluntario.</t>
        </r>
      </text>
    </comment>
    <comment ref="D117" authorId="0" shapeId="0" xr:uid="{00000000-0006-0000-0000-000011000000}">
      <text>
        <r>
          <rPr>
            <sz val="10"/>
            <color indexed="81"/>
            <rFont val="Arial"/>
            <family val="2"/>
          </rPr>
          <t>Acá se coloca:
Médico o Tecnólogo en Atención Prehospitalaria (TAPH) o Auxiliar de Enfermeria o Socorrista o Voluntario.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25" authorId="0" shapeId="0" xr:uid="{00000000-0006-0000-0000-000012000000}">
      <text>
        <r>
          <rPr>
            <sz val="10"/>
            <color indexed="81"/>
            <rFont val="Arial"/>
            <family val="2"/>
          </rPr>
          <t>Acá se coloca:
Médico o Tecnólogo en Atención Prehospitalaria (TAPH) o Auxiliar de Enfermeria o Socorrista o Voluntario.</t>
        </r>
      </text>
    </comment>
    <comment ref="D133" authorId="0" shapeId="0" xr:uid="{00000000-0006-0000-0000-000013000000}">
      <text>
        <r>
          <rPr>
            <sz val="10"/>
            <color indexed="81"/>
            <rFont val="Arial"/>
            <family val="2"/>
          </rPr>
          <t>Acá se coloca:
Médico o Tecnólogo en Atención Prehospitalaria (TAPH) o Auxiliar de Enfermeria o Socorrista o Voluntario.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41" authorId="0" shapeId="0" xr:uid="{00000000-0006-0000-0000-000014000000}">
      <text>
        <r>
          <rPr>
            <sz val="10"/>
            <color indexed="81"/>
            <rFont val="Arial"/>
            <family val="2"/>
          </rPr>
          <t>Acá se coloca:
Médico o Tecnólogo en Atención Prehospitalaria (TAPH) o Auxiliar de Enfermeria o Socorrista o Voluntario.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150" authorId="0" shapeId="0" xr:uid="{BBAD21D5-90DC-4A63-ABE3-C92E296C01B1}">
      <text>
        <r>
          <rPr>
            <sz val="10"/>
            <color indexed="81"/>
            <rFont val="Arial"/>
            <family val="2"/>
          </rPr>
          <t>Acá so coloca:
TAB o TAM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52" authorId="0" shapeId="0" xr:uid="{876EE387-DB5E-4164-8CE1-5DD27F909051}">
      <text>
        <r>
          <rPr>
            <sz val="10"/>
            <color indexed="81"/>
            <rFont val="Arial"/>
            <family val="2"/>
          </rPr>
          <t>Acá se coloca:
Médico o Tecnólogo en Atención Prehospitalaria (TAPH) o Auxiliar de Enfermeria o Socorrista o Voluntario.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160" authorId="0" shapeId="0" xr:uid="{00000000-0006-0000-0000-00000F000000}">
      <text>
        <r>
          <rPr>
            <sz val="10"/>
            <color indexed="81"/>
            <rFont val="Arial"/>
            <family val="2"/>
          </rPr>
          <t>Acá so coloca:
TAB o TAM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62" authorId="0" shapeId="0" xr:uid="{00000000-0006-0000-0000-000010000000}">
      <text>
        <r>
          <rPr>
            <sz val="10"/>
            <color indexed="81"/>
            <rFont val="Arial"/>
            <family val="2"/>
          </rPr>
          <t>Acá se coloca:
Médico o Tecnólogo en Atención Prehospitalaria (TAPH) o Auxiliar de Enfermeria o Socorrista o Voluntario.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170" authorId="0" shapeId="0" xr:uid="{00000000-0006-0000-0000-00000D000000}">
      <text>
        <r>
          <rPr>
            <sz val="10"/>
            <color indexed="81"/>
            <rFont val="Arial"/>
            <family val="2"/>
          </rPr>
          <t>Acá so coloca:
TAB o TAM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72" authorId="0" shapeId="0" xr:uid="{00000000-0006-0000-0000-00000E000000}">
      <text>
        <r>
          <rPr>
            <sz val="10"/>
            <color indexed="81"/>
            <rFont val="Arial"/>
            <family val="2"/>
          </rPr>
          <t>Acá se coloca:
Médico o Tecnólogo en Atención Prehospitalaria (TAPH) o Auxiliar de Enfermeria o Socorrista o Voluntario.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180" authorId="0" shapeId="0" xr:uid="{258E7B07-1CC8-44EC-8D7E-D68810EE06D1}">
      <text>
        <r>
          <rPr>
            <sz val="10"/>
            <color indexed="81"/>
            <rFont val="Arial"/>
            <family val="2"/>
          </rPr>
          <t>Acá so coloca:
TAB o TAM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82" authorId="0" shapeId="0" xr:uid="{93BA7C30-7A4A-495B-9397-3AF96A2745E8}">
      <text>
        <r>
          <rPr>
            <sz val="10"/>
            <color indexed="81"/>
            <rFont val="Arial"/>
            <family val="2"/>
          </rPr>
          <t>Acá se coloca:
Médico o Tecnólogo en Atención Prehospitalaria (TAPH) o Auxiliar de Enfermeria o Socorrista o Voluntario.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<sst xmlns="http://schemas.openxmlformats.org/spreadsheetml/2006/main" count="1170" uniqueCount="466">
  <si>
    <t>Hora apertura de puertas</t>
  </si>
  <si>
    <t>Coordinador del Grupo de Socorro en terreno</t>
  </si>
  <si>
    <t>No.</t>
  </si>
  <si>
    <t>Nombre</t>
  </si>
  <si>
    <t xml:space="preserve">Registro </t>
  </si>
  <si>
    <t>Perfil</t>
  </si>
  <si>
    <t>Cédula</t>
  </si>
  <si>
    <t>Ambulancia tipo</t>
  </si>
  <si>
    <t>Placas</t>
  </si>
  <si>
    <t>No. Interno</t>
  </si>
  <si>
    <t>Empresa</t>
  </si>
  <si>
    <t>Cantidad del recurso humano presentado por el grupo de Socorro</t>
  </si>
  <si>
    <t>Total de pacientes atendidos y/o traladados</t>
  </si>
  <si>
    <t>Total de asistentes al evento</t>
  </si>
  <si>
    <t>Movil</t>
  </si>
  <si>
    <t>Hora inicio PCU</t>
  </si>
  <si>
    <t>Hora finalización PCU</t>
  </si>
  <si>
    <t>Evento</t>
  </si>
  <si>
    <t>Fecha del evento</t>
  </si>
  <si>
    <t>Representante del Grupo de Socorro en el PCU</t>
  </si>
  <si>
    <t>Hora retiro dispositivo APH</t>
  </si>
  <si>
    <t>Hora llegada dispositivo APH</t>
  </si>
  <si>
    <t>Cantidad ambulancias y tipo para evento</t>
  </si>
  <si>
    <t>Hora finalización Evento</t>
  </si>
  <si>
    <t>Hora Inicio Evento</t>
  </si>
  <si>
    <t>Tipo Evento</t>
  </si>
  <si>
    <t xml:space="preserve"> </t>
  </si>
  <si>
    <t xml:space="preserve">  </t>
  </si>
  <si>
    <t>SOCORRISTA</t>
  </si>
  <si>
    <t>CONDUCTOR</t>
  </si>
  <si>
    <t>PUESTO DE PRIMEROS AUXILIOS ORIENTAL</t>
  </si>
  <si>
    <t>TAM</t>
  </si>
  <si>
    <t>GVQ 631</t>
  </si>
  <si>
    <t>TAB</t>
  </si>
  <si>
    <t>APH</t>
  </si>
  <si>
    <t>IVAN DARIO VIEIRA PALACIO</t>
  </si>
  <si>
    <t>GERMAN ALONSO GUAMAN MORALES</t>
  </si>
  <si>
    <t>SOCORRISTAS GRUPO DE APOYO</t>
  </si>
  <si>
    <t>JOSE ANIBAL VILLADA MORALES</t>
  </si>
  <si>
    <t>JHON JAIRO LONDOÑO ROJO</t>
  </si>
  <si>
    <t>JOSE NOLBERTO GRAJALES CORREA</t>
  </si>
  <si>
    <t>JUAN CARLOS CARO GIL</t>
  </si>
  <si>
    <t>MARYORI ALEJANDRA FRANCO RIOS</t>
  </si>
  <si>
    <t>KELLY JOHANA MUÑOZ SANCHEZ</t>
  </si>
  <si>
    <t>ANDRES FELIPE GAVIRIA BUSTAMANTE</t>
  </si>
  <si>
    <t>MARIA CAMILA CASTAÑO FLOREZ</t>
  </si>
  <si>
    <t>MARIA CAMILA TORO MUÑOZ</t>
  </si>
  <si>
    <t>ZAYDA JOHANA RODRIGUEZ DE LUQUE</t>
  </si>
  <si>
    <t>MARIA ISABEL PEREZ PATIÑO</t>
  </si>
  <si>
    <t>JHON ANDREY ACEVEDO SEPULVEDA</t>
  </si>
  <si>
    <t>MANUELA RAVE PULGARIN</t>
  </si>
  <si>
    <t>LEIDY YOHANA ORTIZ PEREZ</t>
  </si>
  <si>
    <t>KEVIN LEANDRO CAICEDO IJAJID</t>
  </si>
  <si>
    <t>ANGIE PAOLA GASPAR GONZALEZ</t>
  </si>
  <si>
    <t>MATEO HEREDIA VASQUEZ</t>
  </si>
  <si>
    <t>JORGE ABAD MARIN MARIN</t>
  </si>
  <si>
    <t>CATALINA ORREGO PALACIO</t>
  </si>
  <si>
    <t>XIMENA IBARRA CORREA</t>
  </si>
  <si>
    <t>SARA PAOLA GIRALDO VALENCIA</t>
  </si>
  <si>
    <t>SORANY MARIA CARDENAS GOMEZ</t>
  </si>
  <si>
    <t>CLAUDIA XIMENA CASTAÑO BARRADA</t>
  </si>
  <si>
    <t>WILLIAM ALEJANDRO TORRES HENAO</t>
  </si>
  <si>
    <t>MATEO ALZATE ZORA</t>
  </si>
  <si>
    <t>NICOLAS RESTREPO OSORIO</t>
  </si>
  <si>
    <t>KAREN JULIETH ZABALA GUZMAN</t>
  </si>
  <si>
    <t>MARIA CAMILA SANCHEZ SANCHEZ</t>
  </si>
  <si>
    <t>JUAN ALEJANDRO POSSO BALDOVINO</t>
  </si>
  <si>
    <t>CRISTIAN ALEXIS ROJAS LOAIZA</t>
  </si>
  <si>
    <t>SAHRA NATHALY CASTAÑO LONDOÑO</t>
  </si>
  <si>
    <t>JHON ALEXANDER TUBERQUIA HENAO</t>
  </si>
  <si>
    <t>FERNANDO BOTERO MARTINEZ</t>
  </si>
  <si>
    <t>VALERY CORTES SOSA</t>
  </si>
  <si>
    <t>ALEJANDRA GALLEGO HERNANDEZ</t>
  </si>
  <si>
    <t>ANGIE LAURA AYALA ARANGO</t>
  </si>
  <si>
    <t>LUISA FERNANDA TORO ALVAREZ</t>
  </si>
  <si>
    <t>LAURA DIAZ FRANCO</t>
  </si>
  <si>
    <t>MIGUEL ANGEL CAMPILLO ATEHORTUA</t>
  </si>
  <si>
    <t>CAROLINA LONDOÑO QUINTERO</t>
  </si>
  <si>
    <t>ALEJANDRO ZAPATA ZABALA</t>
  </si>
  <si>
    <t>YENNY RODRIGUEZ PUPO</t>
  </si>
  <si>
    <t>SEBASTIAN PADILLA RESTREPO</t>
  </si>
  <si>
    <t>MATEO JARAMILLO DUQUE</t>
  </si>
  <si>
    <t>DEISY VANESSA GALLON MAZO</t>
  </si>
  <si>
    <t>JULIANA ACEVEDO MUÑOZ</t>
  </si>
  <si>
    <t>MAICOL ENRRIQUE PALOMA TORRES</t>
  </si>
  <si>
    <t>JHON FREDY GUZMAN DAVID</t>
  </si>
  <si>
    <t>DANIELA URREGO ZAPATA</t>
  </si>
  <si>
    <t>DAVID MAURICIO VARGAS ALZATE</t>
  </si>
  <si>
    <t>HERNANDO MONTOYA GARCIA</t>
  </si>
  <si>
    <t>REYVEN AVILA BARRAGAN</t>
  </si>
  <si>
    <t>NICOLAS CONTRERAS DIAZ</t>
  </si>
  <si>
    <t>JOSE MIGUEL FERNANDEZ LANDAETA</t>
  </si>
  <si>
    <t>TOMAS RAMIREZ ARCILA</t>
  </si>
  <si>
    <t>JOHAN ESNEIDER VALBUENA VIVAS</t>
  </si>
  <si>
    <t>DARLIX XILENA JIMENEZ FLOREZ</t>
  </si>
  <si>
    <t>JHON ALEXANDER LEON LOPEZ</t>
  </si>
  <si>
    <t xml:space="preserve">                     Recurso humano dispuesto para la atención prehospitalaria</t>
  </si>
  <si>
    <t>PUESTO DE PRIMEROS AUXILIOS OCCIDENTAL</t>
  </si>
  <si>
    <t>PUESTO DE PRIMEROS AUXILIOS NORTE</t>
  </si>
  <si>
    <t>PUESTO DE PRIMEROS AUXILIOS SUR</t>
  </si>
  <si>
    <t>PERSONAL TRIPULACION AMBULANCIA</t>
  </si>
  <si>
    <t>REGISTRO</t>
  </si>
  <si>
    <t>-</t>
  </si>
  <si>
    <t>COND</t>
  </si>
  <si>
    <t>NOMBRE COMPLETO</t>
  </si>
  <si>
    <t>NUMERO DE IDENTIFICACION</t>
  </si>
  <si>
    <t>PERFIL</t>
  </si>
  <si>
    <t>AUXILIAR EN ENFERMERIA</t>
  </si>
  <si>
    <t>ESTUDIANTE</t>
  </si>
  <si>
    <t>MEDICO</t>
  </si>
  <si>
    <t>ANDRES FELIPE OSORIO BUSTAMANTE</t>
  </si>
  <si>
    <t>LUIS EDUARDO RUEDA MURILLO</t>
  </si>
  <si>
    <t>NEDIS MARIA SANCHEZ PEREZ</t>
  </si>
  <si>
    <t>MARISOL JIMENEZ ARIAS</t>
  </si>
  <si>
    <t>IVONNE AYDEE DAVID RUIZ</t>
  </si>
  <si>
    <t>ISABEL CRISTINA POSSO BALDOVINO</t>
  </si>
  <si>
    <t>LINA MARCELA RESTREPO MONTAÑO</t>
  </si>
  <si>
    <t>MARIA SALOME VALENCIA LUNA</t>
  </si>
  <si>
    <t>ANGELA MARIA OLARTE SEPULVEDA</t>
  </si>
  <si>
    <t>NANCY CRISTINA MONSALVE</t>
  </si>
  <si>
    <t>SANDRA EUGENIA VIEIRA MONTOYA</t>
  </si>
  <si>
    <t>MARGARITA MARIA PALACIO BERRIO</t>
  </si>
  <si>
    <t>SONIA INES LOPEZ MORALES</t>
  </si>
  <si>
    <t>ANDREA FONSECA FLOREZ</t>
  </si>
  <si>
    <t>MAYELBE GOMEZ PIAMONTE</t>
  </si>
  <si>
    <t>SAMUEL DIAZ CAMARGO</t>
  </si>
  <si>
    <t>GIOVAMNNI ALBERTO CALLE PULGARIN</t>
  </si>
  <si>
    <t>OSCAR EMILIO CASTAÑO GOMEZ</t>
  </si>
  <si>
    <t>FREDY HERNANDO ORTEGON BERMUDEZ</t>
  </si>
  <si>
    <t>OLMER ANTONIO TANGARIFE HIGUITA</t>
  </si>
  <si>
    <t>DUBARIEL DE JESUS SANCHEZ PARRA</t>
  </si>
  <si>
    <t>JOHN EDISON ESPINAL CORREA</t>
  </si>
  <si>
    <t>JEYKSON BETANCUR MARIN</t>
  </si>
  <si>
    <t>VALERIA MEJIA BARRIWENTOS</t>
  </si>
  <si>
    <t>LICETH CAROLINA MATIZ VALENCIA</t>
  </si>
  <si>
    <t>ELKIN DARIO CORREA HENAO</t>
  </si>
  <si>
    <t>MANUELA QUINTERO GONZALEZ</t>
  </si>
  <si>
    <t>JUAN JOSE TUIRAN OSSA</t>
  </si>
  <si>
    <t>ANGELIN GAVIRIA VANEGAS</t>
  </si>
  <si>
    <t>LAURA ANDREA LLANO CANO</t>
  </si>
  <si>
    <t>MARIANA PATIÑO BEDOYA</t>
  </si>
  <si>
    <t>SARA HERNADEZ GRISALES</t>
  </si>
  <si>
    <t>LISSETH ANDREA HOLGUIN BARRIENTOS</t>
  </si>
  <si>
    <t>MARIA CAMILA MOLINA MUÑETON</t>
  </si>
  <si>
    <t>SANTIAGO LINARES HERNANDEZ</t>
  </si>
  <si>
    <t>JUAN PABLO MARTINEZ CARDONA</t>
  </si>
  <si>
    <t>KAREN TATIANA ARBOLEDA AGUDELO</t>
  </si>
  <si>
    <t>KEVIN ALBERTO GUIRALES ARENAS</t>
  </si>
  <si>
    <t>JULIANA LOPEZ ZAPATA</t>
  </si>
  <si>
    <t>DAYANA GODOY TABORDA</t>
  </si>
  <si>
    <t>ANA MARIA PEREZ NOREÑA</t>
  </si>
  <si>
    <t>SARA CASTRO CARDONA</t>
  </si>
  <si>
    <t>KATERINE MUÑOZ CORREA</t>
  </si>
  <si>
    <t>LAURA RIVERA GOMEZ</t>
  </si>
  <si>
    <t>VANESSA RAMIREZ SEPULVEDA</t>
  </si>
  <si>
    <t>JUAN PABLO OCAMPO QUIROZ</t>
  </si>
  <si>
    <t>LAURA MARIA PANTOJA MEJIA</t>
  </si>
  <si>
    <t>CAMILA SERNA VALLEJO</t>
  </si>
  <si>
    <t>VALERIA ZAPATA ZABALA</t>
  </si>
  <si>
    <t>JULIETTE ALEJANDRA FERNANDEZ LOPERA</t>
  </si>
  <si>
    <t>JUAN PABLO GOMEZ ARANGO</t>
  </si>
  <si>
    <t>MARIA LIZETH AGUIRRE GOMEZ</t>
  </si>
  <si>
    <t>MARIANA ACEVEDO NARANJO</t>
  </si>
  <si>
    <t>FRANCK NIKOLAS RODRIGUEZ OLIVEROS</t>
  </si>
  <si>
    <t>KAREN ESTRADA PULGARIN</t>
  </si>
  <si>
    <t>ANA MARIA ARENAS CAÑAS</t>
  </si>
  <si>
    <t>KEVIN ALEXANDER BEDOYA CATAÑO</t>
  </si>
  <si>
    <t>EVELIN GIL RUIZ</t>
  </si>
  <si>
    <t>VALENTINA BENITEZ BOTERO</t>
  </si>
  <si>
    <t>YERLYN VELEZ DUQUE</t>
  </si>
  <si>
    <t>ISMAEL MONTOYA DURANGO</t>
  </si>
  <si>
    <t>JUAN JOSE NARANJO CALDERON</t>
  </si>
  <si>
    <t>MELISSA HIDALGO AVENDAÑO</t>
  </si>
  <si>
    <t>DIANA SOFIA URIBE CHAVARRIA</t>
  </si>
  <si>
    <t>ANA FERNANDA GALVAN BARRIOS</t>
  </si>
  <si>
    <t>OMAR ALEXANDER GOMEZ DORADO</t>
  </si>
  <si>
    <t>MANUELA CARRASQUILLA TORRES</t>
  </si>
  <si>
    <t>DANIELA RENDON ESCUDERO</t>
  </si>
  <si>
    <t>XIMENA ESTEFANIA MISAS MONTOYA</t>
  </si>
  <si>
    <t>DANIELA CASTRO ESCOBAR</t>
  </si>
  <si>
    <t>LAURA TATIANA TABARES RAMIREZ</t>
  </si>
  <si>
    <t>SARA CARVALAL GUTIERREZ</t>
  </si>
  <si>
    <t>JULIANA GOMEZ ZULUAGA</t>
  </si>
  <si>
    <t>VERONICA GUTIERREZ VASCO</t>
  </si>
  <si>
    <t>BRANDON CAMILO MESA BENITEZ</t>
  </si>
  <si>
    <t>JUAN PABLO OCAMPO MEJÍA</t>
  </si>
  <si>
    <t>YULIANA MONTOYA PEREZ</t>
  </si>
  <si>
    <t>ISABEL CRISTINA ARTEAGA RAMIREZ</t>
  </si>
  <si>
    <t>LUISA MARIA ACEVEDO MONTOYA</t>
  </si>
  <si>
    <t>ELIANA ZAPATA TORRES</t>
  </si>
  <si>
    <t>JOHN JAIRO PEREZ MARIN</t>
  </si>
  <si>
    <t>VANESSA ALEXANDRA MISAS HOLGUIN</t>
  </si>
  <si>
    <t>STIVEN CHICA SIERRA</t>
  </si>
  <si>
    <t>DAVID SANTIAGO BRAN RESTREPO</t>
  </si>
  <si>
    <t>DAVID DURANGO RUIZ</t>
  </si>
  <si>
    <t>ESTEFANIA AMAYA GIRON</t>
  </si>
  <si>
    <t>TATIANA JIMENEZ MUNERA</t>
  </si>
  <si>
    <t>HEYNER DUVAN LONDOÑO GARZON</t>
  </si>
  <si>
    <t>JOHN ALEJANDRO GOMEZ GIRALDO</t>
  </si>
  <si>
    <t>JUAN PABLO SUAZA RAMIREZ</t>
  </si>
  <si>
    <t>XIMENA LOPEZ CEBALLOS</t>
  </si>
  <si>
    <t>DUVAN ALFONSO ANGULO GONZALEZ</t>
  </si>
  <si>
    <t>LUIS DAVID PEREZ ROJAS</t>
  </si>
  <si>
    <t>NAILA BRITNEY MESA AGUDELO</t>
  </si>
  <si>
    <t>VALERIA CORREA AGUILAR</t>
  </si>
  <si>
    <t>LAURA CATALINA SALDAÑA VELEZ</t>
  </si>
  <si>
    <t>ENOS CALEB HOYOS DUMET</t>
  </si>
  <si>
    <t>BEYMAR ANDRES DELGADO HERNANDEZ</t>
  </si>
  <si>
    <t>LAURA VALENTINA OSORIO VILLAMIZAR</t>
  </si>
  <si>
    <t>YULIANA MONTERROSA LUNA</t>
  </si>
  <si>
    <t>MARIA ALEJANDRA RINCON LOPEZ</t>
  </si>
  <si>
    <t>ESTEFANY LUCIA TOUS PRETELT</t>
  </si>
  <si>
    <t>KAROL ALEXANDRA LIEVANO GARCIA</t>
  </si>
  <si>
    <t>ESTEFANY DAYANA LIEVANO GARCIA</t>
  </si>
  <si>
    <t>KELY JOHANA MARIN DUQUE</t>
  </si>
  <si>
    <t>NARLY PAOLA NARVAEZ CHALA</t>
  </si>
  <si>
    <t>VANESSA ALEJANDRA FRANCO PATIÑO</t>
  </si>
  <si>
    <t>DANIA SOFIA LOPEZ RODRIGUEZ</t>
  </si>
  <si>
    <t>DANIEL HINCAPIE LOPEZ</t>
  </si>
  <si>
    <t>GISEL ORTIZ CHILITO</t>
  </si>
  <si>
    <t>YARILSA ALEXANDRA CRUZ TOLOZA</t>
  </si>
  <si>
    <t>JULIANA CARDONA OVALLE</t>
  </si>
  <si>
    <t>ANA MARIA PALOMINO RIOS</t>
  </si>
  <si>
    <t>ANA MARIA SOTO ALVAREZ</t>
  </si>
  <si>
    <t>DIEGO ALEJANDRO ESTRADA CASTAÑEDA</t>
  </si>
  <si>
    <t>MELISA PARRA VALENCIA</t>
  </si>
  <si>
    <t>ANA SOFIA BOTERO GOMEZ</t>
  </si>
  <si>
    <t>JULIANA ARCILA BUSTAMANTE</t>
  </si>
  <si>
    <t>JUAN PABLO CEBALLOS CARDENAS</t>
  </si>
  <si>
    <t>ANA MARIA SUAREZ RESTREPO</t>
  </si>
  <si>
    <t>ANA SOFIA BEDOYA RESTREPO</t>
  </si>
  <si>
    <t>LUISA FERNANDA MARIN VASQUEZ</t>
  </si>
  <si>
    <t>MARIA LUISA AGUDELO MELENDEZ</t>
  </si>
  <si>
    <t>XIMENA MUÑOZ CARRASQUILLA</t>
  </si>
  <si>
    <t>RICARDO ELIAS HERRERA GARCIA</t>
  </si>
  <si>
    <t>GILBERTO ANTONIO ARCHIBOL RIVERA</t>
  </si>
  <si>
    <t>DHANNA ZORAYA BORJA MARTINEZ</t>
  </si>
  <si>
    <t>JUAN DANIEL VIDES CASTAÑO</t>
  </si>
  <si>
    <t>VALENTINA URIBE SILVA</t>
  </si>
  <si>
    <t>MELISSA ALEXANDRA VERGARA SEPULVEDA</t>
  </si>
  <si>
    <t>MARIBEL ELORZA RODRIGUEZ</t>
  </si>
  <si>
    <t>MARIA CAMILA CANO OBREGON</t>
  </si>
  <si>
    <t>MELANY CANO OBREGON</t>
  </si>
  <si>
    <t>SALOME NANCLARES ORTIZ</t>
  </si>
  <si>
    <t>JUAN JOSE VALENCIA GAVIRIA</t>
  </si>
  <si>
    <t>ANA MARIA BARRIENTOS ARAQUE</t>
  </si>
  <si>
    <t>HEIDY PAOLA FIGUEROA CORONELL</t>
  </si>
  <si>
    <t>CRISTIAN VALLEJO OSSA</t>
  </si>
  <si>
    <t>MARIA ALEJANDRA ZAPATA VANEGAS</t>
  </si>
  <si>
    <t>DAVISON ANDRES RESTREPO GUISAO</t>
  </si>
  <si>
    <t>DANIEL MORENO ROMERO</t>
  </si>
  <si>
    <t>MANUELA VANEGAS CASTRO</t>
  </si>
  <si>
    <t>CRISTIAN MAURICIO PEREZ FERREIRA</t>
  </si>
  <si>
    <t>JENNIFER VANNESA MARULANDA ALDANA</t>
  </si>
  <si>
    <t>LUIS DANIEL SERNA SUESCUN</t>
  </si>
  <si>
    <t>CAROLINA FLOREZ ALVAREZ</t>
  </si>
  <si>
    <t>LIZ MARISOL LOPEZ MENA</t>
  </si>
  <si>
    <t>ANDRES FERNANDO GOMEZ DORADO</t>
  </si>
  <si>
    <t>CARLOS ANDRES PEREZ GOMEZ</t>
  </si>
  <si>
    <t>JOHAN SANTIAGO DELGADO MUÑOZ</t>
  </si>
  <si>
    <t>MARIA CAMILA RUA ARBOLEDA</t>
  </si>
  <si>
    <t>SARA VALENTINA RUA MENDEZ</t>
  </si>
  <si>
    <t>JUAN FELIPE MUÑOZ ARGUELLES</t>
  </si>
  <si>
    <t>SARA ALEJANDRA BETANCUR ACEVEDO</t>
  </si>
  <si>
    <t>JUAN ESTEBAN RESTREPO GUZMAN</t>
  </si>
  <si>
    <t>MARIANA GARCÍA LONDOÑO</t>
  </si>
  <si>
    <t>MARIA JOSE RUA BARRERA</t>
  </si>
  <si>
    <t>MELANY LOPERA CORREA</t>
  </si>
  <si>
    <t>LAURA RESTREPO PALACIO</t>
  </si>
  <si>
    <t>WILSON ANDRES HIGUITA CARDONA</t>
  </si>
  <si>
    <t>JUAN ESTEBAN GALLEGO BETANCUR</t>
  </si>
  <si>
    <t>MARIA PAULINA CARDONA VALENCIA</t>
  </si>
  <si>
    <t>LILIANA RESTREPO GUARIN</t>
  </si>
  <si>
    <t>CLARA INES CARDONA ALVAREZ</t>
  </si>
  <si>
    <t>DIDUAYAN GOMEZ VASCO</t>
  </si>
  <si>
    <t>SERGIO ANDRES RUIZ CUERVO</t>
  </si>
  <si>
    <t>VALENTINA MESA CADAVID</t>
  </si>
  <si>
    <t>JUAN DIEGO SEPULVEDA RIOS</t>
  </si>
  <si>
    <t>MIA VALERIA RODRIGUEZ GARZON</t>
  </si>
  <si>
    <t>NATHALY VANEGAS LÓPEZ</t>
  </si>
  <si>
    <t>JOHN AIBER LOPEZ PEREZ</t>
  </si>
  <si>
    <t>JOSE DAVID PALACIOS GARCIA</t>
  </si>
  <si>
    <t>ISABELA PELAEZ BEDOYA</t>
  </si>
  <si>
    <t>ISABELLA VARGAS CASTAÑEDA</t>
  </si>
  <si>
    <t>LUISA MARIA HOYOS LONDOÑO</t>
  </si>
  <si>
    <t>SEBASTIAN GUISAO IDARRAGA</t>
  </si>
  <si>
    <t>ANDRES FELIPE  CADAVID SANGUINO</t>
  </si>
  <si>
    <t>MARIAN ALEJANDRA SALINAS CATAÑO</t>
  </si>
  <si>
    <t>KAREN YAZMIN AGUDELO BUILES</t>
  </si>
  <si>
    <t>MARIA DE LOS ANGELES NARANJO CALDERON</t>
  </si>
  <si>
    <t>MARIANA MORENO GALEANO</t>
  </si>
  <si>
    <t>NICOLE VILLA GONZALEZ</t>
  </si>
  <si>
    <t>NICOLLE ORTIZ TORO</t>
  </si>
  <si>
    <t>MARIANA MAYA CASTAÑO</t>
  </si>
  <si>
    <t>ANDRES CAMILO ALVAREZ CADAVID</t>
  </si>
  <si>
    <t>MELISA JARAMILLO MONTOYA</t>
  </si>
  <si>
    <t>JUAN JOSE TAMAYO MESA</t>
  </si>
  <si>
    <t>LEIDY JOHANA MORENO GUERRA</t>
  </si>
  <si>
    <t>CAROLINA ARBOLEDA CARDONA</t>
  </si>
  <si>
    <t>SARA DAVILA MUÑOZ</t>
  </si>
  <si>
    <t>DAYANA MUÑOZ HERNANDEZ</t>
  </si>
  <si>
    <t>JAIRO DE JESUS VARGAS RUEDA</t>
  </si>
  <si>
    <t>EMANUEL GIRALDO MEJIA</t>
  </si>
  <si>
    <t>LINA LUCIA BARRETO HERNANDEZ</t>
  </si>
  <si>
    <t>JULIANA MACHADO CAÑAS</t>
  </si>
  <si>
    <t>TATIANA BORJA LOPERA</t>
  </si>
  <si>
    <t>MARSHALL MOLINA RAMÍREZ</t>
  </si>
  <si>
    <t>SHIRLEY VIANA VALBUENA</t>
  </si>
  <si>
    <t>DANIELA ARISTIZABAL FRANCO</t>
  </si>
  <si>
    <t>JUAN CARLOS ALZATE CASTAÑEDA</t>
  </si>
  <si>
    <t>ANA MARIA TORRES GOMEZ</t>
  </si>
  <si>
    <t>LINA MARCELA LOPEZ GONZALEZ</t>
  </si>
  <si>
    <t>MARIBEL ARDILA MARTINEZ</t>
  </si>
  <si>
    <t>LEYDY TATIANA SALDARRIAGA QUINTERO</t>
  </si>
  <si>
    <t>LUISA FERNANDA ALVAREZ BRAN</t>
  </si>
  <si>
    <t>JAISSON ORLANDO VARGAS CARO</t>
  </si>
  <si>
    <t>JESSICA MARIA GARCIA VELEZ</t>
  </si>
  <si>
    <t>VALERIA FRANCO SANCHEZ</t>
  </si>
  <si>
    <t>JUAN DIEGO ESTRADA GUTIERREZ</t>
  </si>
  <si>
    <t>VALENTINA ZULETA CHAVARRIA</t>
  </si>
  <si>
    <t>JUAN PABLO GOMEZ BEDOYA</t>
  </si>
  <si>
    <t>NATALY MONTOYA GOMEZ</t>
  </si>
  <si>
    <t>JENNY PAOLA DURANGO JARAMILLO</t>
  </si>
  <si>
    <t>SONIA ANDREA GARCIA GUARIN</t>
  </si>
  <si>
    <t>MARIA ALEJANDRA VEGA POSADA</t>
  </si>
  <si>
    <t>CRISTIAN CAMILO GONZALEZ GONZALEZ</t>
  </si>
  <si>
    <t>DANNA VERONICA GIRALDO GONZALEZ</t>
  </si>
  <si>
    <t>MARIA ISABEL GALLO TOBON</t>
  </si>
  <si>
    <t>SEBASTIAN SUAREZ GUZMAN</t>
  </si>
  <si>
    <t>MATEO ZAPATA RESTREPO</t>
  </si>
  <si>
    <t>YADERLY LONDOÑO AMAYA</t>
  </si>
  <si>
    <t>DANNA SERNA LOPERA</t>
  </si>
  <si>
    <t>NATALIA ANDREA GAVIRIA ACOSTA</t>
  </si>
  <si>
    <t>ORIANA MARIA DAVID MARULANDA</t>
  </si>
  <si>
    <t>MARYURI VARELAS DAVID</t>
  </si>
  <si>
    <t>ANA MARIA TOLOZA MENA</t>
  </si>
  <si>
    <t>STIVEN RAMOS CORTES</t>
  </si>
  <si>
    <t>MAURICIO ROMAN VALENCIA</t>
  </si>
  <si>
    <t>MARIA VALENTINA RUIZ VILLA</t>
  </si>
  <si>
    <t>JUAN PABLO MUÑOZ GOMEZ</t>
  </si>
  <si>
    <t>ROBERT SAMIR USUGA FLOREZ</t>
  </si>
  <si>
    <t>YENIFER YULIETH ZAPATA ESCOBAR</t>
  </si>
  <si>
    <t>AURA CAMILA BASTIDAS NARVAEZ</t>
  </si>
  <si>
    <t>MIGUEL ANGEL OSPINA GUISAO</t>
  </si>
  <si>
    <t>NICOLAS PEREZ VARGAS</t>
  </si>
  <si>
    <t>VALENTINA CANO CHAVARRIAGA</t>
  </si>
  <si>
    <t>LUIS FERNANDO MORALES FLOREZ</t>
  </si>
  <si>
    <t>VALERY JOHANA POSADA TORO</t>
  </si>
  <si>
    <t>WENDY ESTEFANY RUIZ CORREA</t>
  </si>
  <si>
    <t>JUAN JOSE HIGUITA USUGA</t>
  </si>
  <si>
    <t>LEISY YOHANA MURILLO ARTEAGA</t>
  </si>
  <si>
    <t>LEIDY CAROLINA MONSALVE JARAMILLO</t>
  </si>
  <si>
    <t>LEIDY MELISA RENDON MARIN</t>
  </si>
  <si>
    <t>DAYELI PATERNINA MARTINEZ</t>
  </si>
  <si>
    <t>JULIO CESAR MISAS USUGA</t>
  </si>
  <si>
    <t>LEIDY YULIETH SIERRA BEDOYA</t>
  </si>
  <si>
    <t>HEIDYS NARVAEZ FLOREZ</t>
  </si>
  <si>
    <t>CARLOS MANUEL ALARCON RODELO</t>
  </si>
  <si>
    <t>SARA DANIELA PEREZ CHAPARRO</t>
  </si>
  <si>
    <t>JULIAN ALEJANDRO QUIÑONES RUIZ</t>
  </si>
  <si>
    <t>JOHAN ANDRES PEÑA ORJUELA</t>
  </si>
  <si>
    <t>CLAUDIA NATALIA CALDERON HERNANDEZ</t>
  </si>
  <si>
    <t>SAMMY LAURETH MOJOMBOY QUINTERO</t>
  </si>
  <si>
    <t>JESUS MANUEL CUADRADO FUENTES</t>
  </si>
  <si>
    <t>ANGELA MARIA OBANDO REYES</t>
  </si>
  <si>
    <t>OSWALDO ARIZA ALVAREZ</t>
  </si>
  <si>
    <t>IVAN DANILO ALPALA ALPALA</t>
  </si>
  <si>
    <t>LUNA ISABELA PÁRAMO TÉLLEZ</t>
  </si>
  <si>
    <t>ARVEY AGUIRRE GUTIERREZ</t>
  </si>
  <si>
    <t>JESSY JULIETH VILLAREAL PONCE</t>
  </si>
  <si>
    <t>MARIO ENRRIQUE SAYAS HERAZO</t>
  </si>
  <si>
    <t>JOSE REINEL PEÑA PALOMARES</t>
  </si>
  <si>
    <t>ROBERT ESMITH OSORIO MOLINA</t>
  </si>
  <si>
    <t>YUNEIDY ANGULO ASCENCIO</t>
  </si>
  <si>
    <t>BETSY ALEJANDRA MONOGA CASTRO</t>
  </si>
  <si>
    <t>LEIDER MISAEL GUALDRON HERNANDEZ</t>
  </si>
  <si>
    <t>ARIEL ANTONIO ZORRO VACCA</t>
  </si>
  <si>
    <t>KAREN NATALIA RODRIGUEZ INFUS</t>
  </si>
  <si>
    <t>YULIANA RAMIREZ RODRIGUEZ</t>
  </si>
  <si>
    <t>ILSSY ESTEFANIA GUERRA VALENVIA</t>
  </si>
  <si>
    <t>DAMARIS FLOREZ ALVAREZ</t>
  </si>
  <si>
    <t>MARIA EUGENIA OLIVEROS</t>
  </si>
  <si>
    <t>MARIO ANDRES GRISALES CORREA</t>
  </si>
  <si>
    <t>AMDRES FELIPE YANCES VIEIRA</t>
  </si>
  <si>
    <t>DANIELA GOMEZ MARIN</t>
  </si>
  <si>
    <t>MELANY BLANDON PUERTA</t>
  </si>
  <si>
    <t>LINDA VANESSA PEREZ ESTRADA</t>
  </si>
  <si>
    <t>HAROLD ESCALANTE RAMIREZ</t>
  </si>
  <si>
    <t>ALISON DAHIAN CORRALES LEZCANO</t>
  </si>
  <si>
    <t>KEVIN HARBEY PINO CARDONA</t>
  </si>
  <si>
    <t xml:space="preserve">YESICA VIVIANA PEÑA GUTIERREZ </t>
  </si>
  <si>
    <t>DIANA MARIA TABORDA RESTREPO</t>
  </si>
  <si>
    <t>JEFERSON GUTIERREZ GUTIERREZ</t>
  </si>
  <si>
    <t>LUIS DAN SIRILO GONZALEZ SANDOVAL</t>
  </si>
  <si>
    <t>ALEJANDRO ALVAREZ AGUDELO</t>
  </si>
  <si>
    <t>LUISA FERNANDA PEREZ GALLEGO</t>
  </si>
  <si>
    <t>DIANA MARIA HERNANDEZ CARDENAS</t>
  </si>
  <si>
    <t>SARA MONSALVE CASTILLO</t>
  </si>
  <si>
    <t>DARLIN YOMARA MARTINEZ GIRALDO</t>
  </si>
  <si>
    <t>YAIRETH LORENA RAMOS TOBIAS</t>
  </si>
  <si>
    <t>ISAAC RAMIREZ AVILA</t>
  </si>
  <si>
    <t>ANDRES DAVID FRAGOZO MORAN</t>
  </si>
  <si>
    <t>JHON SEBASTIAN PRIETO SABOGAL</t>
  </si>
  <si>
    <t>YEFERSON SANTOS PEREZ</t>
  </si>
  <si>
    <t>SARA LICETH DIN GULFO</t>
  </si>
  <si>
    <t>MARIANA ALVAREZ OBANDO</t>
  </si>
  <si>
    <t>ANGELICA LOPEZ TABORDA</t>
  </si>
  <si>
    <t>LORENA VARGAS VALENCIA</t>
  </si>
  <si>
    <t>DEISY CUADRADO HERNANEZ</t>
  </si>
  <si>
    <t>ROBINSON  SANCHEZ LONDOÑO</t>
  </si>
  <si>
    <t>SINDY VANESSA TOBON RIVERA</t>
  </si>
  <si>
    <t>JUAN SEBASTIAN MOSQUERA CORDOBA</t>
  </si>
  <si>
    <t>ANDRES FELIPE FRANCO CIRO</t>
  </si>
  <si>
    <t>JORGE GALINDO BARRAGAN</t>
  </si>
  <si>
    <t>AUXILIAR EN ENFERMERIA / SOCORRISTA</t>
  </si>
  <si>
    <t>ENFERMERO</t>
  </si>
  <si>
    <t>APH / SOCORRISTA</t>
  </si>
  <si>
    <t>PERFILES</t>
  </si>
  <si>
    <t>NORELA MONSALVE BRAN</t>
  </si>
  <si>
    <t>LILIANA LINETH RODRIGUEZ MARTINEZ</t>
  </si>
  <si>
    <t>NATALIA MURILLO BAQUERO</t>
  </si>
  <si>
    <t>NICOLAS VLADIMIR ARTEAGA GUERRON</t>
  </si>
  <si>
    <t>ANDRES CASTRILLON MARIN</t>
  </si>
  <si>
    <t>DIEGO ALEJANDRO GUTIERREZ HERRERA</t>
  </si>
  <si>
    <t>MARCELA JARAMILLO JARAMILLO</t>
  </si>
  <si>
    <t>MANUELA RESTREPO RUIZ</t>
  </si>
  <si>
    <t>MANUELA LOPEZ GONZALEZ</t>
  </si>
  <si>
    <t>VALERIA ALVAREZ SANTAMARIA</t>
  </si>
  <si>
    <t>SANDRA MILENA FERNANDEZ CORTEZ</t>
  </si>
  <si>
    <t>ITZ 372</t>
  </si>
  <si>
    <t>YOVANNI GONZALEZ CARVAJAL</t>
  </si>
  <si>
    <t>LAURA VALENTINA AMAYA BUBU</t>
  </si>
  <si>
    <t>MELINA CUARTAS BOTERO</t>
  </si>
  <si>
    <t>FERNEY ANDRES CARTAGENA SUCERQUIA</t>
  </si>
  <si>
    <t>NYKOLL ATEHORTUA CATAÑO</t>
  </si>
  <si>
    <t>ANDRES FELIPE AYALA AREIZA</t>
  </si>
  <si>
    <t>EDWAR MAURICIO BORJA USUGA</t>
  </si>
  <si>
    <t>SUPER CONCIERTO FERIA DE LAS FLORES</t>
  </si>
  <si>
    <t>DANIEL SERNA SUESCUN</t>
  </si>
  <si>
    <t>ANDREA ORTIZ PEREZ</t>
  </si>
  <si>
    <t>JULIANA CADAVID OSSA</t>
  </si>
  <si>
    <t>EQUIPO DE INTERVENCION   - 1 NORTE ALTA</t>
  </si>
  <si>
    <t>EQUIPO DE INTERVENCION  - 2 NORTE BAJA</t>
  </si>
  <si>
    <t>JANETH MILENA MORENO SARRAZOLA</t>
  </si>
  <si>
    <t xml:space="preserve">EQUIPO DE INTERVENCION - 3  OCCIDENTAL ALTA </t>
  </si>
  <si>
    <t>MARIA FERNANDA VARGAS PENAGOS</t>
  </si>
  <si>
    <t xml:space="preserve">EQUIPO DE INTERVENCION - 5 ORIENTAL ALTA </t>
  </si>
  <si>
    <t>LUISA MARIA BARRENECHE CASTAÑEDA</t>
  </si>
  <si>
    <t xml:space="preserve">EQUIPO DE INTERVENCION - 6 ORIENTAL BAJA  </t>
  </si>
  <si>
    <t>ESTEBAN NICOLASFUSTACARA CUBIDES</t>
  </si>
  <si>
    <t>LAURA MELISSA VASQUEZ TOBON</t>
  </si>
  <si>
    <t>KIARA SAMANTHA RENDON SANCHEZ</t>
  </si>
  <si>
    <t>VERONICA LISETH ARANGO MANCO</t>
  </si>
  <si>
    <t>LIACELI PIEDRAITA PARRA</t>
  </si>
  <si>
    <t>PEDRO IGNACIO RODRIGUEZ RUIZ</t>
  </si>
  <si>
    <t>BWK 503</t>
  </si>
  <si>
    <t>CUIDADO VITAL</t>
  </si>
  <si>
    <t>WILLIAM ALBERTO CABALLERO GAVIRIA</t>
  </si>
  <si>
    <t>MARIA EUGENIA GIRALDO BETANCUR</t>
  </si>
  <si>
    <t xml:space="preserve">EQUIPO DE INTERVENCION - 4 OCCIDENTAL BAJA </t>
  </si>
  <si>
    <t>EQUIPO DE INTERVENCION - 7 SUR ALTA</t>
  </si>
  <si>
    <t>EQUIPO DE INTERVENCION - 8  SUR BAJA</t>
  </si>
  <si>
    <t>EQUIPO DE INTERVENCION - 9  APOYO SUR</t>
  </si>
  <si>
    <t>EQUIPO DE INTERVENCION - 10  APOYO NORTE</t>
  </si>
  <si>
    <t>CAMILLEROS SUR</t>
  </si>
  <si>
    <t>CAMILLEROS NORTE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</si>
</sst>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9"/>
      <color indexed="81"/>
      <name val="Tahoma"/>
      <charset val="1"/>
    </font>
    <font>
      <sz val="9"/>
      <color indexed="81"/>
      <name val="Tahoma"/>
      <family val="2"/>
    </font>
    <font>
      <sz val="10"/>
      <color indexed="81"/>
      <name val="Arial"/>
      <family val="2"/>
    </font>
    <font>
      <b/>
      <sz val="9"/>
      <color indexed="81"/>
      <name val="Tahoma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 wrapText="1"/>
    </xf>
    <xf numFmtId="0" fontId="1" fillId="0" borderId="0" xfId="0" applyFont="1" applyAlignment="1">
      <alignment wrapText="1"/>
    </xf>
    <xf numFmtId="0" fontId="7" fillId="2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/>
    <xf numFmtId="0" fontId="7" fillId="0" borderId="0" xfId="0" applyFont="1" applyAlignment="1">
      <alignment vertical="center"/>
    </xf>
    <xf numFmtId="0" fontId="7" fillId="0" borderId="0" xfId="0" applyFont="1"/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left"/>
    </xf>
    <xf numFmtId="0" fontId="7" fillId="0" borderId="4" xfId="0" applyFont="1" applyBorder="1"/>
    <xf numFmtId="0" fontId="7" fillId="0" borderId="4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7" fillId="0" borderId="2" xfId="0" applyFont="1" applyBorder="1"/>
    <xf numFmtId="0" fontId="7" fillId="4" borderId="0" xfId="0" applyFont="1" applyFill="1" applyAlignment="1">
      <alignment horizontal="center" vertical="center"/>
    </xf>
    <xf numFmtId="0" fontId="7" fillId="4" borderId="0" xfId="0" applyFont="1" applyFill="1" applyAlignment="1">
      <alignment horizontal="left"/>
    </xf>
    <xf numFmtId="0" fontId="7" fillId="4" borderId="0" xfId="0" applyFont="1" applyFill="1"/>
    <xf numFmtId="0" fontId="7" fillId="5" borderId="1" xfId="0" applyFont="1" applyFill="1" applyBorder="1" applyAlignment="1">
      <alignment wrapText="1"/>
    </xf>
    <xf numFmtId="0" fontId="7" fillId="5" borderId="1" xfId="0" applyFont="1" applyFill="1" applyBorder="1" applyAlignment="1">
      <alignment vertical="center" wrapText="1"/>
    </xf>
    <xf numFmtId="0" fontId="7" fillId="5" borderId="1" xfId="0" applyFont="1" applyFill="1" applyBorder="1" applyAlignment="1">
      <alignment vertical="center"/>
    </xf>
    <xf numFmtId="0" fontId="7" fillId="4" borderId="13" xfId="0" applyFont="1" applyFill="1" applyBorder="1"/>
    <xf numFmtId="0" fontId="7" fillId="4" borderId="13" xfId="0" applyFont="1" applyFill="1" applyBorder="1" applyAlignment="1">
      <alignment horizontal="left"/>
    </xf>
    <xf numFmtId="0" fontId="7" fillId="5" borderId="13" xfId="0" applyFont="1" applyFill="1" applyBorder="1" applyAlignment="1">
      <alignment horizontal="center" vertical="center"/>
    </xf>
    <xf numFmtId="0" fontId="7" fillId="4" borderId="13" xfId="0" applyFont="1" applyFill="1" applyBorder="1" applyAlignment="1">
      <alignment horizontal="center"/>
    </xf>
    <xf numFmtId="0" fontId="7" fillId="4" borderId="13" xfId="0" applyFont="1" applyFill="1" applyBorder="1" applyAlignment="1">
      <alignment horizontal="right"/>
    </xf>
    <xf numFmtId="0" fontId="7" fillId="0" borderId="13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3" xfId="0" applyBorder="1" applyAlignment="1">
      <alignment horizontal="center" vertical="center"/>
    </xf>
    <xf numFmtId="1" fontId="0" fillId="0" borderId="13" xfId="0" applyNumberFormat="1" applyBorder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2" borderId="13" xfId="0" applyFont="1" applyFill="1" applyBorder="1" applyAlignment="1">
      <alignment horizontal="center" vertical="center"/>
    </xf>
    <xf numFmtId="0" fontId="7" fillId="5" borderId="13" xfId="0" applyFont="1" applyFill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5" borderId="13" xfId="0" applyFont="1" applyFill="1" applyBorder="1" applyAlignment="1">
      <alignment horizontal="left" vertical="center"/>
    </xf>
    <xf numFmtId="0" fontId="7" fillId="0" borderId="13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5" borderId="2" xfId="0" applyFont="1" applyFill="1" applyBorder="1" applyAlignment="1">
      <alignment horizontal="left" vertical="center"/>
    </xf>
    <xf numFmtId="0" fontId="7" fillId="5" borderId="4" xfId="0" applyFont="1" applyFill="1" applyBorder="1" applyAlignment="1">
      <alignment horizontal="left" vertical="center"/>
    </xf>
    <xf numFmtId="0" fontId="7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14" fontId="7" fillId="0" borderId="7" xfId="0" applyNumberFormat="1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7" fillId="5" borderId="12" xfId="0" applyFont="1" applyFill="1" applyBorder="1" applyAlignment="1">
      <alignment horizontal="left" vertical="center"/>
    </xf>
    <xf numFmtId="0" fontId="7" fillId="5" borderId="2" xfId="0" applyFont="1" applyFill="1" applyBorder="1" applyAlignment="1">
      <alignment horizontal="left" vertical="center" wrapText="1"/>
    </xf>
    <xf numFmtId="0" fontId="7" fillId="5" borderId="4" xfId="0" applyFont="1" applyFill="1" applyBorder="1" applyAlignment="1">
      <alignment horizontal="left" vertical="center" wrapText="1"/>
    </xf>
    <xf numFmtId="0" fontId="7" fillId="3" borderId="9" xfId="0" applyFont="1" applyFill="1" applyBorder="1" applyAlignment="1">
      <alignment horizontal="center" vertical="center"/>
    </xf>
    <xf numFmtId="0" fontId="7" fillId="3" borderId="10" xfId="0" applyFont="1" applyFill="1" applyBorder="1" applyAlignment="1">
      <alignment horizontal="center" vertic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1129712</xdr:colOff>
      <xdr:row>0</xdr:row>
      <xdr:rowOff>172403</xdr:rowOff>
    </xdr:from>
    <xdr:to>
      <xdr:col>4</xdr:col>
      <xdr:colOff>191135</xdr:colOff>
      <xdr:row>1</xdr:row>
      <xdr:rowOff>258322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35952" y="172403"/>
          <a:ext cx="539703" cy="520259"/>
        </a:xfrm>
        <a:prstGeom prst="rect">
          <a:avLst/>
        </a:prstGeom>
      </xdr:spPr>
    </xdr:pic>
    <xdr:clientData/>
  </xdr:twoCellAnchor>
  <xdr:twoCellAnchor editAs="oneCell">
    <xdr:from>
      <xdr:col>4</xdr:col>
      <xdr:colOff>270508</xdr:colOff>
      <xdr:row>0</xdr:row>
      <xdr:rowOff>175896</xdr:rowOff>
    </xdr:from>
    <xdr:to>
      <xdr:col>4</xdr:col>
      <xdr:colOff>1031873</xdr:colOff>
      <xdr:row>1</xdr:row>
      <xdr:rowOff>245746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55028" y="175896"/>
          <a:ext cx="761365" cy="504190"/>
        </a:xfrm>
        <a:prstGeom prst="rect">
          <a:avLst/>
        </a:prstGeom>
      </xdr:spPr>
    </xdr:pic>
    <xdr:clientData/>
  </xdr:twoCellAnchor>
  <xdr:twoCellAnchor>
    <xdr:from>
      <xdr:col>0</xdr:col>
      <xdr:colOff>68580</xdr:colOff>
      <xdr:row>0</xdr:row>
      <xdr:rowOff>129602</xdr:rowOff>
    </xdr:from>
    <xdr:to>
      <xdr:col>1</xdr:col>
      <xdr:colOff>1706880</xdr:colOff>
      <xdr:row>1</xdr:row>
      <xdr:rowOff>350520</xdr:rowOff>
    </xdr:to>
    <xdr:pic>
      <xdr:nvPicPr>
        <xdr:cNvPr id="5" name="4 Imagen" descr="logo201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" y="129602"/>
          <a:ext cx="1996440" cy="6552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0"/>
  <sheetViews>
    <sheetView tabSelected="1" view="pageLayout" topLeftCell="A148" zoomScale="115" zoomScaleNormal="120" zoomScalePageLayoutView="115" workbookViewId="0">
      <selection activeCell="D153" sqref="D153"/>
    </sheetView>
  </sheetViews>
  <sheetFormatPr baseColWidth="10" defaultColWidth="11.44140625" defaultRowHeight="15" x14ac:dyDescent="0.25"/>
  <cols>
    <col min="1" max="1" width="5" style="1" customWidth="1"/>
    <col min="2" max="2" width="33.109375" style="1" customWidth="1"/>
    <col min="3" max="4" width="20.6640625" style="1" customWidth="1"/>
    <col min="5" max="5" width="15.6640625" style="1" customWidth="1"/>
    <col min="6" max="16384" width="11.44140625" style="1"/>
  </cols>
  <sheetData>
    <row r="1" spans="1:8" ht="34.5" customHeight="1" x14ac:dyDescent="0.25">
      <c r="A1" s="30" t="s">
        <v>96</v>
      </c>
      <c r="B1" s="30"/>
      <c r="C1" s="30"/>
      <c r="D1" s="30"/>
      <c r="E1" s="30"/>
    </row>
    <row r="2" spans="1:8" ht="34.5" customHeight="1" thickBot="1" x14ac:dyDescent="0.35">
      <c r="A2" s="31"/>
      <c r="B2" s="31"/>
      <c r="C2" s="31"/>
      <c r="D2" s="31"/>
      <c r="E2" s="31"/>
      <c r="F2" s="2"/>
      <c r="G2"/>
      <c r="H2" s="2"/>
    </row>
    <row r="3" spans="1:8" ht="16.2" thickBot="1" x14ac:dyDescent="0.35">
      <c r="A3" s="37"/>
      <c r="B3" s="37"/>
      <c r="C3" s="37"/>
      <c r="D3" s="37"/>
      <c r="E3" s="37"/>
    </row>
    <row r="4" spans="1:8" ht="15.6" thickBot="1" x14ac:dyDescent="0.3">
      <c r="A4" s="47" t="s">
        <v>17</v>
      </c>
      <c r="B4" s="48"/>
      <c r="C4" s="4" t="s">
        <v>15</v>
      </c>
      <c r="D4" s="4" t="s">
        <v>0</v>
      </c>
      <c r="E4" s="4" t="s">
        <v>24</v>
      </c>
    </row>
    <row r="5" spans="1:8" ht="15.6" thickBot="1" x14ac:dyDescent="0.3">
      <c r="A5" s="43" t="s">
        <v>437</v>
      </c>
      <c r="B5" s="44"/>
      <c r="C5" s="5"/>
      <c r="D5" s="5"/>
      <c r="E5" s="5"/>
    </row>
    <row r="6" spans="1:8" ht="15.6" thickBot="1" x14ac:dyDescent="0.3">
      <c r="A6" s="52" t="s">
        <v>18</v>
      </c>
      <c r="B6" s="53"/>
      <c r="C6" s="4" t="s">
        <v>23</v>
      </c>
      <c r="D6" s="4" t="s">
        <v>16</v>
      </c>
      <c r="E6" s="4" t="s">
        <v>25</v>
      </c>
    </row>
    <row r="7" spans="1:8" ht="16.2" thickBot="1" x14ac:dyDescent="0.35">
      <c r="A7" s="45">
        <v>46242</v>
      </c>
      <c r="B7" s="46"/>
      <c r="C7" s="6"/>
      <c r="D7" s="6"/>
      <c r="E7" s="6"/>
    </row>
    <row r="8" spans="1:8" ht="15.6" thickBot="1" x14ac:dyDescent="0.3">
      <c r="A8" s="38"/>
      <c r="B8" s="39"/>
      <c r="C8" s="39"/>
      <c r="D8" s="39"/>
      <c r="E8" s="40"/>
    </row>
    <row r="9" spans="1:8" ht="15.6" thickBot="1" x14ac:dyDescent="0.3">
      <c r="A9" s="41" t="s">
        <v>19</v>
      </c>
      <c r="B9" s="42"/>
      <c r="C9" s="38" t="s">
        <v>35</v>
      </c>
      <c r="D9" s="39"/>
      <c r="E9" s="40"/>
    </row>
    <row r="10" spans="1:8" ht="15.6" thickBot="1" x14ac:dyDescent="0.3">
      <c r="A10" s="41" t="s">
        <v>1</v>
      </c>
      <c r="B10" s="42"/>
      <c r="C10" s="38" t="s">
        <v>438</v>
      </c>
      <c r="D10" s="39"/>
      <c r="E10" s="40"/>
    </row>
    <row r="11" spans="1:8" ht="15.6" thickBot="1" x14ac:dyDescent="0.3">
      <c r="A11" s="49" t="s">
        <v>21</v>
      </c>
      <c r="B11" s="42"/>
      <c r="C11" s="13"/>
      <c r="D11" s="20" t="s">
        <v>20</v>
      </c>
      <c r="E11" s="12"/>
    </row>
    <row r="12" spans="1:8" ht="28.2" thickBot="1" x14ac:dyDescent="0.35">
      <c r="A12" s="50" t="s">
        <v>11</v>
      </c>
      <c r="B12" s="51"/>
      <c r="C12" s="13"/>
      <c r="D12" s="18" t="s">
        <v>22</v>
      </c>
      <c r="E12" s="12"/>
    </row>
    <row r="13" spans="1:8" ht="28.2" thickBot="1" x14ac:dyDescent="0.35">
      <c r="A13" s="41" t="s">
        <v>13</v>
      </c>
      <c r="B13" s="42"/>
      <c r="C13" s="14"/>
      <c r="D13" s="19" t="s">
        <v>12</v>
      </c>
      <c r="E13" s="11"/>
    </row>
    <row r="14" spans="1:8" x14ac:dyDescent="0.25">
      <c r="A14" s="7"/>
      <c r="B14" s="7"/>
      <c r="C14" s="7"/>
      <c r="D14" s="7"/>
      <c r="E14" s="7"/>
    </row>
    <row r="15" spans="1:8" ht="13.95" customHeight="1" x14ac:dyDescent="0.25">
      <c r="A15" s="32" t="s">
        <v>98</v>
      </c>
      <c r="B15" s="32"/>
      <c r="C15" s="32"/>
      <c r="D15" s="32"/>
      <c r="E15" s="32"/>
    </row>
    <row r="16" spans="1:8" ht="13.95" customHeight="1" x14ac:dyDescent="0.25">
      <c r="A16" s="23" t="s">
        <v>2</v>
      </c>
      <c r="B16" s="23" t="s">
        <v>3</v>
      </c>
      <c r="C16" s="23" t="s">
        <v>6</v>
      </c>
      <c r="D16" s="23" t="s">
        <v>5</v>
      </c>
      <c r="E16" s="23" t="s">
        <v>4</v>
      </c>
    </row>
    <row r="17" spans="1:6" ht="13.95" customHeight="1" x14ac:dyDescent="0.3">
      <c r="A17" s="23">
        <v>1</v>
      </c>
      <c r="B17" s="22" t="str">
        <f>LOOKUP('HOJA 1'!C17,Hoja4!B:B,Hoja4!A:A)</f>
        <v>ANGELIN GAVIRIA VANEGAS</v>
      </c>
      <c r="C17" s="24">
        <v>1000099681</v>
      </c>
      <c r="D17" s="21" t="str">
        <f>LOOKUP(C17,Hoja4!B:B,Hoja4!D:D)</f>
        <v>APH</v>
      </c>
      <c r="E17" s="25">
        <f>LOOKUP('HOJA 1'!C17,Hoja4!B:B,Hoja4!C:C)</f>
        <v>25060173755</v>
      </c>
    </row>
    <row r="18" spans="1:6" ht="13.95" customHeight="1" x14ac:dyDescent="0.3">
      <c r="A18" s="23">
        <v>2</v>
      </c>
      <c r="B18" s="22" t="str">
        <f>LOOKUP('HOJA 1'!C18,Hoja4!B:B,Hoja4!A:A)</f>
        <v>ANDREA ORTIZ PEREZ</v>
      </c>
      <c r="C18" s="24">
        <v>1037662578</v>
      </c>
      <c r="D18" s="21" t="str">
        <f>LOOKUP(C18,Hoja4!B:B,Hoja4!D:D)</f>
        <v>AUXILIAR EN ENFERMERIA</v>
      </c>
      <c r="E18" s="25">
        <f>LOOKUP('HOJA 1'!C18,Hoja4!B:B,Hoja4!C:C)</f>
        <v>5422227</v>
      </c>
    </row>
    <row r="19" spans="1:6" ht="13.95" customHeight="1" x14ac:dyDescent="0.3">
      <c r="A19" s="23">
        <v>3</v>
      </c>
      <c r="B19" s="22" t="str">
        <f>LOOKUP('HOJA 1'!C19,Hoja4!B:B,Hoja4!A:A)</f>
        <v>MARISOL JIMENEZ ARIAS</v>
      </c>
      <c r="C19" s="24">
        <v>43155821</v>
      </c>
      <c r="D19" s="21" t="str">
        <f>LOOKUP(C19,Hoja4!B:B,Hoja4!D:D)</f>
        <v>MEDICO</v>
      </c>
      <c r="E19" s="25">
        <f>LOOKUP('HOJA 1'!C19,Hoja4!B:B,Hoja4!C:C)</f>
        <v>3414</v>
      </c>
    </row>
    <row r="20" spans="1:6" ht="13.95" customHeight="1" x14ac:dyDescent="0.3">
      <c r="A20" s="23">
        <v>4</v>
      </c>
      <c r="B20" s="22" t="e">
        <f>LOOKUP('HOJA 1'!C20,Hoja4!B:B,Hoja4!A:A)</f>
        <v>#N/A</v>
      </c>
      <c r="C20" s="24"/>
      <c r="D20" s="21" t="e">
        <f>LOOKUP(C20,Hoja4!B:B,Hoja4!D:D)</f>
        <v>#N/A</v>
      </c>
      <c r="E20" s="25" t="e">
        <f>LOOKUP('HOJA 1'!C20,Hoja4!B:B,Hoja4!C:C)</f>
        <v>#N/A</v>
      </c>
    </row>
    <row r="21" spans="1:6" ht="13.95" customHeight="1" x14ac:dyDescent="0.3">
      <c r="A21" s="23">
        <v>5</v>
      </c>
      <c r="B21" s="22" t="e">
        <f>LOOKUP('HOJA 1'!C21,Hoja4!B:B,Hoja4!A:A)</f>
        <v>#N/A</v>
      </c>
      <c r="C21" s="24"/>
      <c r="D21" s="21" t="e">
        <f>LOOKUP(C21,Hoja4!B:B,Hoja4!D:D)</f>
        <v>#N/A</v>
      </c>
      <c r="E21" s="25" t="e">
        <f>LOOKUP('HOJA 1'!C21,Hoja4!B:B,Hoja4!C:C)</f>
        <v>#N/A</v>
      </c>
    </row>
    <row r="22" spans="1:6" ht="13.95" customHeight="1" x14ac:dyDescent="0.3">
      <c r="A22" s="8"/>
      <c r="B22" s="17"/>
      <c r="C22" s="17"/>
      <c r="D22" s="17"/>
      <c r="E22" s="17"/>
    </row>
    <row r="23" spans="1:6" ht="13.95" customHeight="1" x14ac:dyDescent="0.25">
      <c r="A23" s="32" t="s">
        <v>99</v>
      </c>
      <c r="B23" s="32"/>
      <c r="C23" s="32"/>
      <c r="D23" s="32"/>
      <c r="E23" s="32"/>
    </row>
    <row r="24" spans="1:6" ht="13.95" customHeight="1" x14ac:dyDescent="0.25">
      <c r="A24" s="23" t="s">
        <v>2</v>
      </c>
      <c r="B24" s="23" t="s">
        <v>3</v>
      </c>
      <c r="C24" s="23" t="s">
        <v>6</v>
      </c>
      <c r="D24" s="23" t="s">
        <v>5</v>
      </c>
      <c r="E24" s="23" t="s">
        <v>4</v>
      </c>
    </row>
    <row r="25" spans="1:6" ht="13.95" customHeight="1" x14ac:dyDescent="0.3">
      <c r="A25" s="23">
        <v>1</v>
      </c>
      <c r="B25" s="22" t="e">
        <f>LOOKUP('HOJA 1'!C25,Hoja4!B:B,Hoja4!A:A)</f>
        <v>#N/A</v>
      </c>
      <c r="C25" s="24"/>
      <c r="D25" s="21" t="e">
        <f>LOOKUP(C25,Hoja4!B:B,Hoja4!D:D)</f>
        <v>#N/A</v>
      </c>
      <c r="E25" s="25" t="e">
        <f>LOOKUP('HOJA 1'!C25,Hoja4!B:B,Hoja4!C:C)</f>
        <v>#N/A</v>
      </c>
    </row>
    <row r="26" spans="1:6" ht="13.95" customHeight="1" x14ac:dyDescent="0.3">
      <c r="A26" s="23">
        <v>2</v>
      </c>
      <c r="B26" s="22" t="e">
        <f>LOOKUP('HOJA 1'!C26,Hoja4!B:B,Hoja4!A:A)</f>
        <v>#N/A</v>
      </c>
      <c r="C26" s="24"/>
      <c r="D26" s="21" t="e">
        <f>LOOKUP(C26,Hoja4!B:B,Hoja4!D:D)</f>
        <v>#N/A</v>
      </c>
      <c r="E26" s="25" t="e">
        <f>LOOKUP('HOJA 1'!C26,Hoja4!B:B,Hoja4!C:C)</f>
        <v>#N/A</v>
      </c>
    </row>
    <row r="27" spans="1:6" ht="13.95" customHeight="1" x14ac:dyDescent="0.3">
      <c r="A27" s="23">
        <v>3</v>
      </c>
      <c r="B27" s="22" t="e">
        <f>LOOKUP('HOJA 1'!C27,Hoja4!B:B,Hoja4!A:A)</f>
        <v>#N/A</v>
      </c>
      <c r="C27" s="24"/>
      <c r="D27" s="21" t="e">
        <f>LOOKUP(C27,Hoja4!B:B,Hoja4!D:D)</f>
        <v>#N/A</v>
      </c>
      <c r="E27" s="25" t="e">
        <f>LOOKUP('HOJA 1'!C27,Hoja4!B:B,Hoja4!C:C)</f>
        <v>#N/A</v>
      </c>
    </row>
    <row r="28" spans="1:6" ht="13.95" customHeight="1" x14ac:dyDescent="0.3">
      <c r="A28" s="23">
        <v>4</v>
      </c>
      <c r="B28" s="22" t="e">
        <f>LOOKUP('HOJA 1'!C28,Hoja4!B:B,Hoja4!A:A)</f>
        <v>#N/A</v>
      </c>
      <c r="C28" s="24"/>
      <c r="D28" s="21" t="e">
        <f>LOOKUP(C28,Hoja4!B:B,Hoja4!D:D)</f>
        <v>#N/A</v>
      </c>
      <c r="E28" s="25" t="e">
        <f>LOOKUP('HOJA 1'!C28,Hoja4!B:B,Hoja4!C:C)</f>
        <v>#N/A</v>
      </c>
    </row>
    <row r="29" spans="1:6" ht="13.95" customHeight="1" x14ac:dyDescent="0.3">
      <c r="A29" s="23">
        <v>5</v>
      </c>
      <c r="B29" s="22" t="e">
        <f>LOOKUP('HOJA 1'!C29,Hoja4!B:B,Hoja4!A:A)</f>
        <v>#N/A</v>
      </c>
      <c r="C29" s="24"/>
      <c r="D29" s="21" t="e">
        <f>LOOKUP(C29,Hoja4!B:B,Hoja4!D:D)</f>
        <v>#N/A</v>
      </c>
      <c r="E29" s="25" t="e">
        <f>LOOKUP('HOJA 1'!C29,Hoja4!B:B,Hoja4!C:C)</f>
        <v>#N/A</v>
      </c>
    </row>
    <row r="30" spans="1:6" ht="13.95" customHeight="1" x14ac:dyDescent="0.3">
      <c r="A30" s="8"/>
      <c r="B30" s="8"/>
      <c r="C30" s="8"/>
      <c r="D30" s="8"/>
      <c r="E30" s="8"/>
    </row>
    <row r="31" spans="1:6" ht="13.95" customHeight="1" x14ac:dyDescent="0.25">
      <c r="A31" s="32" t="s">
        <v>30</v>
      </c>
      <c r="B31" s="32"/>
      <c r="C31" s="32"/>
      <c r="D31" s="32"/>
      <c r="E31" s="32"/>
    </row>
    <row r="32" spans="1:6" ht="13.95" customHeight="1" x14ac:dyDescent="0.25">
      <c r="A32" s="23" t="s">
        <v>2</v>
      </c>
      <c r="B32" s="23" t="s">
        <v>3</v>
      </c>
      <c r="C32" s="23" t="s">
        <v>6</v>
      </c>
      <c r="D32" s="23" t="s">
        <v>5</v>
      </c>
      <c r="E32" s="23" t="s">
        <v>4</v>
      </c>
      <c r="F32" s="3"/>
    </row>
    <row r="33" spans="1:6" ht="13.95" customHeight="1" x14ac:dyDescent="0.3">
      <c r="A33" s="23">
        <v>1</v>
      </c>
      <c r="B33" s="22" t="str">
        <f>LOOKUP('HOJA 1'!C33,Hoja4!B:B,Hoja4!A:A)</f>
        <v>MARYORI ALEJANDRA FRANCO RIOS</v>
      </c>
      <c r="C33" s="24">
        <v>1036674174</v>
      </c>
      <c r="D33" s="21" t="str">
        <f>LOOKUP(C33,Hoja4!B:B,Hoja4!D:D)</f>
        <v>AUXILIAR EN ENFERMERIA</v>
      </c>
      <c r="E33" s="25">
        <f>LOOKUP('HOJA 1'!C33,Hoja4!B:B,Hoja4!C:C)</f>
        <v>5447719</v>
      </c>
    </row>
    <row r="34" spans="1:6" ht="13.95" customHeight="1" x14ac:dyDescent="0.3">
      <c r="A34" s="23">
        <v>2</v>
      </c>
      <c r="B34" s="22" t="str">
        <f>LOOKUP('HOJA 1'!C34,Hoja4!B:B,Hoja4!A:A)</f>
        <v>ORIANA MARIA DAVID MARULANDA</v>
      </c>
      <c r="C34" s="24">
        <v>1038334858</v>
      </c>
      <c r="D34" s="21" t="str">
        <f>LOOKUP(C34,Hoja4!B:B,Hoja4!D:D)</f>
        <v>AUXILIAR EN ENFERMERIA</v>
      </c>
      <c r="E34" s="25">
        <f>LOOKUP('HOJA 1'!C34,Hoja4!B:B,Hoja4!C:C)</f>
        <v>5797015</v>
      </c>
    </row>
    <row r="35" spans="1:6" ht="13.95" customHeight="1" x14ac:dyDescent="0.3">
      <c r="A35" s="23">
        <v>3</v>
      </c>
      <c r="B35" s="22" t="str">
        <f>LOOKUP('HOJA 1'!C35,Hoja4!B:B,Hoja4!A:A)</f>
        <v>VALERY CORTES SOSA</v>
      </c>
      <c r="C35" s="24">
        <v>1001228414</v>
      </c>
      <c r="D35" s="21" t="str">
        <f>LOOKUP(C35,Hoja4!B:B,Hoja4!D:D)</f>
        <v>ESTUDIANTE</v>
      </c>
      <c r="E35" s="25" t="str">
        <f>LOOKUP('HOJA 1'!C35,Hoja4!B:B,Hoja4!C:C)</f>
        <v>-</v>
      </c>
    </row>
    <row r="36" spans="1:6" ht="13.95" customHeight="1" x14ac:dyDescent="0.3">
      <c r="A36" s="23">
        <v>4</v>
      </c>
      <c r="B36" s="22" t="e">
        <f>LOOKUP('HOJA 1'!C36,Hoja4!B:B,Hoja4!A:A)</f>
        <v>#N/A</v>
      </c>
      <c r="C36" s="24"/>
      <c r="D36" s="21" t="e">
        <f>LOOKUP(C36,Hoja4!B:B,Hoja4!D:D)</f>
        <v>#N/A</v>
      </c>
      <c r="E36" s="25" t="e">
        <f>LOOKUP('HOJA 1'!C36,Hoja4!B:B,Hoja4!C:C)</f>
        <v>#N/A</v>
      </c>
    </row>
    <row r="37" spans="1:6" ht="13.95" customHeight="1" x14ac:dyDescent="0.3">
      <c r="A37" s="23">
        <v>5</v>
      </c>
      <c r="B37" s="22" t="e">
        <f>LOOKUP('HOJA 1'!C37,Hoja4!B:B,Hoja4!A:A)</f>
        <v>#N/A</v>
      </c>
      <c r="C37" s="24"/>
      <c r="D37" s="21" t="e">
        <f>LOOKUP(C37,Hoja4!B:B,Hoja4!D:D)</f>
        <v>#N/A</v>
      </c>
      <c r="E37" s="25" t="e">
        <f>LOOKUP('HOJA 1'!C37,Hoja4!B:B,Hoja4!C:C)</f>
        <v>#N/A</v>
      </c>
    </row>
    <row r="38" spans="1:6" ht="13.95" customHeight="1" x14ac:dyDescent="0.3">
      <c r="A38" s="9"/>
      <c r="B38" s="10"/>
      <c r="C38" s="8"/>
      <c r="D38" s="8"/>
      <c r="E38" s="8"/>
    </row>
    <row r="39" spans="1:6" ht="13.95" customHeight="1" x14ac:dyDescent="0.25">
      <c r="A39" s="32" t="s">
        <v>97</v>
      </c>
      <c r="B39" s="32"/>
      <c r="C39" s="32"/>
      <c r="D39" s="32"/>
      <c r="E39" s="32"/>
    </row>
    <row r="40" spans="1:6" ht="13.95" customHeight="1" x14ac:dyDescent="0.25">
      <c r="A40" s="23" t="s">
        <v>2</v>
      </c>
      <c r="B40" s="23" t="s">
        <v>3</v>
      </c>
      <c r="C40" s="23" t="s">
        <v>6</v>
      </c>
      <c r="D40" s="23" t="s">
        <v>5</v>
      </c>
      <c r="E40" s="23" t="s">
        <v>4</v>
      </c>
      <c r="F40" s="3"/>
    </row>
    <row r="41" spans="1:6" ht="13.95" customHeight="1" x14ac:dyDescent="0.3">
      <c r="A41" s="23">
        <v>1</v>
      </c>
      <c r="B41" s="22" t="str">
        <f>LOOKUP('HOJA 1'!C41,Hoja4!B:B,Hoja4!A:A)</f>
        <v>MARIA CAMILA SANCHEZ SANCHEZ</v>
      </c>
      <c r="C41" s="24">
        <v>1017273119</v>
      </c>
      <c r="D41" s="21" t="str">
        <f>LOOKUP(C41,Hoja4!B:B,Hoja4!D:D)</f>
        <v>AUXILIAR EN ENFERMERIA</v>
      </c>
      <c r="E41" s="25">
        <f>LOOKUP('HOJA 1'!C41,Hoja4!B:B,Hoja4!C:C)</f>
        <v>5652818</v>
      </c>
    </row>
    <row r="42" spans="1:6" ht="13.95" customHeight="1" x14ac:dyDescent="0.3">
      <c r="A42" s="23">
        <v>2</v>
      </c>
      <c r="B42" s="22" t="str">
        <f>LOOKUP('HOJA 1'!C42,Hoja4!B:B,Hoja4!A:A)</f>
        <v>MARIA ALEJANDRA RINCON LOPEZ</v>
      </c>
      <c r="C42" s="24">
        <v>1004367322</v>
      </c>
      <c r="D42" s="21" t="str">
        <f>LOOKUP(C42,Hoja4!B:B,Hoja4!D:D)</f>
        <v>ESTUDIANTE</v>
      </c>
      <c r="E42" s="25" t="str">
        <f>LOOKUP('HOJA 1'!C42,Hoja4!B:B,Hoja4!C:C)</f>
        <v>-</v>
      </c>
    </row>
    <row r="43" spans="1:6" ht="13.95" customHeight="1" x14ac:dyDescent="0.3">
      <c r="A43" s="23">
        <v>3</v>
      </c>
      <c r="B43" s="22" t="str">
        <f>LOOKUP('HOJA 1'!C43,Hoja4!B:B,Hoja4!A:A)</f>
        <v>JULIANA CADAVID OSSA</v>
      </c>
      <c r="C43" s="24">
        <v>1017182984</v>
      </c>
      <c r="D43" s="21" t="str">
        <f>LOOKUP(C43,Hoja4!B:B,Hoja4!D:D)</f>
        <v>ESTUDIANTE</v>
      </c>
      <c r="E43" s="25">
        <f>LOOKUP('HOJA 1'!C43,Hoja4!B:B,Hoja4!C:C)</f>
        <v>0</v>
      </c>
    </row>
    <row r="44" spans="1:6" ht="13.95" customHeight="1" x14ac:dyDescent="0.3">
      <c r="A44" s="23">
        <v>4</v>
      </c>
      <c r="B44" s="22" t="e">
        <f>LOOKUP('HOJA 1'!C44,Hoja4!B:B,Hoja4!A:A)</f>
        <v>#N/A</v>
      </c>
      <c r="C44" s="24"/>
      <c r="D44" s="21" t="e">
        <f>LOOKUP(C44,Hoja4!B:B,Hoja4!D:D)</f>
        <v>#N/A</v>
      </c>
      <c r="E44" s="25" t="e">
        <f>LOOKUP('HOJA 1'!C44,Hoja4!B:B,Hoja4!C:C)</f>
        <v>#N/A</v>
      </c>
    </row>
    <row r="45" spans="1:6" ht="13.95" customHeight="1" x14ac:dyDescent="0.3">
      <c r="A45" s="23">
        <v>5</v>
      </c>
      <c r="B45" s="22" t="e">
        <f>LOOKUP('HOJA 1'!C45,Hoja4!B:B,Hoja4!A:A)</f>
        <v>#N/A</v>
      </c>
      <c r="C45" s="24"/>
      <c r="D45" s="21" t="e">
        <f>LOOKUP(C45,Hoja4!B:B,Hoja4!D:D)</f>
        <v>#N/A</v>
      </c>
      <c r="E45" s="25" t="e">
        <f>LOOKUP('HOJA 1'!C45,Hoja4!B:B,Hoja4!C:C)</f>
        <v>#N/A</v>
      </c>
    </row>
    <row r="46" spans="1:6" ht="13.95" customHeight="1" x14ac:dyDescent="0.3">
      <c r="A46" s="9"/>
      <c r="B46" s="10"/>
      <c r="C46" s="8"/>
      <c r="D46" s="8"/>
      <c r="E46" s="8"/>
    </row>
    <row r="47" spans="1:6" ht="13.95" customHeight="1" x14ac:dyDescent="0.25">
      <c r="A47" s="32" t="s">
        <v>441</v>
      </c>
      <c r="B47" s="32"/>
      <c r="C47" s="32"/>
      <c r="D47" s="32"/>
      <c r="E47" s="32"/>
    </row>
    <row r="48" spans="1:6" ht="13.95" customHeight="1" x14ac:dyDescent="0.25">
      <c r="A48" s="23" t="s">
        <v>2</v>
      </c>
      <c r="B48" s="23" t="s">
        <v>3</v>
      </c>
      <c r="C48" s="23" t="s">
        <v>6</v>
      </c>
      <c r="D48" s="23" t="s">
        <v>5</v>
      </c>
      <c r="E48" s="23" t="s">
        <v>4</v>
      </c>
      <c r="F48" s="3"/>
    </row>
    <row r="49" spans="1:5" ht="13.95" customHeight="1" x14ac:dyDescent="0.3">
      <c r="A49" s="23">
        <v>1</v>
      </c>
      <c r="B49" s="22" t="str">
        <f>LOOKUP('HOJA 1'!C49,Hoja4!B:B,Hoja4!A:A)</f>
        <v>LAURA DIAZ FRANCO</v>
      </c>
      <c r="C49" s="24">
        <v>1011510860</v>
      </c>
      <c r="D49" s="21" t="str">
        <f>LOOKUP(C49,Hoja4!B:B,Hoja4!D:D)</f>
        <v>ESTUDIANTE</v>
      </c>
      <c r="E49" s="25" t="str">
        <f>LOOKUP('HOJA 1'!C49,Hoja4!B:B,Hoja4!C:C)</f>
        <v>-</v>
      </c>
    </row>
    <row r="50" spans="1:5" ht="13.95" customHeight="1" x14ac:dyDescent="0.3">
      <c r="A50" s="23">
        <v>2</v>
      </c>
      <c r="B50" s="22" t="str">
        <f>LOOKUP('HOJA 1'!C50,Hoja4!B:B,Hoja4!A:A)</f>
        <v>EDWAR MAURICIO BORJA USUGA</v>
      </c>
      <c r="C50" s="24">
        <v>1038803821</v>
      </c>
      <c r="D50" s="21" t="str">
        <f>LOOKUP(C50,Hoja4!B:B,Hoja4!D:D)</f>
        <v>AUXILIAR EN ENFERMERIA</v>
      </c>
      <c r="E50" s="25">
        <f>LOOKUP('HOJA 1'!C50,Hoja4!B:B,Hoja4!C:C)</f>
        <v>8058</v>
      </c>
    </row>
    <row r="51" spans="1:5" ht="13.95" customHeight="1" x14ac:dyDescent="0.3">
      <c r="A51" s="23">
        <v>3</v>
      </c>
      <c r="B51" s="22" t="str">
        <f>LOOKUP('HOJA 1'!C51,Hoja4!B:B,Hoja4!A:A)</f>
        <v>DEISY CUADRADO HERNANEZ</v>
      </c>
      <c r="C51" s="24">
        <v>1194405964</v>
      </c>
      <c r="D51" s="21" t="str">
        <f>LOOKUP(C51,Hoja4!B:B,Hoja4!D:D)</f>
        <v>ESTUDIANTE</v>
      </c>
      <c r="E51" s="25" t="str">
        <f>LOOKUP('HOJA 1'!C51,Hoja4!B:B,Hoja4!C:C)</f>
        <v>-</v>
      </c>
    </row>
    <row r="52" spans="1:5" ht="13.95" customHeight="1" x14ac:dyDescent="0.3">
      <c r="A52" s="23">
        <v>4</v>
      </c>
      <c r="B52" s="22" t="str">
        <f>LOOKUP('HOJA 1'!C52,Hoja4!B:B,Hoja4!A:A)</f>
        <v>MATEO JARAMILLO DUQUE</v>
      </c>
      <c r="C52" s="24">
        <v>1001016088</v>
      </c>
      <c r="D52" s="21" t="str">
        <f>LOOKUP(C52,Hoja4!B:B,Hoja4!D:D)</f>
        <v>ESTUDIANTE</v>
      </c>
      <c r="E52" s="25" t="str">
        <f>LOOKUP('HOJA 1'!C52,Hoja4!B:B,Hoja4!C:C)</f>
        <v>-</v>
      </c>
    </row>
    <row r="53" spans="1:5" ht="13.95" customHeight="1" x14ac:dyDescent="0.3">
      <c r="A53" s="23">
        <v>5</v>
      </c>
      <c r="B53" s="22" t="e">
        <f>LOOKUP('HOJA 1'!C53,Hoja4!B:B,Hoja4!A:A)</f>
        <v>#N/A</v>
      </c>
      <c r="C53" s="24"/>
      <c r="D53" s="21" t="e">
        <f>LOOKUP(C53,Hoja4!B:B,Hoja4!D:D)</f>
        <v>#N/A</v>
      </c>
      <c r="E53" s="25" t="e">
        <f>LOOKUP('HOJA 1'!C53,Hoja4!B:B,Hoja4!C:C)</f>
        <v>#N/A</v>
      </c>
    </row>
    <row r="54" spans="1:5" ht="13.95" customHeight="1" x14ac:dyDescent="0.3">
      <c r="A54" s="9"/>
      <c r="B54" s="10"/>
      <c r="C54" s="8"/>
      <c r="D54" s="8"/>
      <c r="E54" s="8"/>
    </row>
    <row r="55" spans="1:5" ht="13.95" customHeight="1" x14ac:dyDescent="0.25">
      <c r="A55" s="32" t="s">
        <v>442</v>
      </c>
      <c r="B55" s="32"/>
      <c r="C55" s="32"/>
      <c r="D55" s="32"/>
      <c r="E55" s="32"/>
    </row>
    <row r="56" spans="1:5" ht="13.95" customHeight="1" x14ac:dyDescent="0.25">
      <c r="A56" s="23" t="s">
        <v>2</v>
      </c>
      <c r="B56" s="23" t="s">
        <v>3</v>
      </c>
      <c r="C56" s="23" t="s">
        <v>6</v>
      </c>
      <c r="D56" s="23" t="s">
        <v>5</v>
      </c>
      <c r="E56" s="23" t="s">
        <v>4</v>
      </c>
    </row>
    <row r="57" spans="1:5" ht="13.95" customHeight="1" x14ac:dyDescent="0.3">
      <c r="A57" s="23">
        <v>1</v>
      </c>
      <c r="B57" s="22" t="str">
        <f>LOOKUP('HOJA 1'!C57,Hoja4!B:B,Hoja4!A:A)</f>
        <v>JOSE MIGUEL FERNANDEZ LANDAETA</v>
      </c>
      <c r="C57" s="24">
        <v>4675021</v>
      </c>
      <c r="D57" s="21" t="str">
        <f>LOOKUP(C57,Hoja4!B:B,Hoja4!D:D)</f>
        <v>AUXILIAR EN ENFERMERIA</v>
      </c>
      <c r="E57" s="25">
        <f>LOOKUP('HOJA 1'!C57,Hoja4!B:B,Hoja4!C:C)</f>
        <v>25060177953</v>
      </c>
    </row>
    <row r="58" spans="1:5" ht="13.95" customHeight="1" x14ac:dyDescent="0.3">
      <c r="A58" s="23">
        <v>2</v>
      </c>
      <c r="B58" s="22" t="str">
        <f>LOOKUP('HOJA 1'!C58,Hoja4!B:B,Hoja4!A:A)</f>
        <v>SARA LICETH DIN GULFO</v>
      </c>
      <c r="C58" s="24">
        <v>1193344423</v>
      </c>
      <c r="D58" s="21" t="str">
        <f>LOOKUP(C58,Hoja4!B:B,Hoja4!D:D)</f>
        <v>ESTUDIANTE</v>
      </c>
      <c r="E58" s="25" t="str">
        <f>LOOKUP('HOJA 1'!C58,Hoja4!B:B,Hoja4!C:C)</f>
        <v>-</v>
      </c>
    </row>
    <row r="59" spans="1:5" ht="13.95" customHeight="1" x14ac:dyDescent="0.3">
      <c r="A59" s="23">
        <v>3</v>
      </c>
      <c r="B59" s="22" t="str">
        <f>LOOKUP('HOJA 1'!C59,Hoja4!B:B,Hoja4!A:A)</f>
        <v>JANETH MILENA MORENO SARRAZOLA</v>
      </c>
      <c r="C59" s="24">
        <v>1128268110</v>
      </c>
      <c r="D59" s="21" t="str">
        <f>LOOKUP(C59,Hoja4!B:B,Hoja4!D:D)</f>
        <v>ESTUDIANTE</v>
      </c>
      <c r="E59" s="25">
        <f>LOOKUP('HOJA 1'!C59,Hoja4!B:B,Hoja4!C:C)</f>
        <v>0</v>
      </c>
    </row>
    <row r="60" spans="1:5" ht="13.95" customHeight="1" x14ac:dyDescent="0.3">
      <c r="A60" s="23">
        <v>4</v>
      </c>
      <c r="B60" s="22" t="str">
        <f>LOOKUP('HOJA 1'!C60,Hoja4!B:B,Hoja4!A:A)</f>
        <v>MATEO ALZATE ZORA</v>
      </c>
      <c r="C60" s="24">
        <v>1000084681</v>
      </c>
      <c r="D60" s="21" t="str">
        <f>LOOKUP(C60,Hoja4!B:B,Hoja4!D:D)</f>
        <v>ESTUDIANTE</v>
      </c>
      <c r="E60" s="25" t="str">
        <f>LOOKUP('HOJA 1'!C60,Hoja4!B:B,Hoja4!C:C)</f>
        <v>-</v>
      </c>
    </row>
    <row r="61" spans="1:5" ht="13.95" customHeight="1" x14ac:dyDescent="0.3">
      <c r="A61" s="23">
        <v>5</v>
      </c>
      <c r="B61" s="22" t="e">
        <f>LOOKUP('HOJA 1'!C61,Hoja4!B:B,Hoja4!A:A)</f>
        <v>#N/A</v>
      </c>
      <c r="C61" s="24"/>
      <c r="D61" s="21" t="e">
        <f>LOOKUP(C61,Hoja4!B:B,Hoja4!D:D)</f>
        <v>#N/A</v>
      </c>
      <c r="E61" s="25" t="e">
        <f>LOOKUP('HOJA 1'!C61,Hoja4!B:B,Hoja4!C:C)</f>
        <v>#N/A</v>
      </c>
    </row>
    <row r="62" spans="1:5" ht="13.95" customHeight="1" x14ac:dyDescent="0.3">
      <c r="A62" s="8"/>
      <c r="B62" s="8"/>
      <c r="C62" s="8"/>
      <c r="D62" s="8"/>
      <c r="E62" s="8"/>
    </row>
    <row r="63" spans="1:5" ht="13.95" customHeight="1" x14ac:dyDescent="0.25">
      <c r="A63" s="32" t="s">
        <v>444</v>
      </c>
      <c r="B63" s="32"/>
      <c r="C63" s="32"/>
      <c r="D63" s="32"/>
      <c r="E63" s="32"/>
    </row>
    <row r="64" spans="1:5" ht="13.95" customHeight="1" x14ac:dyDescent="0.25">
      <c r="A64" s="23" t="s">
        <v>2</v>
      </c>
      <c r="B64" s="23" t="s">
        <v>3</v>
      </c>
      <c r="C64" s="23" t="s">
        <v>6</v>
      </c>
      <c r="D64" s="23" t="s">
        <v>5</v>
      </c>
      <c r="E64" s="23" t="s">
        <v>4</v>
      </c>
    </row>
    <row r="65" spans="1:7" ht="13.95" customHeight="1" x14ac:dyDescent="0.3">
      <c r="A65" s="23">
        <v>1</v>
      </c>
      <c r="B65" s="22" t="str">
        <f>LOOKUP('HOJA 1'!C65,Hoja4!B:B,Hoja4!A:A)</f>
        <v>KEVIN LEANDRO CAICEDO IJAJID</v>
      </c>
      <c r="C65" s="24">
        <v>1113669720</v>
      </c>
      <c r="D65" s="21" t="str">
        <f>LOOKUP(C65,Hoja4!B:B,Hoja4!D:D)</f>
        <v>AUXILIAR EN ENFERMERIA</v>
      </c>
      <c r="E65" s="25">
        <f>LOOKUP('HOJA 1'!C65,Hoja4!B:B,Hoja4!C:C)</f>
        <v>5264122</v>
      </c>
    </row>
    <row r="66" spans="1:7" ht="13.95" customHeight="1" x14ac:dyDescent="0.3">
      <c r="A66" s="23">
        <v>2</v>
      </c>
      <c r="B66" s="22" t="str">
        <f>LOOKUP('HOJA 1'!C66,Hoja4!B:B,Hoja4!A:A)</f>
        <v>JULIANA ACEVEDO MUÑOZ</v>
      </c>
      <c r="C66" s="24">
        <v>1017239415</v>
      </c>
      <c r="D66" s="21" t="str">
        <f>LOOKUP(C66,Hoja4!B:B,Hoja4!D:D)</f>
        <v>AUXILIAR EN ENFERMERIA</v>
      </c>
      <c r="E66" s="25">
        <f>LOOKUP('HOJA 1'!C66,Hoja4!B:B,Hoja4!C:C)</f>
        <v>5449619</v>
      </c>
    </row>
    <row r="67" spans="1:7" ht="13.95" customHeight="1" x14ac:dyDescent="0.3">
      <c r="A67" s="23">
        <v>3</v>
      </c>
      <c r="B67" s="22" t="str">
        <f>LOOKUP('HOJA 1'!C67,Hoja4!B:B,Hoja4!A:A)</f>
        <v>SEBASTIAN PADILLA RESTREPO</v>
      </c>
      <c r="C67" s="24">
        <v>1000764249</v>
      </c>
      <c r="D67" s="21" t="str">
        <f>LOOKUP(C67,Hoja4!B:B,Hoja4!D:D)</f>
        <v>ESTUDIANTE</v>
      </c>
      <c r="E67" s="25" t="str">
        <f>LOOKUP('HOJA 1'!C67,Hoja4!B:B,Hoja4!C:C)</f>
        <v>-</v>
      </c>
    </row>
    <row r="68" spans="1:7" ht="13.95" customHeight="1" x14ac:dyDescent="0.3">
      <c r="A68" s="23">
        <v>4</v>
      </c>
      <c r="B68" s="22" t="str">
        <f>LOOKUP('HOJA 1'!C68,Hoja4!B:B,Hoja4!A:A)</f>
        <v>MARIA FERNANDA VARGAS PENAGOS</v>
      </c>
      <c r="C68" s="24">
        <v>1000364018</v>
      </c>
      <c r="D68" s="21" t="str">
        <f>LOOKUP(C68,Hoja4!B:B,Hoja4!D:D)</f>
        <v>ESTUDIANTE</v>
      </c>
      <c r="E68" s="25">
        <f>LOOKUP('HOJA 1'!C68,Hoja4!B:B,Hoja4!C:C)</f>
        <v>0</v>
      </c>
    </row>
    <row r="69" spans="1:7" ht="13.95" customHeight="1" x14ac:dyDescent="0.3">
      <c r="A69" s="23">
        <v>5</v>
      </c>
      <c r="B69" s="22" t="e">
        <f>LOOKUP('HOJA 1'!C69,Hoja4!B:B,Hoja4!A:A)</f>
        <v>#N/A</v>
      </c>
      <c r="C69" s="24"/>
      <c r="D69" s="21" t="e">
        <f>LOOKUP(C69,Hoja4!B:B,Hoja4!D:D)</f>
        <v>#N/A</v>
      </c>
      <c r="E69" s="25" t="e">
        <f>LOOKUP('HOJA 1'!C69,Hoja4!B:B,Hoja4!C:C)</f>
        <v>#N/A</v>
      </c>
    </row>
    <row r="70" spans="1:7" ht="13.95" customHeight="1" x14ac:dyDescent="0.3">
      <c r="A70" s="9"/>
      <c r="B70" s="10"/>
      <c r="C70" s="8"/>
      <c r="D70" s="8"/>
      <c r="E70" s="8"/>
    </row>
    <row r="71" spans="1:7" ht="13.95" customHeight="1" x14ac:dyDescent="0.25">
      <c r="A71" s="32" t="s">
        <v>459</v>
      </c>
      <c r="B71" s="32"/>
      <c r="C71" s="32"/>
      <c r="D71" s="32"/>
      <c r="E71" s="32"/>
    </row>
    <row r="72" spans="1:7" ht="13.95" customHeight="1" x14ac:dyDescent="0.25">
      <c r="A72" s="23" t="s">
        <v>2</v>
      </c>
      <c r="B72" s="23" t="s">
        <v>3</v>
      </c>
      <c r="C72" s="23" t="s">
        <v>6</v>
      </c>
      <c r="D72" s="23" t="s">
        <v>5</v>
      </c>
      <c r="E72" s="23" t="s">
        <v>4</v>
      </c>
      <c r="G72" s="1" t="s">
        <v>26</v>
      </c>
    </row>
    <row r="73" spans="1:7" ht="13.95" customHeight="1" x14ac:dyDescent="0.3">
      <c r="A73" s="23">
        <v>1</v>
      </c>
      <c r="B73" s="22" t="str">
        <f>LOOKUP('HOJA 1'!C73,Hoja4!B:B,Hoja4!A:A)</f>
        <v>JHON ALEXANDER LEON LOPEZ</v>
      </c>
      <c r="C73" s="24">
        <v>1111538646</v>
      </c>
      <c r="D73" s="21" t="str">
        <f>LOOKUP(C73,Hoja4!B:B,Hoja4!D:D)</f>
        <v>ESTUDIANTE</v>
      </c>
      <c r="E73" s="25" t="str">
        <f>LOOKUP('HOJA 1'!C73,Hoja4!B:B,Hoja4!C:C)</f>
        <v>-</v>
      </c>
    </row>
    <row r="74" spans="1:7" ht="13.95" customHeight="1" x14ac:dyDescent="0.3">
      <c r="A74" s="23">
        <v>2</v>
      </c>
      <c r="B74" s="22" t="str">
        <f>LOOKUP('HOJA 1'!C74,Hoja4!B:B,Hoja4!A:A)</f>
        <v>LUISA FERNANDA PEREZ GALLEGO</v>
      </c>
      <c r="C74" s="24">
        <v>1152466377</v>
      </c>
      <c r="D74" s="21" t="str">
        <f>LOOKUP(C74,Hoja4!B:B,Hoja4!D:D)</f>
        <v>AUXILIAR EN ENFERMERIA</v>
      </c>
      <c r="E74" s="25">
        <f>LOOKUP('HOJA 1'!C74,Hoja4!B:B,Hoja4!C:C)</f>
        <v>5599419</v>
      </c>
    </row>
    <row r="75" spans="1:7" ht="13.95" customHeight="1" x14ac:dyDescent="0.3">
      <c r="A75" s="23">
        <v>3</v>
      </c>
      <c r="B75" s="22" t="str">
        <f>LOOKUP('HOJA 1'!C75,Hoja4!B:B,Hoja4!A:A)</f>
        <v>FERNEY ANDRES CARTAGENA SUCERQUIA</v>
      </c>
      <c r="C75" s="24">
        <v>1015072853</v>
      </c>
      <c r="D75" s="21">
        <f>LOOKUP(C75,Hoja4!B:B,Hoja4!D:D)</f>
        <v>0</v>
      </c>
      <c r="E75" s="25">
        <f>LOOKUP('HOJA 1'!C75,Hoja4!B:B,Hoja4!C:C)</f>
        <v>0</v>
      </c>
    </row>
    <row r="76" spans="1:7" ht="13.95" customHeight="1" x14ac:dyDescent="0.3">
      <c r="A76" s="23">
        <v>4</v>
      </c>
      <c r="B76" s="22" t="str">
        <f>LOOKUP('HOJA 1'!C76,Hoja4!B:B,Hoja4!A:A)</f>
        <v>MIA VALERIA RODRIGUEZ GARZON</v>
      </c>
      <c r="C76" s="24">
        <v>1021512838</v>
      </c>
      <c r="D76" s="21" t="str">
        <f>LOOKUP(C76,Hoja4!B:B,Hoja4!D:D)</f>
        <v>ESTUDIANTE</v>
      </c>
      <c r="E76" s="25" t="str">
        <f>LOOKUP('HOJA 1'!C76,Hoja4!B:B,Hoja4!C:C)</f>
        <v>-</v>
      </c>
    </row>
    <row r="77" spans="1:7" ht="13.95" customHeight="1" x14ac:dyDescent="0.3">
      <c r="A77" s="23">
        <v>5</v>
      </c>
      <c r="B77" s="22" t="e">
        <f>LOOKUP('HOJA 1'!C77,Hoja4!B:B,Hoja4!A:A)</f>
        <v>#N/A</v>
      </c>
      <c r="C77" s="24"/>
      <c r="D77" s="21" t="e">
        <f>LOOKUP(C77,Hoja4!B:B,Hoja4!D:D)</f>
        <v>#N/A</v>
      </c>
      <c r="E77" s="25" t="e">
        <f>LOOKUP('HOJA 1'!C77,Hoja4!B:B,Hoja4!C:C)</f>
        <v>#N/A</v>
      </c>
    </row>
    <row r="78" spans="1:7" ht="13.95" customHeight="1" x14ac:dyDescent="0.3">
      <c r="A78" s="9"/>
      <c r="B78" s="10"/>
      <c r="C78" s="8"/>
      <c r="D78" s="8"/>
      <c r="E78" s="8"/>
    </row>
    <row r="79" spans="1:7" ht="13.95" customHeight="1" x14ac:dyDescent="0.25">
      <c r="A79" s="32" t="s">
        <v>446</v>
      </c>
      <c r="B79" s="32"/>
      <c r="C79" s="32"/>
      <c r="D79" s="32"/>
      <c r="E79" s="32"/>
    </row>
    <row r="80" spans="1:7" ht="13.95" customHeight="1" x14ac:dyDescent="0.25">
      <c r="A80" s="23" t="s">
        <v>2</v>
      </c>
      <c r="B80" s="23" t="s">
        <v>3</v>
      </c>
      <c r="C80" s="23" t="s">
        <v>6</v>
      </c>
      <c r="D80" s="23" t="s">
        <v>5</v>
      </c>
      <c r="E80" s="23" t="s">
        <v>4</v>
      </c>
    </row>
    <row r="81" spans="1:5" ht="13.95" customHeight="1" x14ac:dyDescent="0.3">
      <c r="A81" s="23">
        <v>1</v>
      </c>
      <c r="B81" s="22" t="str">
        <f>LOOKUP('HOJA 1'!C81,Hoja4!B:B,Hoja4!A:A)</f>
        <v>NEDIS MARIA SANCHEZ PEREZ</v>
      </c>
      <c r="C81" s="24">
        <v>30687786</v>
      </c>
      <c r="D81" s="21" t="str">
        <f>LOOKUP(C81,Hoja4!B:B,Hoja4!D:D)</f>
        <v>AUXILIAR EN ENFERMERIA / SOCORRISTA</v>
      </c>
      <c r="E81" s="25">
        <f>LOOKUP('HOJA 1'!C81,Hoja4!B:B,Hoja4!C:C)</f>
        <v>23000229</v>
      </c>
    </row>
    <row r="82" spans="1:5" ht="13.95" customHeight="1" x14ac:dyDescent="0.3">
      <c r="A82" s="23">
        <v>2</v>
      </c>
      <c r="B82" s="22" t="str">
        <f>LOOKUP('HOJA 1'!C82,Hoja4!B:B,Hoja4!A:A)</f>
        <v>YERLYN VELEZ DUQUE</v>
      </c>
      <c r="C82" s="24">
        <v>1000899076</v>
      </c>
      <c r="D82" s="21" t="str">
        <f>LOOKUP(C82,Hoja4!B:B,Hoja4!D:D)</f>
        <v>AUXILIAR EN ENFERMERIA</v>
      </c>
      <c r="E82" s="25">
        <f>LOOKUP('HOJA 1'!C82,Hoja4!B:B,Hoja4!C:C)</f>
        <v>5011823</v>
      </c>
    </row>
    <row r="83" spans="1:5" ht="13.95" customHeight="1" x14ac:dyDescent="0.3">
      <c r="A83" s="23">
        <v>3</v>
      </c>
      <c r="B83" s="22" t="str">
        <f>LOOKUP('HOJA 1'!C83,Hoja4!B:B,Hoja4!A:A)</f>
        <v>SEBASTIAN GUISAO IDARRAGA</v>
      </c>
      <c r="C83" s="24">
        <v>1025644303</v>
      </c>
      <c r="D83" s="21" t="str">
        <f>LOOKUP(C83,Hoja4!B:B,Hoja4!D:D)</f>
        <v>ESTUDIANTE</v>
      </c>
      <c r="E83" s="25" t="str">
        <f>LOOKUP('HOJA 1'!C83,Hoja4!B:B,Hoja4!C:C)</f>
        <v>-</v>
      </c>
    </row>
    <row r="84" spans="1:5" ht="13.95" customHeight="1" x14ac:dyDescent="0.3">
      <c r="A84" s="23">
        <v>4</v>
      </c>
      <c r="B84" s="22" t="str">
        <f>LOOKUP('HOJA 1'!C84,Hoja4!B:B,Hoja4!A:A)</f>
        <v>LUISA MARIA BARRENECHE CASTAÑEDA</v>
      </c>
      <c r="C84" s="24">
        <v>1037636088</v>
      </c>
      <c r="D84" s="21" t="str">
        <f>LOOKUP(C84,Hoja4!B:B,Hoja4!D:D)</f>
        <v>ESTUDIANTE</v>
      </c>
      <c r="E84" s="25">
        <f>LOOKUP('HOJA 1'!C84,Hoja4!B:B,Hoja4!C:C)</f>
        <v>0</v>
      </c>
    </row>
    <row r="85" spans="1:5" ht="13.95" customHeight="1" x14ac:dyDescent="0.3">
      <c r="A85" s="23">
        <v>5</v>
      </c>
      <c r="B85" s="22" t="e">
        <f>LOOKUP('HOJA 1'!C85,Hoja4!B:B,Hoja4!A:A)</f>
        <v>#N/A</v>
      </c>
      <c r="C85" s="24"/>
      <c r="D85" s="21" t="e">
        <f>LOOKUP(C85,Hoja4!B:B,Hoja4!D:D)</f>
        <v>#N/A</v>
      </c>
      <c r="E85" s="25" t="e">
        <f>LOOKUP('HOJA 1'!C85,Hoja4!B:B,Hoja4!C:C)</f>
        <v>#N/A</v>
      </c>
    </row>
    <row r="86" spans="1:5" ht="13.95" customHeight="1" x14ac:dyDescent="0.3">
      <c r="A86" s="8"/>
      <c r="B86" s="8"/>
      <c r="C86" s="8"/>
      <c r="D86" s="8"/>
      <c r="E86" s="8"/>
    </row>
    <row r="87" spans="1:5" ht="13.95" customHeight="1" x14ac:dyDescent="0.25">
      <c r="A87" s="32" t="s">
        <v>448</v>
      </c>
      <c r="B87" s="32"/>
      <c r="C87" s="32"/>
      <c r="D87" s="32"/>
      <c r="E87" s="32"/>
    </row>
    <row r="88" spans="1:5" ht="13.95" customHeight="1" x14ac:dyDescent="0.25">
      <c r="A88" s="23" t="s">
        <v>2</v>
      </c>
      <c r="B88" s="23" t="s">
        <v>3</v>
      </c>
      <c r="C88" s="23" t="s">
        <v>6</v>
      </c>
      <c r="D88" s="23" t="s">
        <v>5</v>
      </c>
      <c r="E88" s="23" t="s">
        <v>4</v>
      </c>
    </row>
    <row r="89" spans="1:5" ht="13.95" customHeight="1" x14ac:dyDescent="0.3">
      <c r="A89" s="23">
        <v>1</v>
      </c>
      <c r="B89" s="22" t="str">
        <f>LOOKUP('HOJA 1'!C89,Hoja4!B:B,Hoja4!A:A)</f>
        <v>CLAUDIA XIMENA CASTAÑO BARRADA</v>
      </c>
      <c r="C89" s="24">
        <v>1115070893</v>
      </c>
      <c r="D89" s="21" t="str">
        <f>LOOKUP(C89,Hoja4!B:B,Hoja4!D:D)</f>
        <v>AUXILIAR EN ENFERMERIA</v>
      </c>
      <c r="E89" s="25">
        <f>LOOKUP('HOJA 1'!C89,Hoja4!B:B,Hoja4!C:C)</f>
        <v>764003</v>
      </c>
    </row>
    <row r="90" spans="1:5" ht="13.95" customHeight="1" x14ac:dyDescent="0.3">
      <c r="A90" s="23">
        <v>2</v>
      </c>
      <c r="B90" s="22" t="str">
        <f>LOOKUP('HOJA 1'!C90,Hoja4!B:B,Hoja4!A:A)</f>
        <v>ESTEBAN NICOLASFUSTACARA CUBIDES</v>
      </c>
      <c r="C90" s="24">
        <v>1029646734</v>
      </c>
      <c r="D90" s="21" t="str">
        <f>LOOKUP(C90,Hoja4!B:B,Hoja4!D:D)</f>
        <v>ESTUDIANTE</v>
      </c>
      <c r="E90" s="25">
        <f>LOOKUP('HOJA 1'!C90,Hoja4!B:B,Hoja4!C:C)</f>
        <v>0</v>
      </c>
    </row>
    <row r="91" spans="1:5" ht="13.95" customHeight="1" x14ac:dyDescent="0.3">
      <c r="A91" s="23">
        <v>3</v>
      </c>
      <c r="B91" s="22" t="str">
        <f>LOOKUP('HOJA 1'!C91,Hoja4!B:B,Hoja4!A:A)</f>
        <v>KELLY JOHANA MUÑOZ SANCHEZ</v>
      </c>
      <c r="C91" s="24">
        <v>1126600886</v>
      </c>
      <c r="D91" s="21" t="str">
        <f>LOOKUP(C91,Hoja4!B:B,Hoja4!D:D)</f>
        <v>ESTUDIANTE</v>
      </c>
      <c r="E91" s="25" t="str">
        <f>LOOKUP('HOJA 1'!C91,Hoja4!B:B,Hoja4!C:C)</f>
        <v>-</v>
      </c>
    </row>
    <row r="92" spans="1:5" ht="13.95" customHeight="1" x14ac:dyDescent="0.3">
      <c r="A92" s="23">
        <v>4</v>
      </c>
      <c r="B92" s="22" t="str">
        <f>LOOKUP('HOJA 1'!C92,Hoja4!B:B,Hoja4!A:A)</f>
        <v>LAURA MELISSA VASQUEZ TOBON</v>
      </c>
      <c r="C92" s="24">
        <v>1000872630</v>
      </c>
      <c r="D92" s="21" t="str">
        <f>LOOKUP(C92,Hoja4!B:B,Hoja4!D:D)</f>
        <v>ESTUDIANTE</v>
      </c>
      <c r="E92" s="25">
        <f>LOOKUP('HOJA 1'!C92,Hoja4!B:B,Hoja4!C:C)</f>
        <v>0</v>
      </c>
    </row>
    <row r="93" spans="1:5" ht="13.95" customHeight="1" x14ac:dyDescent="0.3">
      <c r="A93" s="23">
        <v>5</v>
      </c>
      <c r="B93" s="22" t="e">
        <f>LOOKUP('HOJA 1'!C93,Hoja4!B:B,Hoja4!A:A)</f>
        <v>#N/A</v>
      </c>
      <c r="C93" s="24"/>
      <c r="D93" s="21" t="e">
        <f>LOOKUP(C93,Hoja4!B:B,Hoja4!D:D)</f>
        <v>#N/A</v>
      </c>
      <c r="E93" s="25" t="e">
        <f>LOOKUP('HOJA 1'!C93,Hoja4!B:B,Hoja4!C:C)</f>
        <v>#N/A</v>
      </c>
    </row>
    <row r="94" spans="1:5" ht="13.95" customHeight="1" x14ac:dyDescent="0.3">
      <c r="A94" s="8"/>
      <c r="B94" s="8"/>
      <c r="C94" s="8"/>
      <c r="D94" s="8"/>
      <c r="E94" s="8"/>
    </row>
    <row r="95" spans="1:5" ht="13.95" customHeight="1" x14ac:dyDescent="0.3">
      <c r="A95" s="8"/>
      <c r="B95" s="8"/>
      <c r="C95" s="8"/>
      <c r="D95" s="8"/>
      <c r="E95" s="8"/>
    </row>
    <row r="96" spans="1:5" ht="13.95" customHeight="1" x14ac:dyDescent="0.3">
      <c r="A96" s="8"/>
      <c r="B96" s="8"/>
      <c r="C96" s="8"/>
      <c r="D96" s="8" t="s">
        <v>26</v>
      </c>
      <c r="E96" s="8"/>
    </row>
    <row r="97" spans="1:5" ht="13.95" customHeight="1" x14ac:dyDescent="0.3">
      <c r="A97" s="8"/>
      <c r="B97" s="8"/>
      <c r="C97" s="8"/>
      <c r="D97" s="8"/>
      <c r="E97" s="8"/>
    </row>
    <row r="98" spans="1:5" ht="13.95" customHeight="1" x14ac:dyDescent="0.3">
      <c r="A98" s="8"/>
      <c r="B98" s="8"/>
      <c r="C98" s="8"/>
      <c r="D98" s="8"/>
      <c r="E98" s="8"/>
    </row>
    <row r="99" spans="1:5" ht="13.95" customHeight="1" x14ac:dyDescent="0.3">
      <c r="A99" s="8"/>
      <c r="B99" s="8"/>
      <c r="C99" s="8"/>
      <c r="D99" s="8"/>
      <c r="E99" s="8"/>
    </row>
    <row r="100" spans="1:5" ht="13.95" customHeight="1" x14ac:dyDescent="0.25">
      <c r="A100" s="32" t="s">
        <v>460</v>
      </c>
      <c r="B100" s="32"/>
      <c r="C100" s="32"/>
      <c r="D100" s="32"/>
      <c r="E100" s="32"/>
    </row>
    <row r="101" spans="1:5" ht="13.95" customHeight="1" x14ac:dyDescent="0.25">
      <c r="A101" s="23" t="s">
        <v>2</v>
      </c>
      <c r="B101" s="23" t="s">
        <v>3</v>
      </c>
      <c r="C101" s="23" t="s">
        <v>6</v>
      </c>
      <c r="D101" s="23" t="s">
        <v>5</v>
      </c>
      <c r="E101" s="23" t="s">
        <v>4</v>
      </c>
    </row>
    <row r="102" spans="1:5" ht="13.95" customHeight="1" x14ac:dyDescent="0.3">
      <c r="A102" s="23">
        <v>1</v>
      </c>
      <c r="B102" s="22" t="str">
        <f>LOOKUP('HOJA 1'!C102,Hoja4!B:B,Hoja4!A:A)</f>
        <v>SARA PAOLA GIRALDO VALENCIA</v>
      </c>
      <c r="C102" s="24">
        <v>1000305851</v>
      </c>
      <c r="D102" s="21" t="str">
        <f>LOOKUP(C102,Hoja4!B:B,Hoja4!D:D)</f>
        <v>AUXILIAR EN ENFERMERIA</v>
      </c>
      <c r="E102" s="25">
        <f>LOOKUP('HOJA 1'!C102,Hoja4!B:B,Hoja4!C:C)</f>
        <v>5022623</v>
      </c>
    </row>
    <row r="103" spans="1:5" ht="13.95" customHeight="1" x14ac:dyDescent="0.3">
      <c r="A103" s="23">
        <v>2</v>
      </c>
      <c r="B103" s="22" t="str">
        <f>LOOKUP('HOJA 1'!C103,Hoja4!B:B,Hoja4!A:A)</f>
        <v>MAURICIO ROMAN VALENCIA</v>
      </c>
      <c r="C103" s="24">
        <v>1040051236</v>
      </c>
      <c r="D103" s="21" t="str">
        <f>LOOKUP(C103,Hoja4!B:B,Hoja4!D:D)</f>
        <v>ESTUDIANTE</v>
      </c>
      <c r="E103" s="25" t="str">
        <f>LOOKUP('HOJA 1'!C103,Hoja4!B:B,Hoja4!C:C)</f>
        <v>-</v>
      </c>
    </row>
    <row r="104" spans="1:5" ht="13.95" customHeight="1" x14ac:dyDescent="0.3">
      <c r="A104" s="23">
        <v>3</v>
      </c>
      <c r="B104" s="22" t="str">
        <f>LOOKUP('HOJA 1'!C104,Hoja4!B:B,Hoja4!A:A)</f>
        <v>VANESSA ALEJANDRA FRANCO PATIÑO</v>
      </c>
      <c r="C104" s="24">
        <v>1006491759</v>
      </c>
      <c r="D104" s="21" t="str">
        <f>LOOKUP(C104,Hoja4!B:B,Hoja4!D:D)</f>
        <v>ESTUDIANTE</v>
      </c>
      <c r="E104" s="25" t="str">
        <f>LOOKUP('HOJA 1'!C104,Hoja4!B:B,Hoja4!C:C)</f>
        <v>-</v>
      </c>
    </row>
    <row r="105" spans="1:5" ht="13.95" customHeight="1" x14ac:dyDescent="0.3">
      <c r="A105" s="23">
        <v>4</v>
      </c>
      <c r="B105" s="22" t="str">
        <f>LOOKUP('HOJA 1'!C105,Hoja4!B:B,Hoja4!A:A)</f>
        <v>KIARA SAMANTHA RENDON SANCHEZ</v>
      </c>
      <c r="C105" s="24">
        <v>1038646042</v>
      </c>
      <c r="D105" s="21" t="str">
        <f>LOOKUP(C105,Hoja4!B:B,Hoja4!D:D)</f>
        <v>ESTUDIANTE</v>
      </c>
      <c r="E105" s="25">
        <f>LOOKUP('HOJA 1'!C105,Hoja4!B:B,Hoja4!C:C)</f>
        <v>0</v>
      </c>
    </row>
    <row r="106" spans="1:5" ht="13.95" customHeight="1" x14ac:dyDescent="0.3">
      <c r="A106" s="23">
        <v>5</v>
      </c>
      <c r="B106" s="22" t="e">
        <f>LOOKUP('HOJA 1'!C106,Hoja4!B:B,Hoja4!A:A)</f>
        <v>#N/A</v>
      </c>
      <c r="C106" s="24"/>
      <c r="D106" s="21" t="e">
        <f>LOOKUP(C106,Hoja4!B:B,Hoja4!D:D)</f>
        <v>#N/A</v>
      </c>
      <c r="E106" s="25" t="e">
        <f>LOOKUP('HOJA 1'!C106,Hoja4!B:B,Hoja4!C:C)</f>
        <v>#N/A</v>
      </c>
    </row>
    <row r="107" spans="1:5" ht="13.95" customHeight="1" x14ac:dyDescent="0.3">
      <c r="A107" s="8"/>
      <c r="B107" s="8"/>
      <c r="C107" s="8"/>
      <c r="D107" s="8"/>
      <c r="E107" s="8"/>
    </row>
    <row r="108" spans="1:5" ht="13.95" customHeight="1" x14ac:dyDescent="0.25">
      <c r="A108" s="32" t="s">
        <v>461</v>
      </c>
      <c r="B108" s="32"/>
      <c r="C108" s="32"/>
      <c r="D108" s="32"/>
      <c r="E108" s="32"/>
    </row>
    <row r="109" spans="1:5" ht="13.95" customHeight="1" x14ac:dyDescent="0.25">
      <c r="A109" s="23" t="s">
        <v>2</v>
      </c>
      <c r="B109" s="23" t="s">
        <v>3</v>
      </c>
      <c r="C109" s="23" t="s">
        <v>6</v>
      </c>
      <c r="D109" s="23" t="s">
        <v>5</v>
      </c>
      <c r="E109" s="23" t="s">
        <v>4</v>
      </c>
    </row>
    <row r="110" spans="1:5" ht="13.95" customHeight="1" x14ac:dyDescent="0.3">
      <c r="A110" s="23">
        <v>1</v>
      </c>
      <c r="B110" s="22" t="str">
        <f>LOOKUP('HOJA 1'!C110,Hoja4!B:B,Hoja4!A:A)</f>
        <v>MAICOL ENRRIQUE PALOMA TORRES</v>
      </c>
      <c r="C110" s="24">
        <v>1111342117</v>
      </c>
      <c r="D110" s="21" t="str">
        <f>LOOKUP(C110,Hoja4!B:B,Hoja4!D:D)</f>
        <v>ESTUDIANTE</v>
      </c>
      <c r="E110" s="25" t="str">
        <f>LOOKUP('HOJA 1'!C110,Hoja4!B:B,Hoja4!C:C)</f>
        <v>-</v>
      </c>
    </row>
    <row r="111" spans="1:5" ht="13.95" customHeight="1" x14ac:dyDescent="0.3">
      <c r="A111" s="23">
        <v>2</v>
      </c>
      <c r="B111" s="22" t="str">
        <f>LOOKUP('HOJA 1'!C111,Hoja4!B:B,Hoja4!A:A)</f>
        <v>MELISA PARRA VALENCIA</v>
      </c>
      <c r="C111" s="24">
        <v>1007242992</v>
      </c>
      <c r="D111" s="21" t="str">
        <f>LOOKUP(C111,Hoja4!B:B,Hoja4!D:D)</f>
        <v>AUXILIAR EN ENFERMERIA</v>
      </c>
      <c r="E111" s="25">
        <f>LOOKUP('HOJA 1'!C111,Hoja4!B:B,Hoja4!C:C)</f>
        <v>5514519</v>
      </c>
    </row>
    <row r="112" spans="1:5" ht="13.95" customHeight="1" x14ac:dyDescent="0.3">
      <c r="A112" s="23">
        <v>3</v>
      </c>
      <c r="B112" s="22" t="str">
        <f>LOOKUP('HOJA 1'!C112,Hoja4!B:B,Hoja4!A:A)</f>
        <v>VERONICA LISETH ARANGO MANCO</v>
      </c>
      <c r="C112" s="24">
        <v>1017222827</v>
      </c>
      <c r="D112" s="21" t="str">
        <f>LOOKUP(C112,Hoja4!B:B,Hoja4!D:D)</f>
        <v>AUXILIAR EN ENFERMERIA</v>
      </c>
      <c r="E112" s="25">
        <f>LOOKUP('HOJA 1'!C112,Hoja4!B:B,Hoja4!C:C)</f>
        <v>5568523</v>
      </c>
    </row>
    <row r="113" spans="1:5" ht="13.95" customHeight="1" x14ac:dyDescent="0.3">
      <c r="A113" s="23">
        <v>4</v>
      </c>
      <c r="B113" s="22" t="str">
        <f>LOOKUP('HOJA 1'!C113,Hoja4!B:B,Hoja4!A:A)</f>
        <v>ANDRES FELIPE  CADAVID SANGUINO</v>
      </c>
      <c r="C113" s="24">
        <v>1025645156</v>
      </c>
      <c r="D113" s="21" t="str">
        <f>LOOKUP(C113,Hoja4!B:B,Hoja4!D:D)</f>
        <v>ESTUDIANTE</v>
      </c>
      <c r="E113" s="25" t="str">
        <f>LOOKUP('HOJA 1'!C113,Hoja4!B:B,Hoja4!C:C)</f>
        <v>-</v>
      </c>
    </row>
    <row r="114" spans="1:5" ht="13.95" customHeight="1" x14ac:dyDescent="0.3">
      <c r="A114" s="23">
        <v>5</v>
      </c>
      <c r="B114" s="22" t="e">
        <f>LOOKUP('HOJA 1'!C114,Hoja4!B:B,Hoja4!A:A)</f>
        <v>#N/A</v>
      </c>
      <c r="C114" s="24"/>
      <c r="D114" s="21" t="e">
        <f>LOOKUP(C114,Hoja4!B:B,Hoja4!D:D)</f>
        <v>#N/A</v>
      </c>
      <c r="E114" s="25" t="e">
        <f>LOOKUP('HOJA 1'!C114,Hoja4!B:B,Hoja4!C:C)</f>
        <v>#N/A</v>
      </c>
    </row>
    <row r="115" spans="1:5" ht="13.95" customHeight="1" x14ac:dyDescent="0.3">
      <c r="A115" s="8"/>
      <c r="B115" s="8"/>
      <c r="C115" s="8"/>
      <c r="D115" s="8"/>
      <c r="E115" s="8"/>
    </row>
    <row r="116" spans="1:5" ht="13.95" customHeight="1" x14ac:dyDescent="0.25">
      <c r="A116" s="32" t="s">
        <v>462</v>
      </c>
      <c r="B116" s="32"/>
      <c r="C116" s="32"/>
      <c r="D116" s="32"/>
      <c r="E116" s="32"/>
    </row>
    <row r="117" spans="1:5" ht="13.95" customHeight="1" x14ac:dyDescent="0.25">
      <c r="A117" s="23" t="s">
        <v>2</v>
      </c>
      <c r="B117" s="23" t="s">
        <v>3</v>
      </c>
      <c r="C117" s="23" t="s">
        <v>6</v>
      </c>
      <c r="D117" s="23" t="s">
        <v>5</v>
      </c>
      <c r="E117" s="23" t="s">
        <v>4</v>
      </c>
    </row>
    <row r="118" spans="1:5" ht="13.95" customHeight="1" x14ac:dyDescent="0.3">
      <c r="A118" s="23">
        <v>1</v>
      </c>
      <c r="B118" s="22" t="str">
        <f>LOOKUP('HOJA 1'!C118,Hoja4!B:B,Hoja4!A:A)</f>
        <v>ROBERT SAMIR USUGA FLOREZ</v>
      </c>
      <c r="C118" s="24">
        <v>1040362584</v>
      </c>
      <c r="D118" s="21" t="str">
        <f>LOOKUP(C118,Hoja4!B:B,Hoja4!D:D)</f>
        <v>ESTUDIANTE</v>
      </c>
      <c r="E118" s="25" t="str">
        <f>LOOKUP('HOJA 1'!C118,Hoja4!B:B,Hoja4!C:C)</f>
        <v>-</v>
      </c>
    </row>
    <row r="119" spans="1:5" ht="13.95" customHeight="1" x14ac:dyDescent="0.3">
      <c r="A119" s="23">
        <v>2</v>
      </c>
      <c r="B119" s="22" t="str">
        <f>LOOKUP('HOJA 1'!C119,Hoja4!B:B,Hoja4!A:A)</f>
        <v>LIACELI PIEDRAITA PARRA</v>
      </c>
      <c r="C119" s="24">
        <v>1017175985</v>
      </c>
      <c r="D119" s="21" t="str">
        <f>LOOKUP(C119,Hoja4!B:B,Hoja4!D:D)</f>
        <v>AUXILIAR EN ENFERMERIA</v>
      </c>
      <c r="E119" s="25">
        <f>LOOKUP('HOJA 1'!C119,Hoja4!B:B,Hoja4!C:C)</f>
        <v>569323</v>
      </c>
    </row>
    <row r="120" spans="1:5" ht="13.95" customHeight="1" x14ac:dyDescent="0.3">
      <c r="A120" s="23">
        <v>3</v>
      </c>
      <c r="B120" s="22" t="str">
        <f>LOOKUP('HOJA 1'!C120,Hoja4!B:B,Hoja4!A:A)</f>
        <v>DIANA MARIA HERNANDEZ CARDENAS</v>
      </c>
      <c r="C120" s="24">
        <v>1152470460</v>
      </c>
      <c r="D120" s="21" t="str">
        <f>LOOKUP(C120,Hoja4!B:B,Hoja4!D:D)</f>
        <v>ESTUDIANTE</v>
      </c>
      <c r="E120" s="25" t="str">
        <f>LOOKUP('HOJA 1'!C120,Hoja4!B:B,Hoja4!C:C)</f>
        <v>-</v>
      </c>
    </row>
    <row r="121" spans="1:5" ht="13.95" customHeight="1" x14ac:dyDescent="0.3">
      <c r="A121" s="23">
        <v>4</v>
      </c>
      <c r="B121" s="22" t="str">
        <f>LOOKUP('HOJA 1'!C121,Hoja4!B:B,Hoja4!A:A)</f>
        <v>DANIELA RENDON ESCUDERO</v>
      </c>
      <c r="C121" s="24">
        <v>1001140199</v>
      </c>
      <c r="D121" s="21" t="str">
        <f>LOOKUP(C121,Hoja4!B:B,Hoja4!D:D)</f>
        <v>ESTUDIANTE</v>
      </c>
      <c r="E121" s="25" t="str">
        <f>LOOKUP('HOJA 1'!C121,Hoja4!B:B,Hoja4!C:C)</f>
        <v>-</v>
      </c>
    </row>
    <row r="122" spans="1:5" ht="13.95" customHeight="1" x14ac:dyDescent="0.3">
      <c r="A122" s="23">
        <v>5</v>
      </c>
      <c r="B122" s="22" t="e">
        <f>LOOKUP('HOJA 1'!C122,Hoja4!B:B,Hoja4!A:A)</f>
        <v>#N/A</v>
      </c>
      <c r="C122" s="24"/>
      <c r="D122" s="21" t="e">
        <f>LOOKUP(C122,Hoja4!B:B,Hoja4!D:D)</f>
        <v>#N/A</v>
      </c>
      <c r="E122" s="25" t="e">
        <f>LOOKUP('HOJA 1'!C122,Hoja4!B:B,Hoja4!C:C)</f>
        <v>#N/A</v>
      </c>
    </row>
    <row r="123" spans="1:5" ht="13.95" customHeight="1" x14ac:dyDescent="0.3">
      <c r="A123" s="15"/>
      <c r="B123" s="16"/>
      <c r="C123" s="17"/>
      <c r="D123" s="17"/>
      <c r="E123" s="17"/>
    </row>
    <row r="124" spans="1:5" ht="13.95" customHeight="1" x14ac:dyDescent="0.25">
      <c r="A124" s="32" t="s">
        <v>463</v>
      </c>
      <c r="B124" s="32"/>
      <c r="C124" s="32"/>
      <c r="D124" s="32"/>
      <c r="E124" s="32"/>
    </row>
    <row r="125" spans="1:5" ht="13.95" customHeight="1" x14ac:dyDescent="0.25">
      <c r="A125" s="23" t="s">
        <v>2</v>
      </c>
      <c r="B125" s="23" t="s">
        <v>3</v>
      </c>
      <c r="C125" s="23" t="s">
        <v>6</v>
      </c>
      <c r="D125" s="23" t="s">
        <v>5</v>
      </c>
      <c r="E125" s="23" t="s">
        <v>4</v>
      </c>
    </row>
    <row r="126" spans="1:5" ht="13.95" customHeight="1" x14ac:dyDescent="0.3">
      <c r="A126" s="23">
        <v>1</v>
      </c>
      <c r="B126" s="22" t="str">
        <f>LOOKUP('HOJA 1'!C126,Hoja4!B:B,Hoja4!A:A)</f>
        <v>CRISTIAN ALEXIS ROJAS LOAIZA</v>
      </c>
      <c r="C126" s="24">
        <v>1020477470</v>
      </c>
      <c r="D126" s="21" t="str">
        <f>LOOKUP(C126,Hoja4!B:B,Hoja4!D:D)</f>
        <v>CONDUCTOR</v>
      </c>
      <c r="E126" s="25" t="str">
        <f>LOOKUP('HOJA 1'!C126,Hoja4!B:B,Hoja4!C:C)</f>
        <v>COND</v>
      </c>
    </row>
    <row r="127" spans="1:5" ht="13.95" customHeight="1" x14ac:dyDescent="0.3">
      <c r="A127" s="23">
        <v>2</v>
      </c>
      <c r="B127" s="22" t="str">
        <f>LOOKUP('HOJA 1'!C127,Hoja4!B:B,Hoja4!A:A)</f>
        <v>WILLIAM ALEJANDRO TORRES HENAO</v>
      </c>
      <c r="C127" s="24">
        <v>1001653106</v>
      </c>
      <c r="D127" s="21" t="str">
        <f>LOOKUP(C127,Hoja4!B:B,Hoja4!D:D)</f>
        <v>AUXILIAR EN ENFERMERIA</v>
      </c>
      <c r="E127" s="25">
        <f>LOOKUP('HOJA 1'!C127,Hoja4!B:B,Hoja4!C:C)</f>
        <v>25060176653</v>
      </c>
    </row>
    <row r="128" spans="1:5" ht="13.95" customHeight="1" x14ac:dyDescent="0.3">
      <c r="A128" s="23">
        <v>3</v>
      </c>
      <c r="B128" s="22" t="str">
        <f>LOOKUP('HOJA 1'!C128,Hoja4!B:B,Hoja4!A:A)</f>
        <v>ANGIE PAOLA GASPAR GONZALEZ</v>
      </c>
      <c r="C128" s="24">
        <v>1020494236</v>
      </c>
      <c r="D128" s="21" t="str">
        <f>LOOKUP(C128,Hoja4!B:B,Hoja4!D:D)</f>
        <v>ESTUDIANTE</v>
      </c>
      <c r="E128" s="25" t="str">
        <f>LOOKUP('HOJA 1'!C128,Hoja4!B:B,Hoja4!C:C)</f>
        <v>-</v>
      </c>
    </row>
    <row r="129" spans="1:7" ht="13.95" customHeight="1" x14ac:dyDescent="0.3">
      <c r="A129" s="23">
        <v>4</v>
      </c>
      <c r="B129" s="22" t="str">
        <f>LOOKUP('HOJA 1'!C129,Hoja4!B:B,Hoja4!A:A)</f>
        <v>DEISY VANESSA GALLON MAZO</v>
      </c>
      <c r="C129" s="24">
        <v>1018245174</v>
      </c>
      <c r="D129" s="21" t="str">
        <f>LOOKUP(C129,Hoja4!B:B,Hoja4!D:D)</f>
        <v>ESTUDIANTE</v>
      </c>
      <c r="E129" s="25" t="str">
        <f>LOOKUP('HOJA 1'!C129,Hoja4!B:B,Hoja4!C:C)</f>
        <v>-</v>
      </c>
    </row>
    <row r="130" spans="1:7" ht="13.95" customHeight="1" x14ac:dyDescent="0.3">
      <c r="A130" s="23">
        <v>5</v>
      </c>
      <c r="B130" s="22" t="e">
        <f>LOOKUP('HOJA 1'!C130,Hoja4!B:B,Hoja4!A:A)</f>
        <v>#N/A</v>
      </c>
      <c r="C130" s="24"/>
      <c r="D130" s="21" t="e">
        <f>LOOKUP(C130,Hoja4!B:B,Hoja4!D:D)</f>
        <v>#N/A</v>
      </c>
      <c r="E130" s="25" t="e">
        <f>LOOKUP('HOJA 1'!C130,Hoja4!B:B,Hoja4!C:C)</f>
        <v>#N/A</v>
      </c>
    </row>
    <row r="131" spans="1:7" ht="13.95" customHeight="1" x14ac:dyDescent="0.3">
      <c r="A131" s="8"/>
      <c r="B131" s="8"/>
      <c r="C131" s="8"/>
      <c r="D131" s="8"/>
      <c r="E131" s="8"/>
    </row>
    <row r="132" spans="1:7" ht="13.95" customHeight="1" x14ac:dyDescent="0.25">
      <c r="A132" s="32" t="s">
        <v>464</v>
      </c>
      <c r="B132" s="32"/>
      <c r="C132" s="32"/>
      <c r="D132" s="32"/>
      <c r="E132" s="32"/>
    </row>
    <row r="133" spans="1:7" ht="13.95" customHeight="1" x14ac:dyDescent="0.25">
      <c r="A133" s="23" t="s">
        <v>2</v>
      </c>
      <c r="B133" s="23" t="s">
        <v>3</v>
      </c>
      <c r="C133" s="23" t="s">
        <v>6</v>
      </c>
      <c r="D133" s="23" t="s">
        <v>5</v>
      </c>
      <c r="E133" s="23" t="s">
        <v>4</v>
      </c>
    </row>
    <row r="134" spans="1:7" ht="13.95" customHeight="1" x14ac:dyDescent="0.3">
      <c r="A134" s="23">
        <v>1</v>
      </c>
      <c r="B134" s="22" t="e">
        <f>LOOKUP('HOJA 1'!C134,Hoja4!B:B,Hoja4!A:A)</f>
        <v>#N/A</v>
      </c>
      <c r="C134" s="24"/>
      <c r="D134" s="21" t="e">
        <f>LOOKUP(C134,Hoja4!B:B,Hoja4!D:D)</f>
        <v>#N/A</v>
      </c>
      <c r="E134" s="25" t="e">
        <f>LOOKUP('HOJA 1'!C134,Hoja4!B:B,Hoja4!C:C)</f>
        <v>#N/A</v>
      </c>
    </row>
    <row r="135" spans="1:7" ht="13.95" customHeight="1" x14ac:dyDescent="0.3">
      <c r="A135" s="23">
        <v>2</v>
      </c>
      <c r="B135" s="22" t="e">
        <f>LOOKUP('HOJA 1'!C135,Hoja4!B:B,Hoja4!A:A)</f>
        <v>#N/A</v>
      </c>
      <c r="C135" s="24"/>
      <c r="D135" s="21" t="e">
        <f>LOOKUP(C135,Hoja4!B:B,Hoja4!D:D)</f>
        <v>#N/A</v>
      </c>
      <c r="E135" s="25" t="e">
        <f>LOOKUP('HOJA 1'!C135,Hoja4!B:B,Hoja4!C:C)</f>
        <v>#N/A</v>
      </c>
    </row>
    <row r="136" spans="1:7" ht="13.95" customHeight="1" x14ac:dyDescent="0.3">
      <c r="A136" s="23">
        <v>3</v>
      </c>
      <c r="B136" s="22" t="e">
        <f>LOOKUP('HOJA 1'!C136,Hoja4!B:B,Hoja4!A:A)</f>
        <v>#N/A</v>
      </c>
      <c r="C136" s="24"/>
      <c r="D136" s="21" t="e">
        <f>LOOKUP(C136,Hoja4!B:B,Hoja4!D:D)</f>
        <v>#N/A</v>
      </c>
      <c r="E136" s="25" t="e">
        <f>LOOKUP('HOJA 1'!C136,Hoja4!B:B,Hoja4!C:C)</f>
        <v>#N/A</v>
      </c>
      <c r="G136" s="1" t="s">
        <v>27</v>
      </c>
    </row>
    <row r="137" spans="1:7" ht="13.95" customHeight="1" x14ac:dyDescent="0.3">
      <c r="A137" s="23">
        <v>4</v>
      </c>
      <c r="B137" s="22" t="e">
        <f>LOOKUP('HOJA 1'!C137,Hoja4!B:B,Hoja4!A:A)</f>
        <v>#N/A</v>
      </c>
      <c r="C137" s="24"/>
      <c r="D137" s="21" t="e">
        <f>LOOKUP(C137,Hoja4!B:B,Hoja4!D:D)</f>
        <v>#N/A</v>
      </c>
      <c r="E137" s="25" t="e">
        <f>LOOKUP('HOJA 1'!C137,Hoja4!B:B,Hoja4!C:C)</f>
        <v>#N/A</v>
      </c>
    </row>
    <row r="138" spans="1:7" ht="13.95" customHeight="1" x14ac:dyDescent="0.3">
      <c r="A138" s="23">
        <v>5</v>
      </c>
      <c r="B138" s="22" t="e">
        <f>LOOKUP('HOJA 1'!C138,Hoja4!B:B,Hoja4!A:A)</f>
        <v>#N/A</v>
      </c>
      <c r="C138" s="24"/>
      <c r="D138" s="21" t="e">
        <f>LOOKUP(C138,Hoja4!B:B,Hoja4!D:D)</f>
        <v>#N/A</v>
      </c>
      <c r="E138" s="25" t="e">
        <f>LOOKUP('HOJA 1'!C138,Hoja4!B:B,Hoja4!C:C)</f>
        <v>#N/A</v>
      </c>
    </row>
    <row r="139" spans="1:7" ht="13.95" customHeight="1" x14ac:dyDescent="0.25"/>
    <row r="140" spans="1:7" ht="13.95" customHeight="1" x14ac:dyDescent="0.25">
      <c r="A140" s="32" t="s">
        <v>465</v>
      </c>
      <c r="B140" s="32"/>
      <c r="C140" s="32"/>
      <c r="D140" s="32"/>
      <c r="E140" s="32"/>
    </row>
    <row r="141" spans="1:7" ht="13.95" customHeight="1" x14ac:dyDescent="0.25">
      <c r="A141" s="23" t="s">
        <v>2</v>
      </c>
      <c r="B141" s="23" t="s">
        <v>3</v>
      </c>
      <c r="C141" s="23" t="s">
        <v>6</v>
      </c>
      <c r="D141" s="23" t="s">
        <v>5</v>
      </c>
      <c r="E141" s="23" t="s">
        <v>4</v>
      </c>
    </row>
    <row r="142" spans="1:7" ht="13.95" customHeight="1" x14ac:dyDescent="0.3">
      <c r="A142" s="23">
        <v>1</v>
      </c>
      <c r="B142" s="22" t="e">
        <f>LOOKUP('HOJA 1'!C142,Hoja4!B:B,Hoja4!A:A)</f>
        <v>#N/A</v>
      </c>
      <c r="C142" s="24"/>
      <c r="D142" s="21" t="e">
        <f>LOOKUP(C142,Hoja4!B:B,Hoja4!D:D)</f>
        <v>#N/A</v>
      </c>
      <c r="E142" s="25" t="e">
        <f>LOOKUP('HOJA 1'!C142,Hoja4!B:B,Hoja4!C:C)</f>
        <v>#N/A</v>
      </c>
    </row>
    <row r="143" spans="1:7" ht="13.95" customHeight="1" x14ac:dyDescent="0.3">
      <c r="A143" s="23">
        <v>2</v>
      </c>
      <c r="B143" s="22" t="e">
        <f>LOOKUP('HOJA 1'!C143,Hoja4!B:B,Hoja4!A:A)</f>
        <v>#N/A</v>
      </c>
      <c r="C143" s="24"/>
      <c r="D143" s="21" t="e">
        <f>LOOKUP(C143,Hoja4!B:B,Hoja4!D:D)</f>
        <v>#N/A</v>
      </c>
      <c r="E143" s="25" t="e">
        <f>LOOKUP('HOJA 1'!C143,Hoja4!B:B,Hoja4!C:C)</f>
        <v>#N/A</v>
      </c>
    </row>
    <row r="144" spans="1:7" ht="13.95" customHeight="1" x14ac:dyDescent="0.3">
      <c r="A144" s="23">
        <v>3</v>
      </c>
      <c r="B144" s="22" t="e">
        <f>LOOKUP('HOJA 1'!C144,Hoja4!B:B,Hoja4!A:A)</f>
        <v>#N/A</v>
      </c>
      <c r="C144" s="24"/>
      <c r="D144" s="21" t="e">
        <f>LOOKUP(C144,Hoja4!B:B,Hoja4!D:D)</f>
        <v>#N/A</v>
      </c>
      <c r="E144" s="25" t="e">
        <f>LOOKUP('HOJA 1'!C144,Hoja4!B:B,Hoja4!C:C)</f>
        <v>#N/A</v>
      </c>
    </row>
    <row r="145" spans="1:7" ht="13.95" customHeight="1" x14ac:dyDescent="0.3">
      <c r="A145" s="23">
        <v>4</v>
      </c>
      <c r="B145" s="22" t="e">
        <f>LOOKUP('HOJA 1'!C145,Hoja4!B:B,Hoja4!A:A)</f>
        <v>#N/A</v>
      </c>
      <c r="C145" s="24"/>
      <c r="D145" s="21" t="e">
        <f>LOOKUP(C145,Hoja4!B:B,Hoja4!D:D)</f>
        <v>#N/A</v>
      </c>
      <c r="E145" s="25" t="e">
        <f>LOOKUP('HOJA 1'!C145,Hoja4!B:B,Hoja4!C:C)</f>
        <v>#N/A</v>
      </c>
    </row>
    <row r="146" spans="1:7" ht="13.95" customHeight="1" x14ac:dyDescent="0.3">
      <c r="A146" s="23">
        <v>5</v>
      </c>
      <c r="B146" s="22" t="e">
        <f>LOOKUP('HOJA 1'!C146,Hoja4!B:B,Hoja4!A:A)</f>
        <v>#N/A</v>
      </c>
      <c r="C146" s="24"/>
      <c r="D146" s="21" t="e">
        <f>LOOKUP(C146,Hoja4!B:B,Hoja4!D:D)</f>
        <v>#N/A</v>
      </c>
      <c r="E146" s="25" t="e">
        <f>LOOKUP('HOJA 1'!C146,Hoja4!B:B,Hoja4!C:C)</f>
        <v>#N/A</v>
      </c>
    </row>
    <row r="147" spans="1:7" ht="13.95" customHeight="1" x14ac:dyDescent="0.3">
      <c r="A147" s="8"/>
      <c r="B147" s="8"/>
      <c r="C147" s="8"/>
      <c r="D147" s="8"/>
      <c r="E147" s="8"/>
    </row>
    <row r="148" spans="1:7" ht="13.95" customHeight="1" x14ac:dyDescent="0.25">
      <c r="A148" s="32" t="s">
        <v>100</v>
      </c>
      <c r="B148" s="32"/>
      <c r="C148" s="32"/>
      <c r="D148" s="32"/>
      <c r="E148" s="32"/>
    </row>
    <row r="149" spans="1:7" ht="13.95" customHeight="1" x14ac:dyDescent="0.25">
      <c r="A149" s="33" t="s">
        <v>7</v>
      </c>
      <c r="B149" s="33"/>
      <c r="C149" s="23" t="s">
        <v>8</v>
      </c>
      <c r="D149" s="23" t="s">
        <v>14</v>
      </c>
      <c r="E149" s="23" t="s">
        <v>9</v>
      </c>
    </row>
    <row r="150" spans="1:7" ht="13.95" customHeight="1" x14ac:dyDescent="0.25">
      <c r="A150" s="34" t="s">
        <v>31</v>
      </c>
      <c r="B150" s="34"/>
      <c r="C150" s="26" t="s">
        <v>32</v>
      </c>
      <c r="D150" s="26">
        <v>1</v>
      </c>
      <c r="E150" s="26"/>
    </row>
    <row r="151" spans="1:7" ht="13.95" customHeight="1" x14ac:dyDescent="0.3">
      <c r="A151" s="35" t="s">
        <v>10</v>
      </c>
      <c r="B151" s="35"/>
      <c r="C151" s="36" t="s">
        <v>37</v>
      </c>
      <c r="D151" s="36"/>
      <c r="E151" s="36"/>
    </row>
    <row r="152" spans="1:7" ht="13.95" customHeight="1" x14ac:dyDescent="0.25">
      <c r="A152" s="23" t="s">
        <v>2</v>
      </c>
      <c r="B152" s="23" t="s">
        <v>3</v>
      </c>
      <c r="C152" s="23" t="s">
        <v>6</v>
      </c>
      <c r="D152" s="23" t="s">
        <v>5</v>
      </c>
      <c r="E152" s="23" t="s">
        <v>4</v>
      </c>
    </row>
    <row r="153" spans="1:7" ht="13.95" customHeight="1" x14ac:dyDescent="0.3">
      <c r="A153" s="23">
        <v>1</v>
      </c>
      <c r="B153" s="22" t="str">
        <f>LOOKUP('HOJA 1'!C153,Hoja4!B:B,Hoja4!A:A)</f>
        <v>JHON JAIRO LONDOÑO ROJO</v>
      </c>
      <c r="C153" s="24">
        <v>98578664</v>
      </c>
      <c r="D153" s="21" t="str">
        <f>LOOKUP(C153,Hoja4!B:B,Hoja4!D:D)</f>
        <v>CONDUCTOR</v>
      </c>
      <c r="E153" s="25" t="str">
        <f>LOOKUP('HOJA 1'!C153,Hoja4!B:B,Hoja4!C:C)</f>
        <v>COND</v>
      </c>
    </row>
    <row r="154" spans="1:7" ht="13.95" customHeight="1" x14ac:dyDescent="0.3">
      <c r="A154" s="23">
        <v>2</v>
      </c>
      <c r="B154" s="22" t="str">
        <f>LOOKUP('HOJA 1'!C154,Hoja4!B:B,Hoja4!A:A)</f>
        <v>JULIANA GOMEZ ZULUAGA</v>
      </c>
      <c r="C154" s="24">
        <v>1001235388</v>
      </c>
      <c r="D154" s="21" t="str">
        <f>LOOKUP(C154,Hoja4!B:B,Hoja4!D:D)</f>
        <v>APH</v>
      </c>
      <c r="E154" s="25">
        <f>LOOKUP('HOJA 1'!C154,Hoja4!B:B,Hoja4!C:C)</f>
        <v>24060246185</v>
      </c>
    </row>
    <row r="155" spans="1:7" ht="13.95" customHeight="1" x14ac:dyDescent="0.3">
      <c r="A155" s="23">
        <v>3</v>
      </c>
      <c r="B155" s="22" t="str">
        <f>LOOKUP('HOJA 1'!C155,Hoja4!B:B,Hoja4!A:A)</f>
        <v>ANDRES FERNANDO GOMEZ DORADO</v>
      </c>
      <c r="C155" s="24">
        <v>1017228145</v>
      </c>
      <c r="D155" s="21" t="str">
        <f>LOOKUP(C155,Hoja4!B:B,Hoja4!D:D)</f>
        <v>MEDICO</v>
      </c>
      <c r="E155" s="25">
        <f>LOOKUP('HOJA 1'!C155,Hoja4!B:B,Hoja4!C:C)</f>
        <v>95045</v>
      </c>
    </row>
    <row r="156" spans="1:7" ht="13.95" customHeight="1" x14ac:dyDescent="0.3">
      <c r="A156" s="23">
        <v>4</v>
      </c>
      <c r="B156" s="22" t="e">
        <f>LOOKUP('HOJA 1'!C156,Hoja4!B:B,Hoja4!A:A)</f>
        <v>#N/A</v>
      </c>
      <c r="C156" s="24"/>
      <c r="D156" s="21" t="e">
        <f>LOOKUP(C156,Hoja4!B:B,Hoja4!D:D)</f>
        <v>#N/A</v>
      </c>
      <c r="E156" s="25" t="e">
        <f>LOOKUP('HOJA 1'!C156,Hoja4!B:B,Hoja4!C:C)</f>
        <v>#N/A</v>
      </c>
    </row>
    <row r="157" spans="1:7" ht="13.95" customHeight="1" x14ac:dyDescent="0.25"/>
    <row r="158" spans="1:7" ht="13.95" customHeight="1" x14ac:dyDescent="0.25">
      <c r="A158" s="32" t="s">
        <v>100</v>
      </c>
      <c r="B158" s="32"/>
      <c r="C158" s="32"/>
      <c r="D158" s="32"/>
      <c r="E158" s="32"/>
    </row>
    <row r="159" spans="1:7" ht="13.95" customHeight="1" x14ac:dyDescent="0.25">
      <c r="A159" s="33" t="s">
        <v>7</v>
      </c>
      <c r="B159" s="33"/>
      <c r="C159" s="23" t="s">
        <v>8</v>
      </c>
      <c r="D159" s="23" t="s">
        <v>14</v>
      </c>
      <c r="E159" s="23" t="s">
        <v>9</v>
      </c>
      <c r="G159" s="1" t="s">
        <v>27</v>
      </c>
    </row>
    <row r="160" spans="1:7" ht="13.95" customHeight="1" x14ac:dyDescent="0.25">
      <c r="A160" s="34" t="s">
        <v>31</v>
      </c>
      <c r="B160" s="34"/>
      <c r="C160" s="26" t="s">
        <v>429</v>
      </c>
      <c r="D160" s="26">
        <v>3</v>
      </c>
      <c r="E160" s="26"/>
    </row>
    <row r="161" spans="1:5" ht="13.95" customHeight="1" x14ac:dyDescent="0.3">
      <c r="A161" s="35" t="s">
        <v>10</v>
      </c>
      <c r="B161" s="35"/>
      <c r="C161" s="36" t="s">
        <v>37</v>
      </c>
      <c r="D161" s="36"/>
      <c r="E161" s="36"/>
    </row>
    <row r="162" spans="1:5" ht="13.95" customHeight="1" x14ac:dyDescent="0.25">
      <c r="A162" s="23" t="s">
        <v>2</v>
      </c>
      <c r="B162" s="23" t="s">
        <v>3</v>
      </c>
      <c r="C162" s="23" t="s">
        <v>6</v>
      </c>
      <c r="D162" s="23" t="s">
        <v>5</v>
      </c>
      <c r="E162" s="23" t="s">
        <v>4</v>
      </c>
    </row>
    <row r="163" spans="1:5" ht="13.95" customHeight="1" x14ac:dyDescent="0.3">
      <c r="A163" s="23">
        <v>1</v>
      </c>
      <c r="B163" s="22" t="str">
        <f>LOOKUP('HOJA 1'!C163,Hoja4!B:B,Hoja4!A:A)</f>
        <v>PEDRO IGNACIO RODRIGUEZ RUIZ</v>
      </c>
      <c r="C163" s="24">
        <v>79530545</v>
      </c>
      <c r="D163" s="21" t="str">
        <f>LOOKUP(C163,Hoja4!B:B,Hoja4!D:D)</f>
        <v>CONDUCTOR</v>
      </c>
      <c r="E163" s="25" t="str">
        <f>LOOKUP('HOJA 1'!C163,Hoja4!B:B,Hoja4!C:C)</f>
        <v>COND</v>
      </c>
    </row>
    <row r="164" spans="1:5" ht="13.95" customHeight="1" x14ac:dyDescent="0.3">
      <c r="A164" s="23">
        <v>2</v>
      </c>
      <c r="B164" s="22" t="str">
        <f>LOOKUP('HOJA 1'!C164,Hoja4!B:B,Hoja4!A:A)</f>
        <v>MATEO HEREDIA VASQUEZ</v>
      </c>
      <c r="C164" s="24">
        <v>1001153638</v>
      </c>
      <c r="D164" s="21" t="str">
        <f>LOOKUP(C164,Hoja4!B:B,Hoja4!D:D)</f>
        <v>APH</v>
      </c>
      <c r="E164" s="25">
        <f>LOOKUP('HOJA 1'!C164,Hoja4!B:B,Hoja4!C:C)</f>
        <v>25060171422</v>
      </c>
    </row>
    <row r="165" spans="1:5" ht="13.95" customHeight="1" x14ac:dyDescent="0.3">
      <c r="A165" s="23">
        <v>3</v>
      </c>
      <c r="B165" s="22" t="str">
        <f>LOOKUP('HOJA 1'!C165,Hoja4!B:B,Hoja4!A:A)</f>
        <v>LUIS DANIEL SERNA SUESCUN</v>
      </c>
      <c r="C165" s="24">
        <v>1017197109</v>
      </c>
      <c r="D165" s="21" t="str">
        <f>LOOKUP(C165,Hoja4!B:B,Hoja4!D:D)</f>
        <v>APH / SOCORRISTA</v>
      </c>
      <c r="E165" s="25">
        <f>LOOKUP('HOJA 1'!C165,Hoja4!B:B,Hoja4!C:C)</f>
        <v>5236518</v>
      </c>
    </row>
    <row r="166" spans="1:5" ht="13.95" customHeight="1" x14ac:dyDescent="0.3">
      <c r="A166" s="23">
        <v>4</v>
      </c>
      <c r="B166" s="22" t="e">
        <f>LOOKUP('HOJA 1'!C166,Hoja4!B:B,Hoja4!A:A)</f>
        <v>#N/A</v>
      </c>
      <c r="C166" s="24"/>
      <c r="D166" s="21" t="e">
        <f>LOOKUP(C166,Hoja4!B:B,Hoja4!D:D)</f>
        <v>#N/A</v>
      </c>
      <c r="E166" s="25" t="e">
        <f>LOOKUP('HOJA 1'!C166,Hoja4!B:B,Hoja4!C:C)</f>
        <v>#N/A</v>
      </c>
    </row>
    <row r="167" spans="1:5" ht="13.95" customHeight="1" x14ac:dyDescent="0.25"/>
    <row r="168" spans="1:5" ht="13.95" customHeight="1" x14ac:dyDescent="0.25">
      <c r="A168" s="32" t="s">
        <v>100</v>
      </c>
      <c r="B168" s="32"/>
      <c r="C168" s="32"/>
      <c r="D168" s="32"/>
      <c r="E168" s="32"/>
    </row>
    <row r="169" spans="1:5" ht="13.95" customHeight="1" x14ac:dyDescent="0.25">
      <c r="A169" s="33" t="s">
        <v>7</v>
      </c>
      <c r="B169" s="33"/>
      <c r="C169" s="23" t="s">
        <v>8</v>
      </c>
      <c r="D169" s="23" t="s">
        <v>14</v>
      </c>
      <c r="E169" s="23" t="s">
        <v>9</v>
      </c>
    </row>
    <row r="170" spans="1:5" ht="13.95" customHeight="1" x14ac:dyDescent="0.25">
      <c r="A170" s="34" t="s">
        <v>33</v>
      </c>
      <c r="B170" s="34"/>
      <c r="C170" s="26" t="s">
        <v>455</v>
      </c>
      <c r="D170" s="26">
        <v>1</v>
      </c>
      <c r="E170" s="26"/>
    </row>
    <row r="171" spans="1:5" ht="13.95" customHeight="1" x14ac:dyDescent="0.3">
      <c r="A171" s="35" t="s">
        <v>10</v>
      </c>
      <c r="B171" s="35"/>
      <c r="C171" s="36" t="s">
        <v>456</v>
      </c>
      <c r="D171" s="36"/>
      <c r="E171" s="36"/>
    </row>
    <row r="172" spans="1:5" ht="13.95" customHeight="1" x14ac:dyDescent="0.25">
      <c r="A172" s="23" t="s">
        <v>2</v>
      </c>
      <c r="B172" s="23" t="s">
        <v>3</v>
      </c>
      <c r="C172" s="23" t="s">
        <v>6</v>
      </c>
      <c r="D172" s="23" t="s">
        <v>5</v>
      </c>
      <c r="E172" s="23" t="s">
        <v>4</v>
      </c>
    </row>
    <row r="173" spans="1:5" ht="13.95" customHeight="1" x14ac:dyDescent="0.3">
      <c r="A173" s="23">
        <v>1</v>
      </c>
      <c r="B173" s="22" t="str">
        <f>LOOKUP('HOJA 1'!C173,Hoja4!B:B,Hoja4!A:A)</f>
        <v>WILLIAM ALBERTO CABALLERO GAVIRIA</v>
      </c>
      <c r="C173" s="24">
        <v>1020417910</v>
      </c>
      <c r="D173" s="21" t="str">
        <f>LOOKUP(C173,Hoja4!B:B,Hoja4!D:D)</f>
        <v>CONDUCTOR</v>
      </c>
      <c r="E173" s="25" t="str">
        <f>LOOKUP('HOJA 1'!C173,Hoja4!B:B,Hoja4!C:C)</f>
        <v>COND</v>
      </c>
    </row>
    <row r="174" spans="1:5" ht="13.95" customHeight="1" x14ac:dyDescent="0.3">
      <c r="A174" s="23">
        <v>2</v>
      </c>
      <c r="B174" s="22" t="str">
        <f>LOOKUP('HOJA 1'!C174,Hoja4!B:B,Hoja4!A:A)</f>
        <v>MARIA EUGENIA GIRALDO BETANCUR</v>
      </c>
      <c r="C174" s="24">
        <v>1043640617</v>
      </c>
      <c r="D174" s="21" t="str">
        <f>LOOKUP(C174,Hoja4!B:B,Hoja4!D:D)</f>
        <v>APH</v>
      </c>
      <c r="E174" s="25">
        <f>LOOKUP('HOJA 1'!C174,Hoja4!B:B,Hoja4!C:C)</f>
        <v>60041616</v>
      </c>
    </row>
    <row r="175" spans="1:5" ht="13.95" customHeight="1" x14ac:dyDescent="0.3">
      <c r="A175" s="23">
        <v>3</v>
      </c>
      <c r="B175" s="22" t="str">
        <f>LOOKUP('HOJA 1'!C175,Hoja4!B:B,Hoja4!A:A)</f>
        <v>ESTEFANY DAYANA LIEVANO GARCIA</v>
      </c>
      <c r="C175" s="24">
        <v>1005690655</v>
      </c>
      <c r="D175" s="21" t="str">
        <f>LOOKUP(C175,Hoja4!B:B,Hoja4!D:D)</f>
        <v>ESTUDIANTE</v>
      </c>
      <c r="E175" s="25" t="str">
        <f>LOOKUP('HOJA 1'!C175,Hoja4!B:B,Hoja4!C:C)</f>
        <v>-</v>
      </c>
    </row>
    <row r="176" spans="1:5" ht="13.95" customHeight="1" x14ac:dyDescent="0.3">
      <c r="A176" s="23">
        <v>4</v>
      </c>
      <c r="B176" s="22" t="e">
        <f>LOOKUP('HOJA 1'!C176,Hoja4!B:B,Hoja4!A:A)</f>
        <v>#N/A</v>
      </c>
      <c r="C176" s="24"/>
      <c r="D176" s="21" t="e">
        <f>LOOKUP(C176,Hoja4!B:B,Hoja4!D:D)</f>
        <v>#N/A</v>
      </c>
      <c r="E176" s="25" t="e">
        <f>LOOKUP('HOJA 1'!C176,Hoja4!B:B,Hoja4!C:C)</f>
        <v>#N/A</v>
      </c>
    </row>
    <row r="177" spans="1:5" ht="13.95" customHeight="1" x14ac:dyDescent="0.3">
      <c r="A177" s="9"/>
      <c r="B177" s="10"/>
      <c r="C177" s="8"/>
      <c r="D177" s="8"/>
      <c r="E177" s="8"/>
    </row>
    <row r="178" spans="1:5" ht="13.95" customHeight="1" x14ac:dyDescent="0.25">
      <c r="A178" s="32" t="s">
        <v>100</v>
      </c>
      <c r="B178" s="32"/>
      <c r="C178" s="32"/>
      <c r="D178" s="32"/>
      <c r="E178" s="32"/>
    </row>
    <row r="179" spans="1:5" ht="13.95" customHeight="1" x14ac:dyDescent="0.25">
      <c r="A179" s="33" t="s">
        <v>7</v>
      </c>
      <c r="B179" s="33"/>
      <c r="C179" s="23" t="s">
        <v>8</v>
      </c>
      <c r="D179" s="23" t="s">
        <v>14</v>
      </c>
      <c r="E179" s="23" t="s">
        <v>9</v>
      </c>
    </row>
    <row r="180" spans="1:5" ht="13.95" customHeight="1" x14ac:dyDescent="0.25">
      <c r="A180" s="34" t="s">
        <v>33</v>
      </c>
      <c r="B180" s="34"/>
      <c r="C180" s="26"/>
      <c r="D180" s="26">
        <v>1</v>
      </c>
      <c r="E180" s="26"/>
    </row>
    <row r="181" spans="1:5" ht="13.95" customHeight="1" x14ac:dyDescent="0.3">
      <c r="A181" s="35" t="s">
        <v>10</v>
      </c>
      <c r="B181" s="35"/>
      <c r="C181" s="36"/>
      <c r="D181" s="36"/>
      <c r="E181" s="36"/>
    </row>
    <row r="182" spans="1:5" ht="13.95" customHeight="1" x14ac:dyDescent="0.25">
      <c r="A182" s="23" t="s">
        <v>2</v>
      </c>
      <c r="B182" s="23" t="s">
        <v>3</v>
      </c>
      <c r="C182" s="23" t="s">
        <v>6</v>
      </c>
      <c r="D182" s="23" t="s">
        <v>5</v>
      </c>
      <c r="E182" s="23" t="s">
        <v>4</v>
      </c>
    </row>
    <row r="183" spans="1:5" ht="13.95" customHeight="1" x14ac:dyDescent="0.3">
      <c r="A183" s="23">
        <v>1</v>
      </c>
      <c r="B183" s="22" t="e">
        <f>LOOKUP('HOJA 1'!C183,Hoja4!B:B,Hoja4!A:A)</f>
        <v>#N/A</v>
      </c>
      <c r="C183" s="24"/>
      <c r="D183" s="21" t="e">
        <f>LOOKUP(C183,Hoja4!B:B,Hoja4!D:D)</f>
        <v>#N/A</v>
      </c>
      <c r="E183" s="25" t="e">
        <f>LOOKUP('HOJA 1'!C183,Hoja4!B:B,Hoja4!C:C)</f>
        <v>#N/A</v>
      </c>
    </row>
    <row r="184" spans="1:5" ht="13.95" customHeight="1" x14ac:dyDescent="0.3">
      <c r="A184" s="23">
        <v>2</v>
      </c>
      <c r="B184" s="22" t="e">
        <f>LOOKUP('HOJA 1'!C184,Hoja4!B:B,Hoja4!A:A)</f>
        <v>#N/A</v>
      </c>
      <c r="C184" s="24"/>
      <c r="D184" s="21" t="e">
        <f>LOOKUP(C184,Hoja4!B:B,Hoja4!D:D)</f>
        <v>#N/A</v>
      </c>
      <c r="E184" s="25" t="e">
        <f>LOOKUP('HOJA 1'!C184,Hoja4!B:B,Hoja4!C:C)</f>
        <v>#N/A</v>
      </c>
    </row>
    <row r="185" spans="1:5" ht="13.95" customHeight="1" x14ac:dyDescent="0.3">
      <c r="A185" s="23">
        <v>3</v>
      </c>
      <c r="B185" s="22" t="e">
        <f>LOOKUP('HOJA 1'!C185,Hoja4!B:B,Hoja4!A:A)</f>
        <v>#N/A</v>
      </c>
      <c r="C185" s="24"/>
      <c r="D185" s="21" t="e">
        <f>LOOKUP(C185,Hoja4!B:B,Hoja4!D:D)</f>
        <v>#N/A</v>
      </c>
      <c r="E185" s="25" t="e">
        <f>LOOKUP('HOJA 1'!C185,Hoja4!B:B,Hoja4!C:C)</f>
        <v>#N/A</v>
      </c>
    </row>
    <row r="186" spans="1:5" ht="13.95" customHeight="1" x14ac:dyDescent="0.3">
      <c r="A186" s="23">
        <v>4</v>
      </c>
      <c r="B186" s="22" t="e">
        <f>LOOKUP('HOJA 1'!C186,Hoja4!B:B,Hoja4!A:A)</f>
        <v>#N/A</v>
      </c>
      <c r="C186" s="24"/>
      <c r="D186" s="21" t="e">
        <f>LOOKUP(C186,Hoja4!B:B,Hoja4!D:D)</f>
        <v>#N/A</v>
      </c>
      <c r="E186" s="25" t="e">
        <f>LOOKUP('HOJA 1'!C186,Hoja4!B:B,Hoja4!C:C)</f>
        <v>#N/A</v>
      </c>
    </row>
    <row r="187" spans="1:5" ht="13.95" customHeight="1" x14ac:dyDescent="0.25"/>
    <row r="188" spans="1:5" ht="13.95" customHeight="1" x14ac:dyDescent="0.25"/>
    <row r="189" spans="1:5" ht="13.95" customHeight="1" x14ac:dyDescent="0.25"/>
    <row r="190" spans="1:5" ht="13.95" customHeight="1" x14ac:dyDescent="0.25"/>
  </sheetData>
  <mergeCells count="50">
    <mergeCell ref="A150:B150"/>
    <mergeCell ref="A151:B151"/>
    <mergeCell ref="C151:E151"/>
    <mergeCell ref="A124:E124"/>
    <mergeCell ref="A132:E132"/>
    <mergeCell ref="A140:E140"/>
    <mergeCell ref="A148:E148"/>
    <mergeCell ref="A149:B149"/>
    <mergeCell ref="A63:E63"/>
    <mergeCell ref="A71:E71"/>
    <mergeCell ref="A79:E79"/>
    <mergeCell ref="A87:E87"/>
    <mergeCell ref="A100:E100"/>
    <mergeCell ref="A169:B169"/>
    <mergeCell ref="A168:E168"/>
    <mergeCell ref="A171:B171"/>
    <mergeCell ref="C171:E171"/>
    <mergeCell ref="A170:B170"/>
    <mergeCell ref="A161:B161"/>
    <mergeCell ref="A4:B4"/>
    <mergeCell ref="A11:B11"/>
    <mergeCell ref="C161:E161"/>
    <mergeCell ref="A12:B12"/>
    <mergeCell ref="A13:B13"/>
    <mergeCell ref="A55:E55"/>
    <mergeCell ref="A15:E15"/>
    <mergeCell ref="A23:E23"/>
    <mergeCell ref="A31:E31"/>
    <mergeCell ref="A39:E39"/>
    <mergeCell ref="A47:E47"/>
    <mergeCell ref="A108:E108"/>
    <mergeCell ref="A6:B6"/>
    <mergeCell ref="A159:B159"/>
    <mergeCell ref="A160:B160"/>
    <mergeCell ref="A1:E2"/>
    <mergeCell ref="A178:E178"/>
    <mergeCell ref="A179:B179"/>
    <mergeCell ref="A180:B180"/>
    <mergeCell ref="A181:B181"/>
    <mergeCell ref="C181:E181"/>
    <mergeCell ref="A3:E3"/>
    <mergeCell ref="A8:E8"/>
    <mergeCell ref="A9:B9"/>
    <mergeCell ref="A10:B10"/>
    <mergeCell ref="C9:E9"/>
    <mergeCell ref="C10:E10"/>
    <mergeCell ref="A5:B5"/>
    <mergeCell ref="A7:B7"/>
    <mergeCell ref="A116:E116"/>
    <mergeCell ref="A158:E158"/>
  </mergeCells>
  <conditionalFormatting sqref="C150 C17:C21 C25:C29 C41:C45 C49:C53 C57:C61 C65:C69 C73:C77 C81:C85 C89:C93 C102:C106 C110:C114 C134:C138 C142:C146 C160 C170 C173:C176 C180 C183:C186 C153:C156 C118:C122 C33:C37 C126:C130 C163:C166">
    <cfRule type="duplicateValues" dxfId="1" priority="1"/>
  </conditionalFormatting>
  <printOptions horizontalCentered="1" verticalCentered="1"/>
  <pageMargins left="0.25" right="0.25" top="1.2650000000000001" bottom="0.75" header="0.3" footer="0.3"/>
  <pageSetup paperSize="9" scale="96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FD647F-86EB-420D-A53A-3C3AD4880A8A}">
  <dimension ref="A1:N396"/>
  <sheetViews>
    <sheetView topLeftCell="A381" workbookViewId="0">
      <selection activeCell="A401" sqref="A401"/>
    </sheetView>
  </sheetViews>
  <sheetFormatPr baseColWidth="10" defaultColWidth="11.5546875" defaultRowHeight="14.4" x14ac:dyDescent="0.3"/>
  <cols>
    <col min="1" max="1" width="39.33203125" style="28" bestFit="1" customWidth="1"/>
    <col min="2" max="2" width="30.33203125" style="28" bestFit="1" customWidth="1"/>
    <col min="3" max="3" width="14" style="29" bestFit="1" customWidth="1"/>
    <col min="4" max="4" width="35.33203125" style="28" bestFit="1" customWidth="1"/>
    <col min="5" max="13" width="11.5546875" style="27"/>
    <col min="14" max="14" width="35.33203125" style="27" bestFit="1" customWidth="1"/>
    <col min="15" max="16384" width="11.5546875" style="27"/>
  </cols>
  <sheetData>
    <row r="1" spans="1:14" x14ac:dyDescent="0.3">
      <c r="A1" s="28" t="s">
        <v>104</v>
      </c>
      <c r="B1" s="28" t="s">
        <v>105</v>
      </c>
      <c r="C1" s="29" t="s">
        <v>101</v>
      </c>
      <c r="D1" s="28" t="s">
        <v>106</v>
      </c>
      <c r="N1" s="28" t="s">
        <v>417</v>
      </c>
    </row>
    <row r="2" spans="1:14" x14ac:dyDescent="0.3">
      <c r="A2" s="28" t="s">
        <v>110</v>
      </c>
      <c r="B2" s="28">
        <v>3378920</v>
      </c>
      <c r="C2" s="29" t="s">
        <v>102</v>
      </c>
      <c r="D2" s="28" t="s">
        <v>108</v>
      </c>
      <c r="N2" s="28" t="s">
        <v>28</v>
      </c>
    </row>
    <row r="3" spans="1:14" x14ac:dyDescent="0.3">
      <c r="A3" s="28" t="s">
        <v>91</v>
      </c>
      <c r="B3" s="28">
        <v>4675021</v>
      </c>
      <c r="C3" s="29">
        <v>25060177953</v>
      </c>
      <c r="D3" s="28" t="s">
        <v>107</v>
      </c>
      <c r="N3" s="28" t="s">
        <v>107</v>
      </c>
    </row>
    <row r="4" spans="1:14" x14ac:dyDescent="0.3">
      <c r="A4" s="28" t="s">
        <v>111</v>
      </c>
      <c r="B4" s="28">
        <v>15490976</v>
      </c>
      <c r="C4" s="29" t="s">
        <v>102</v>
      </c>
      <c r="D4" s="28" t="s">
        <v>28</v>
      </c>
      <c r="N4" s="28" t="s">
        <v>108</v>
      </c>
    </row>
    <row r="5" spans="1:14" x14ac:dyDescent="0.3">
      <c r="A5" s="28" t="s">
        <v>35</v>
      </c>
      <c r="B5" s="28">
        <v>15665121</v>
      </c>
      <c r="C5" s="29" t="s">
        <v>102</v>
      </c>
      <c r="D5" s="28" t="s">
        <v>28</v>
      </c>
      <c r="N5" s="28" t="s">
        <v>414</v>
      </c>
    </row>
    <row r="6" spans="1:14" x14ac:dyDescent="0.3">
      <c r="A6" s="28" t="s">
        <v>112</v>
      </c>
      <c r="B6" s="28">
        <v>30687786</v>
      </c>
      <c r="C6" s="29">
        <v>23000229</v>
      </c>
      <c r="D6" s="28" t="s">
        <v>414</v>
      </c>
      <c r="N6" s="28" t="s">
        <v>109</v>
      </c>
    </row>
    <row r="7" spans="1:14" x14ac:dyDescent="0.3">
      <c r="A7" s="28" t="s">
        <v>424</v>
      </c>
      <c r="B7" s="28">
        <v>32108979</v>
      </c>
      <c r="C7" s="29">
        <v>5431611</v>
      </c>
      <c r="D7" s="28" t="s">
        <v>107</v>
      </c>
      <c r="N7" s="28" t="s">
        <v>415</v>
      </c>
    </row>
    <row r="8" spans="1:14" x14ac:dyDescent="0.3">
      <c r="A8" s="28" t="s">
        <v>47</v>
      </c>
      <c r="B8" s="28">
        <v>39176010</v>
      </c>
      <c r="C8" s="29">
        <v>5053909</v>
      </c>
      <c r="D8" s="28" t="s">
        <v>109</v>
      </c>
      <c r="N8" s="28" t="s">
        <v>34</v>
      </c>
    </row>
    <row r="9" spans="1:14" x14ac:dyDescent="0.3">
      <c r="A9" s="28" t="s">
        <v>59</v>
      </c>
      <c r="B9" s="28">
        <v>43102696</v>
      </c>
      <c r="C9" s="29">
        <v>4178</v>
      </c>
      <c r="D9" s="28" t="s">
        <v>107</v>
      </c>
      <c r="N9" s="28" t="s">
        <v>416</v>
      </c>
    </row>
    <row r="10" spans="1:14" x14ac:dyDescent="0.3">
      <c r="A10" s="28" t="s">
        <v>113</v>
      </c>
      <c r="B10" s="28">
        <v>43155821</v>
      </c>
      <c r="C10" s="29">
        <v>3414</v>
      </c>
      <c r="D10" s="28" t="s">
        <v>109</v>
      </c>
      <c r="N10" s="28" t="s">
        <v>29</v>
      </c>
    </row>
    <row r="11" spans="1:14" x14ac:dyDescent="0.3">
      <c r="A11" s="28" t="s">
        <v>114</v>
      </c>
      <c r="B11" s="28">
        <v>43269083</v>
      </c>
      <c r="C11" s="29" t="s">
        <v>102</v>
      </c>
      <c r="D11" s="28" t="s">
        <v>108</v>
      </c>
    </row>
    <row r="12" spans="1:14" x14ac:dyDescent="0.3">
      <c r="A12" s="28" t="s">
        <v>115</v>
      </c>
      <c r="B12" s="28">
        <v>43269224</v>
      </c>
      <c r="C12" s="29">
        <v>25060180506</v>
      </c>
      <c r="D12" s="28" t="s">
        <v>107</v>
      </c>
    </row>
    <row r="13" spans="1:14" x14ac:dyDescent="0.3">
      <c r="A13" s="28" t="s">
        <v>116</v>
      </c>
      <c r="B13" s="28">
        <v>43272593</v>
      </c>
      <c r="C13" s="29">
        <v>5639416</v>
      </c>
      <c r="D13" s="28" t="s">
        <v>107</v>
      </c>
    </row>
    <row r="14" spans="1:14" x14ac:dyDescent="0.3">
      <c r="A14" s="28" t="s">
        <v>117</v>
      </c>
      <c r="B14" s="28">
        <v>43555911</v>
      </c>
      <c r="C14" s="29" t="s">
        <v>102</v>
      </c>
      <c r="D14" s="28" t="s">
        <v>28</v>
      </c>
    </row>
    <row r="15" spans="1:14" x14ac:dyDescent="0.3">
      <c r="A15" s="28" t="s">
        <v>118</v>
      </c>
      <c r="B15" s="28">
        <v>43607099</v>
      </c>
      <c r="C15" s="29">
        <v>360</v>
      </c>
      <c r="D15" s="28" t="s">
        <v>107</v>
      </c>
    </row>
    <row r="16" spans="1:14" x14ac:dyDescent="0.3">
      <c r="A16" s="28" t="s">
        <v>119</v>
      </c>
      <c r="B16" s="28">
        <v>43623145</v>
      </c>
      <c r="C16" s="29">
        <v>60018289</v>
      </c>
      <c r="D16" s="28" t="s">
        <v>107</v>
      </c>
    </row>
    <row r="17" spans="1:4" x14ac:dyDescent="0.3">
      <c r="A17" s="28" t="s">
        <v>120</v>
      </c>
      <c r="B17" s="28">
        <v>43750392</v>
      </c>
      <c r="C17" s="29">
        <v>52860</v>
      </c>
      <c r="D17" s="28" t="s">
        <v>109</v>
      </c>
    </row>
    <row r="18" spans="1:4" x14ac:dyDescent="0.3">
      <c r="A18" s="28" t="s">
        <v>428</v>
      </c>
      <c r="B18" s="28">
        <v>43754698</v>
      </c>
      <c r="C18" s="29">
        <v>51322</v>
      </c>
      <c r="D18" s="28" t="s">
        <v>107</v>
      </c>
    </row>
    <row r="19" spans="1:4" x14ac:dyDescent="0.3">
      <c r="A19" s="28" t="s">
        <v>121</v>
      </c>
      <c r="B19" s="28">
        <v>43915171</v>
      </c>
      <c r="C19" s="29">
        <v>5782922</v>
      </c>
      <c r="D19" s="28" t="s">
        <v>107</v>
      </c>
    </row>
    <row r="20" spans="1:4" x14ac:dyDescent="0.3">
      <c r="A20" s="28" t="s">
        <v>122</v>
      </c>
      <c r="B20" s="28">
        <v>44004733</v>
      </c>
      <c r="C20" s="29" t="s">
        <v>102</v>
      </c>
      <c r="D20" s="28" t="s">
        <v>108</v>
      </c>
    </row>
    <row r="21" spans="1:4" x14ac:dyDescent="0.3">
      <c r="A21" s="28" t="s">
        <v>419</v>
      </c>
      <c r="B21" s="28">
        <v>49789412</v>
      </c>
      <c r="C21" s="29">
        <v>47854</v>
      </c>
      <c r="D21" s="28" t="s">
        <v>107</v>
      </c>
    </row>
    <row r="22" spans="1:4" x14ac:dyDescent="0.3">
      <c r="A22" s="28" t="s">
        <v>123</v>
      </c>
      <c r="B22" s="28">
        <v>52285356</v>
      </c>
      <c r="C22" s="29">
        <v>5312</v>
      </c>
      <c r="D22" s="28" t="s">
        <v>107</v>
      </c>
    </row>
    <row r="23" spans="1:4" x14ac:dyDescent="0.3">
      <c r="A23" s="28" t="s">
        <v>124</v>
      </c>
      <c r="B23" s="28">
        <v>63492218</v>
      </c>
      <c r="C23" s="29">
        <v>5702722</v>
      </c>
      <c r="D23" s="28" t="s">
        <v>34</v>
      </c>
    </row>
    <row r="24" spans="1:4" x14ac:dyDescent="0.3">
      <c r="A24" s="28" t="s">
        <v>41</v>
      </c>
      <c r="B24" s="28">
        <v>71220062</v>
      </c>
      <c r="C24" s="29">
        <v>5329322</v>
      </c>
      <c r="D24" s="28" t="s">
        <v>416</v>
      </c>
    </row>
    <row r="25" spans="1:4" x14ac:dyDescent="0.3">
      <c r="A25" s="28" t="s">
        <v>69</v>
      </c>
      <c r="B25" s="28">
        <v>71221040</v>
      </c>
      <c r="C25" s="29">
        <v>71221040</v>
      </c>
      <c r="D25" s="28" t="s">
        <v>109</v>
      </c>
    </row>
    <row r="26" spans="1:4" x14ac:dyDescent="0.3">
      <c r="A26" s="28" t="s">
        <v>423</v>
      </c>
      <c r="B26" s="28">
        <v>71337752</v>
      </c>
      <c r="C26" s="29" t="s">
        <v>103</v>
      </c>
      <c r="D26" s="28" t="s">
        <v>29</v>
      </c>
    </row>
    <row r="27" spans="1:4" x14ac:dyDescent="0.3">
      <c r="A27" s="28" t="s">
        <v>55</v>
      </c>
      <c r="B27" s="28">
        <v>71531476</v>
      </c>
      <c r="C27" s="29" t="s">
        <v>102</v>
      </c>
      <c r="D27" s="28" t="s">
        <v>28</v>
      </c>
    </row>
    <row r="28" spans="1:4" x14ac:dyDescent="0.3">
      <c r="A28" s="28" t="s">
        <v>125</v>
      </c>
      <c r="B28" s="28">
        <v>71587271</v>
      </c>
      <c r="C28" s="29" t="s">
        <v>102</v>
      </c>
      <c r="D28" s="28" t="s">
        <v>28</v>
      </c>
    </row>
    <row r="29" spans="1:4" x14ac:dyDescent="0.3">
      <c r="A29" s="28" t="s">
        <v>126</v>
      </c>
      <c r="B29" s="28">
        <v>71631378</v>
      </c>
      <c r="C29" s="29" t="s">
        <v>103</v>
      </c>
      <c r="D29" s="28" t="s">
        <v>29</v>
      </c>
    </row>
    <row r="30" spans="1:4" x14ac:dyDescent="0.3">
      <c r="A30" s="28" t="s">
        <v>127</v>
      </c>
      <c r="B30" s="28">
        <v>71708637</v>
      </c>
      <c r="C30" s="29" t="s">
        <v>103</v>
      </c>
      <c r="D30" s="28" t="s">
        <v>29</v>
      </c>
    </row>
    <row r="31" spans="1:4" x14ac:dyDescent="0.3">
      <c r="A31" s="28" t="s">
        <v>40</v>
      </c>
      <c r="B31" s="28">
        <v>71777291</v>
      </c>
      <c r="C31" s="29" t="s">
        <v>102</v>
      </c>
      <c r="D31" s="28" t="s">
        <v>28</v>
      </c>
    </row>
    <row r="32" spans="1:4" x14ac:dyDescent="0.3">
      <c r="A32" s="28" t="s">
        <v>454</v>
      </c>
      <c r="B32" s="28">
        <v>79530545</v>
      </c>
      <c r="C32" s="29" t="s">
        <v>103</v>
      </c>
      <c r="D32" s="28" t="s">
        <v>29</v>
      </c>
    </row>
    <row r="33" spans="1:4" x14ac:dyDescent="0.3">
      <c r="A33" s="28" t="s">
        <v>128</v>
      </c>
      <c r="B33" s="28">
        <v>93131001</v>
      </c>
      <c r="C33" s="29">
        <v>1560</v>
      </c>
      <c r="D33" s="28" t="s">
        <v>107</v>
      </c>
    </row>
    <row r="34" spans="1:4" x14ac:dyDescent="0.3">
      <c r="A34" s="28" t="s">
        <v>430</v>
      </c>
      <c r="B34" s="28">
        <v>96124264</v>
      </c>
      <c r="C34" s="29" t="s">
        <v>103</v>
      </c>
      <c r="D34" s="28" t="s">
        <v>29</v>
      </c>
    </row>
    <row r="35" spans="1:4" x14ac:dyDescent="0.3">
      <c r="A35" s="28" t="s">
        <v>129</v>
      </c>
      <c r="B35" s="28">
        <v>98540523</v>
      </c>
      <c r="C35" s="29">
        <v>5347011</v>
      </c>
      <c r="D35" s="28" t="s">
        <v>107</v>
      </c>
    </row>
    <row r="36" spans="1:4" x14ac:dyDescent="0.3">
      <c r="A36" s="28" t="s">
        <v>130</v>
      </c>
      <c r="B36" s="28">
        <v>98558130</v>
      </c>
      <c r="C36" s="29" t="s">
        <v>102</v>
      </c>
      <c r="D36" s="28" t="s">
        <v>28</v>
      </c>
    </row>
    <row r="37" spans="1:4" x14ac:dyDescent="0.3">
      <c r="A37" s="28" t="s">
        <v>39</v>
      </c>
      <c r="B37" s="28">
        <v>98578664</v>
      </c>
      <c r="C37" s="29" t="s">
        <v>103</v>
      </c>
      <c r="D37" s="28" t="s">
        <v>29</v>
      </c>
    </row>
    <row r="38" spans="1:4" x14ac:dyDescent="0.3">
      <c r="A38" s="28" t="s">
        <v>38</v>
      </c>
      <c r="B38" s="28">
        <v>98595642</v>
      </c>
      <c r="C38" s="29">
        <v>5451411</v>
      </c>
      <c r="D38" s="28" t="s">
        <v>416</v>
      </c>
    </row>
    <row r="39" spans="1:4" x14ac:dyDescent="0.3">
      <c r="A39" s="28" t="s">
        <v>131</v>
      </c>
      <c r="B39" s="28">
        <v>98712282</v>
      </c>
      <c r="C39" s="29">
        <v>5221320</v>
      </c>
      <c r="D39" s="28" t="s">
        <v>34</v>
      </c>
    </row>
    <row r="40" spans="1:4" x14ac:dyDescent="0.3">
      <c r="A40" s="28" t="s">
        <v>132</v>
      </c>
      <c r="B40" s="28">
        <v>98714960</v>
      </c>
      <c r="C40" s="29">
        <v>25061010963</v>
      </c>
      <c r="D40" s="28" t="s">
        <v>34</v>
      </c>
    </row>
    <row r="41" spans="1:4" x14ac:dyDescent="0.3">
      <c r="A41" s="28" t="s">
        <v>44</v>
      </c>
      <c r="B41" s="28">
        <v>98762700</v>
      </c>
      <c r="C41" s="29">
        <v>5637517</v>
      </c>
      <c r="D41" s="28" t="s">
        <v>416</v>
      </c>
    </row>
    <row r="42" spans="1:4" x14ac:dyDescent="0.3">
      <c r="A42" s="28" t="s">
        <v>133</v>
      </c>
      <c r="B42" s="28">
        <v>1000084325</v>
      </c>
      <c r="C42" s="29" t="s">
        <v>102</v>
      </c>
      <c r="D42" s="29" t="s">
        <v>108</v>
      </c>
    </row>
    <row r="43" spans="1:4" x14ac:dyDescent="0.3">
      <c r="A43" s="28" t="s">
        <v>62</v>
      </c>
      <c r="B43" s="28">
        <v>1000084681</v>
      </c>
      <c r="C43" s="29" t="s">
        <v>102</v>
      </c>
      <c r="D43" s="29" t="s">
        <v>108</v>
      </c>
    </row>
    <row r="44" spans="1:4" x14ac:dyDescent="0.3">
      <c r="A44" s="28" t="s">
        <v>134</v>
      </c>
      <c r="B44" s="28">
        <v>1000085342</v>
      </c>
      <c r="C44" s="29">
        <v>25060175611</v>
      </c>
      <c r="D44" s="29" t="s">
        <v>34</v>
      </c>
    </row>
    <row r="45" spans="1:4" x14ac:dyDescent="0.3">
      <c r="A45" s="28" t="s">
        <v>135</v>
      </c>
      <c r="B45" s="28">
        <v>1000087505</v>
      </c>
      <c r="C45" s="29" t="s">
        <v>102</v>
      </c>
      <c r="D45" s="29" t="s">
        <v>108</v>
      </c>
    </row>
    <row r="46" spans="1:4" x14ac:dyDescent="0.3">
      <c r="A46" s="28" t="s">
        <v>136</v>
      </c>
      <c r="B46" s="28">
        <v>1000088364</v>
      </c>
      <c r="C46" s="29">
        <v>5453522</v>
      </c>
      <c r="D46" s="28" t="s">
        <v>34</v>
      </c>
    </row>
    <row r="47" spans="1:4" x14ac:dyDescent="0.3">
      <c r="A47" s="28" t="s">
        <v>137</v>
      </c>
      <c r="B47" s="28">
        <v>1000089746</v>
      </c>
      <c r="C47" s="29" t="s">
        <v>102</v>
      </c>
      <c r="D47" s="28" t="s">
        <v>108</v>
      </c>
    </row>
    <row r="48" spans="1:4" x14ac:dyDescent="0.3">
      <c r="A48" s="28" t="s">
        <v>138</v>
      </c>
      <c r="B48" s="28">
        <v>1000099681</v>
      </c>
      <c r="C48" s="29">
        <v>25060173755</v>
      </c>
      <c r="D48" s="28" t="s">
        <v>34</v>
      </c>
    </row>
    <row r="49" spans="1:4" x14ac:dyDescent="0.3">
      <c r="A49" s="28" t="s">
        <v>139</v>
      </c>
      <c r="B49" s="28">
        <v>1000190302</v>
      </c>
      <c r="C49" s="29">
        <v>5649121</v>
      </c>
      <c r="D49" s="28" t="s">
        <v>107</v>
      </c>
    </row>
    <row r="50" spans="1:4" x14ac:dyDescent="0.3">
      <c r="A50" s="28" t="s">
        <v>140</v>
      </c>
      <c r="B50" s="28">
        <v>1000191310</v>
      </c>
      <c r="C50" s="29" t="s">
        <v>102</v>
      </c>
      <c r="D50" s="28" t="s">
        <v>108</v>
      </c>
    </row>
    <row r="51" spans="1:4" x14ac:dyDescent="0.3">
      <c r="A51" s="28" t="s">
        <v>141</v>
      </c>
      <c r="B51" s="28">
        <v>1000207860</v>
      </c>
      <c r="C51" s="29">
        <v>25060179513</v>
      </c>
      <c r="D51" s="28" t="s">
        <v>34</v>
      </c>
    </row>
    <row r="52" spans="1:4" x14ac:dyDescent="0.3">
      <c r="A52" s="28" t="s">
        <v>142</v>
      </c>
      <c r="B52" s="28">
        <v>1000207920</v>
      </c>
      <c r="C52" s="29">
        <v>24060080553</v>
      </c>
      <c r="D52" s="28" t="s">
        <v>107</v>
      </c>
    </row>
    <row r="53" spans="1:4" x14ac:dyDescent="0.3">
      <c r="A53" s="28" t="s">
        <v>434</v>
      </c>
      <c r="B53" s="28">
        <v>1000289968</v>
      </c>
      <c r="C53" s="29">
        <v>5100220</v>
      </c>
      <c r="D53" s="28" t="s">
        <v>107</v>
      </c>
    </row>
    <row r="54" spans="1:4" x14ac:dyDescent="0.3">
      <c r="A54" s="28" t="s">
        <v>48</v>
      </c>
      <c r="B54" s="28">
        <v>1000294604</v>
      </c>
      <c r="C54" s="29" t="s">
        <v>102</v>
      </c>
      <c r="D54" s="28" t="s">
        <v>108</v>
      </c>
    </row>
    <row r="55" spans="1:4" x14ac:dyDescent="0.3">
      <c r="A55" s="28" t="s">
        <v>143</v>
      </c>
      <c r="B55" s="28">
        <v>1000294675</v>
      </c>
      <c r="C55" s="29">
        <v>24060429605</v>
      </c>
      <c r="D55" s="28" t="s">
        <v>34</v>
      </c>
    </row>
    <row r="56" spans="1:4" x14ac:dyDescent="0.3">
      <c r="A56" s="28" t="s">
        <v>58</v>
      </c>
      <c r="B56" s="28">
        <v>1000305851</v>
      </c>
      <c r="C56" s="29">
        <v>5022623</v>
      </c>
      <c r="D56" s="28" t="s">
        <v>107</v>
      </c>
    </row>
    <row r="57" spans="1:4" x14ac:dyDescent="0.3">
      <c r="A57" s="28" t="s">
        <v>144</v>
      </c>
      <c r="B57" s="28">
        <v>1000306225</v>
      </c>
      <c r="C57" s="29" t="s">
        <v>102</v>
      </c>
      <c r="D57" s="28" t="s">
        <v>108</v>
      </c>
    </row>
    <row r="58" spans="1:4" x14ac:dyDescent="0.3">
      <c r="A58" s="28" t="s">
        <v>445</v>
      </c>
      <c r="B58" s="28">
        <v>1000364018</v>
      </c>
      <c r="D58" s="28" t="s">
        <v>108</v>
      </c>
    </row>
    <row r="59" spans="1:4" x14ac:dyDescent="0.3">
      <c r="A59" s="28" t="s">
        <v>145</v>
      </c>
      <c r="B59" s="28">
        <v>1000393168</v>
      </c>
      <c r="C59" s="29">
        <v>5482419</v>
      </c>
      <c r="D59" s="28" t="s">
        <v>107</v>
      </c>
    </row>
    <row r="60" spans="1:4" x14ac:dyDescent="0.3">
      <c r="A60" s="28" t="s">
        <v>79</v>
      </c>
      <c r="B60" s="28">
        <v>1000394312</v>
      </c>
      <c r="C60" s="29" t="s">
        <v>102</v>
      </c>
      <c r="D60" s="28" t="s">
        <v>108</v>
      </c>
    </row>
    <row r="61" spans="1:4" x14ac:dyDescent="0.3">
      <c r="A61" s="28" t="s">
        <v>146</v>
      </c>
      <c r="B61" s="28">
        <v>1000400004</v>
      </c>
      <c r="C61" s="29">
        <v>25060172563</v>
      </c>
      <c r="D61" s="28" t="s">
        <v>34</v>
      </c>
    </row>
    <row r="62" spans="1:4" x14ac:dyDescent="0.3">
      <c r="A62" s="28" t="s">
        <v>147</v>
      </c>
      <c r="B62" s="28">
        <v>1000402259</v>
      </c>
      <c r="C62" s="29" t="s">
        <v>102</v>
      </c>
      <c r="D62" s="29" t="s">
        <v>108</v>
      </c>
    </row>
    <row r="63" spans="1:4" x14ac:dyDescent="0.3">
      <c r="A63" s="28" t="s">
        <v>148</v>
      </c>
      <c r="B63" s="28">
        <v>1000409369</v>
      </c>
      <c r="C63" s="29" t="s">
        <v>102</v>
      </c>
      <c r="D63" s="29" t="s">
        <v>108</v>
      </c>
    </row>
    <row r="64" spans="1:4" x14ac:dyDescent="0.3">
      <c r="A64" s="28" t="s">
        <v>149</v>
      </c>
      <c r="B64" s="28">
        <v>1000414788</v>
      </c>
      <c r="C64" s="29" t="s">
        <v>102</v>
      </c>
      <c r="D64" s="29" t="s">
        <v>108</v>
      </c>
    </row>
    <row r="65" spans="1:4" x14ac:dyDescent="0.3">
      <c r="A65" s="28" t="s">
        <v>150</v>
      </c>
      <c r="B65" s="28">
        <v>1000444716</v>
      </c>
      <c r="C65" s="29" t="s">
        <v>102</v>
      </c>
      <c r="D65" s="29" t="s">
        <v>108</v>
      </c>
    </row>
    <row r="66" spans="1:4" x14ac:dyDescent="0.3">
      <c r="A66" s="28" t="s">
        <v>151</v>
      </c>
      <c r="B66" s="28">
        <v>1000534222</v>
      </c>
      <c r="C66" s="29" t="s">
        <v>102</v>
      </c>
      <c r="D66" s="28" t="s">
        <v>108</v>
      </c>
    </row>
    <row r="67" spans="1:4" x14ac:dyDescent="0.3">
      <c r="A67" s="28" t="s">
        <v>152</v>
      </c>
      <c r="B67" s="28">
        <v>1000535955</v>
      </c>
      <c r="C67" s="29">
        <v>24060076966</v>
      </c>
      <c r="D67" s="28" t="s">
        <v>34</v>
      </c>
    </row>
    <row r="68" spans="1:4" x14ac:dyDescent="0.3">
      <c r="A68" s="28" t="s">
        <v>45</v>
      </c>
      <c r="B68" s="28">
        <v>1000537543</v>
      </c>
      <c r="C68" s="29">
        <v>25060175284</v>
      </c>
      <c r="D68" s="28" t="s">
        <v>107</v>
      </c>
    </row>
    <row r="69" spans="1:4" x14ac:dyDescent="0.3">
      <c r="A69" s="28" t="s">
        <v>153</v>
      </c>
      <c r="B69" s="28">
        <v>1000547492</v>
      </c>
      <c r="C69" s="29" t="s">
        <v>102</v>
      </c>
      <c r="D69" s="28" t="s">
        <v>108</v>
      </c>
    </row>
    <row r="70" spans="1:4" x14ac:dyDescent="0.3">
      <c r="A70" s="28" t="s">
        <v>154</v>
      </c>
      <c r="B70" s="28">
        <v>1000567127</v>
      </c>
      <c r="C70" s="29">
        <v>5362720</v>
      </c>
      <c r="D70" s="28" t="s">
        <v>107</v>
      </c>
    </row>
    <row r="71" spans="1:4" x14ac:dyDescent="0.3">
      <c r="A71" s="28" t="s">
        <v>155</v>
      </c>
      <c r="B71" s="28">
        <v>1000570845</v>
      </c>
      <c r="C71" s="29" t="s">
        <v>102</v>
      </c>
      <c r="D71" s="28" t="s">
        <v>108</v>
      </c>
    </row>
    <row r="72" spans="1:4" x14ac:dyDescent="0.3">
      <c r="A72" s="28" t="s">
        <v>156</v>
      </c>
      <c r="B72" s="28">
        <v>1000602970</v>
      </c>
      <c r="C72" s="29">
        <v>25060179924</v>
      </c>
      <c r="D72" s="28" t="s">
        <v>34</v>
      </c>
    </row>
    <row r="73" spans="1:4" x14ac:dyDescent="0.3">
      <c r="A73" s="28" t="s">
        <v>157</v>
      </c>
      <c r="B73" s="28">
        <v>1000634654</v>
      </c>
      <c r="C73" s="29">
        <v>5425922</v>
      </c>
      <c r="D73" s="28" t="s">
        <v>34</v>
      </c>
    </row>
    <row r="74" spans="1:4" x14ac:dyDescent="0.3">
      <c r="A74" s="28" t="s">
        <v>426</v>
      </c>
      <c r="B74" s="28">
        <v>1000639939</v>
      </c>
      <c r="D74" s="28" t="s">
        <v>108</v>
      </c>
    </row>
    <row r="75" spans="1:4" x14ac:dyDescent="0.3">
      <c r="A75" s="28" t="s">
        <v>78</v>
      </c>
      <c r="B75" s="28">
        <v>1000644768</v>
      </c>
      <c r="C75" s="29" t="s">
        <v>102</v>
      </c>
      <c r="D75" s="28" t="s">
        <v>108</v>
      </c>
    </row>
    <row r="76" spans="1:4" x14ac:dyDescent="0.3">
      <c r="A76" s="28" t="s">
        <v>158</v>
      </c>
      <c r="B76" s="28">
        <v>1000644769</v>
      </c>
      <c r="C76" s="29" t="s">
        <v>102</v>
      </c>
      <c r="D76" s="28" t="s">
        <v>108</v>
      </c>
    </row>
    <row r="77" spans="1:4" x14ac:dyDescent="0.3">
      <c r="A77" s="28" t="s">
        <v>159</v>
      </c>
      <c r="B77" s="28">
        <v>1000654382</v>
      </c>
      <c r="C77" s="29" t="s">
        <v>102</v>
      </c>
      <c r="D77" s="28" t="s">
        <v>108</v>
      </c>
    </row>
    <row r="78" spans="1:4" x14ac:dyDescent="0.3">
      <c r="A78" s="28" t="s">
        <v>160</v>
      </c>
      <c r="B78" s="28">
        <v>1000662023</v>
      </c>
      <c r="C78" s="29" t="s">
        <v>102</v>
      </c>
      <c r="D78" s="28" t="s">
        <v>108</v>
      </c>
    </row>
    <row r="79" spans="1:4" x14ac:dyDescent="0.3">
      <c r="A79" s="28" t="s">
        <v>161</v>
      </c>
      <c r="B79" s="28">
        <v>1000662143</v>
      </c>
      <c r="C79" s="29">
        <v>5021322</v>
      </c>
      <c r="D79" s="28" t="s">
        <v>34</v>
      </c>
    </row>
    <row r="80" spans="1:4" x14ac:dyDescent="0.3">
      <c r="A80" s="28" t="s">
        <v>162</v>
      </c>
      <c r="B80" s="28">
        <v>1000662269</v>
      </c>
      <c r="C80" s="29" t="s">
        <v>102</v>
      </c>
      <c r="D80" s="28" t="s">
        <v>108</v>
      </c>
    </row>
    <row r="81" spans="1:4" x14ac:dyDescent="0.3">
      <c r="A81" s="28" t="s">
        <v>163</v>
      </c>
      <c r="B81" s="28">
        <v>1000748597</v>
      </c>
      <c r="C81" s="29">
        <v>24060021228</v>
      </c>
      <c r="D81" s="28" t="s">
        <v>34</v>
      </c>
    </row>
    <row r="82" spans="1:4" x14ac:dyDescent="0.3">
      <c r="A82" s="28" t="s">
        <v>164</v>
      </c>
      <c r="B82" s="28">
        <v>1000752456</v>
      </c>
      <c r="C82" s="29" t="s">
        <v>102</v>
      </c>
      <c r="D82" s="28" t="s">
        <v>108</v>
      </c>
    </row>
    <row r="83" spans="1:4" x14ac:dyDescent="0.3">
      <c r="A83" s="28" t="s">
        <v>165</v>
      </c>
      <c r="B83" s="28">
        <v>1000756090</v>
      </c>
      <c r="C83" s="29">
        <v>5645223</v>
      </c>
      <c r="D83" s="28" t="s">
        <v>34</v>
      </c>
    </row>
    <row r="84" spans="1:4" x14ac:dyDescent="0.3">
      <c r="A84" s="28" t="s">
        <v>80</v>
      </c>
      <c r="B84" s="28">
        <v>1000764249</v>
      </c>
      <c r="C84" s="29" t="s">
        <v>102</v>
      </c>
      <c r="D84" s="28" t="s">
        <v>108</v>
      </c>
    </row>
    <row r="85" spans="1:4" x14ac:dyDescent="0.3">
      <c r="A85" s="28" t="s">
        <v>166</v>
      </c>
      <c r="B85" s="28">
        <v>1000871491</v>
      </c>
      <c r="C85" s="29" t="s">
        <v>102</v>
      </c>
      <c r="D85" s="28" t="s">
        <v>108</v>
      </c>
    </row>
    <row r="86" spans="1:4" x14ac:dyDescent="0.3">
      <c r="A86" s="28" t="s">
        <v>450</v>
      </c>
      <c r="B86" s="28">
        <v>1000872630</v>
      </c>
      <c r="D86" s="28" t="s">
        <v>108</v>
      </c>
    </row>
    <row r="87" spans="1:4" x14ac:dyDescent="0.3">
      <c r="A87" s="28" t="s">
        <v>167</v>
      </c>
      <c r="B87" s="28">
        <v>1000874145</v>
      </c>
      <c r="C87" s="29" t="s">
        <v>102</v>
      </c>
      <c r="D87" s="28" t="s">
        <v>108</v>
      </c>
    </row>
    <row r="88" spans="1:4" x14ac:dyDescent="0.3">
      <c r="A88" s="28" t="s">
        <v>168</v>
      </c>
      <c r="B88" s="28">
        <v>1000874319</v>
      </c>
      <c r="C88" s="29" t="s">
        <v>102</v>
      </c>
      <c r="D88" s="28" t="s">
        <v>108</v>
      </c>
    </row>
    <row r="89" spans="1:4" x14ac:dyDescent="0.3">
      <c r="A89" s="28" t="s">
        <v>76</v>
      </c>
      <c r="B89" s="28">
        <v>1000898470</v>
      </c>
      <c r="C89" s="29">
        <v>5122123</v>
      </c>
      <c r="D89" s="28" t="s">
        <v>107</v>
      </c>
    </row>
    <row r="90" spans="1:4" x14ac:dyDescent="0.3">
      <c r="A90" s="28" t="s">
        <v>169</v>
      </c>
      <c r="B90" s="28">
        <v>1000899076</v>
      </c>
      <c r="C90" s="29">
        <v>5011823</v>
      </c>
      <c r="D90" s="28" t="s">
        <v>107</v>
      </c>
    </row>
    <row r="91" spans="1:4" x14ac:dyDescent="0.3">
      <c r="A91" s="28" t="s">
        <v>170</v>
      </c>
      <c r="B91" s="28">
        <v>1000899444</v>
      </c>
      <c r="C91" s="29" t="s">
        <v>102</v>
      </c>
      <c r="D91" s="28" t="s">
        <v>108</v>
      </c>
    </row>
    <row r="92" spans="1:4" x14ac:dyDescent="0.3">
      <c r="A92" s="28" t="s">
        <v>171</v>
      </c>
      <c r="B92" s="28">
        <v>1000902161</v>
      </c>
      <c r="C92" s="29" t="s">
        <v>102</v>
      </c>
      <c r="D92" s="28" t="s">
        <v>108</v>
      </c>
    </row>
    <row r="93" spans="1:4" x14ac:dyDescent="0.3">
      <c r="A93" s="28" t="s">
        <v>172</v>
      </c>
      <c r="B93" s="28">
        <v>1000902733</v>
      </c>
      <c r="C93" s="29">
        <v>5096521</v>
      </c>
      <c r="D93" s="28" t="s">
        <v>107</v>
      </c>
    </row>
    <row r="94" spans="1:4" x14ac:dyDescent="0.3">
      <c r="A94" s="28" t="s">
        <v>93</v>
      </c>
      <c r="B94" s="28">
        <v>1000970493</v>
      </c>
      <c r="C94" s="29" t="s">
        <v>102</v>
      </c>
      <c r="D94" s="28" t="s">
        <v>108</v>
      </c>
    </row>
    <row r="95" spans="1:4" x14ac:dyDescent="0.3">
      <c r="A95" s="28" t="s">
        <v>173</v>
      </c>
      <c r="B95" s="28">
        <v>1001015706</v>
      </c>
      <c r="C95" s="29" t="s">
        <v>102</v>
      </c>
      <c r="D95" s="28" t="s">
        <v>108</v>
      </c>
    </row>
    <row r="96" spans="1:4" x14ac:dyDescent="0.3">
      <c r="A96" s="28" t="s">
        <v>81</v>
      </c>
      <c r="B96" s="28">
        <v>1001016088</v>
      </c>
      <c r="C96" s="29" t="s">
        <v>102</v>
      </c>
      <c r="D96" s="28" t="s">
        <v>108</v>
      </c>
    </row>
    <row r="97" spans="1:4" x14ac:dyDescent="0.3">
      <c r="A97" s="28" t="s">
        <v>174</v>
      </c>
      <c r="B97" s="28">
        <v>1001021489</v>
      </c>
      <c r="C97" s="29" t="s">
        <v>102</v>
      </c>
      <c r="D97" s="28" t="s">
        <v>108</v>
      </c>
    </row>
    <row r="98" spans="1:4" x14ac:dyDescent="0.3">
      <c r="A98" s="28" t="s">
        <v>175</v>
      </c>
      <c r="B98" s="28">
        <v>1001082959</v>
      </c>
      <c r="C98" s="29" t="s">
        <v>102</v>
      </c>
      <c r="D98" s="28" t="s">
        <v>108</v>
      </c>
    </row>
    <row r="99" spans="1:4" x14ac:dyDescent="0.3">
      <c r="A99" s="28" t="s">
        <v>176</v>
      </c>
      <c r="B99" s="28">
        <v>1001139385</v>
      </c>
      <c r="C99" s="29" t="s">
        <v>102</v>
      </c>
      <c r="D99" s="28" t="s">
        <v>108</v>
      </c>
    </row>
    <row r="100" spans="1:4" x14ac:dyDescent="0.3">
      <c r="A100" s="28" t="s">
        <v>177</v>
      </c>
      <c r="B100" s="28">
        <v>1001140199</v>
      </c>
      <c r="C100" s="29" t="s">
        <v>102</v>
      </c>
      <c r="D100" s="28" t="s">
        <v>108</v>
      </c>
    </row>
    <row r="101" spans="1:4" x14ac:dyDescent="0.3">
      <c r="A101" s="28" t="s">
        <v>54</v>
      </c>
      <c r="B101" s="28">
        <v>1001153638</v>
      </c>
      <c r="C101" s="29">
        <v>25060171422</v>
      </c>
      <c r="D101" s="28" t="s">
        <v>34</v>
      </c>
    </row>
    <row r="102" spans="1:4" x14ac:dyDescent="0.3">
      <c r="A102" s="28" t="s">
        <v>178</v>
      </c>
      <c r="B102" s="28">
        <v>1001161389</v>
      </c>
      <c r="C102" s="29" t="s">
        <v>102</v>
      </c>
      <c r="D102" s="28" t="s">
        <v>108</v>
      </c>
    </row>
    <row r="103" spans="1:4" x14ac:dyDescent="0.3">
      <c r="A103" s="28" t="s">
        <v>179</v>
      </c>
      <c r="B103" s="28">
        <v>1001218950</v>
      </c>
      <c r="C103" s="29" t="s">
        <v>102</v>
      </c>
      <c r="D103" s="28" t="s">
        <v>108</v>
      </c>
    </row>
    <row r="104" spans="1:4" x14ac:dyDescent="0.3">
      <c r="A104" s="28" t="s">
        <v>71</v>
      </c>
      <c r="B104" s="28">
        <v>1001228414</v>
      </c>
      <c r="C104" s="29" t="s">
        <v>102</v>
      </c>
      <c r="D104" s="28" t="s">
        <v>108</v>
      </c>
    </row>
    <row r="105" spans="1:4" x14ac:dyDescent="0.3">
      <c r="A105" s="28" t="s">
        <v>180</v>
      </c>
      <c r="B105" s="28">
        <v>1001229476</v>
      </c>
      <c r="C105" s="29">
        <v>24060431136</v>
      </c>
      <c r="D105" s="28" t="s">
        <v>34</v>
      </c>
    </row>
    <row r="106" spans="1:4" x14ac:dyDescent="0.3">
      <c r="A106" s="28" t="s">
        <v>181</v>
      </c>
      <c r="B106" s="28">
        <v>1001233880</v>
      </c>
      <c r="C106" s="29" t="s">
        <v>102</v>
      </c>
      <c r="D106" s="28" t="s">
        <v>108</v>
      </c>
    </row>
    <row r="107" spans="1:4" x14ac:dyDescent="0.3">
      <c r="A107" s="28" t="s">
        <v>182</v>
      </c>
      <c r="B107" s="28">
        <v>1001235388</v>
      </c>
      <c r="C107" s="29">
        <v>24060246185</v>
      </c>
      <c r="D107" s="28" t="s">
        <v>34</v>
      </c>
    </row>
    <row r="108" spans="1:4" x14ac:dyDescent="0.3">
      <c r="A108" s="28" t="s">
        <v>183</v>
      </c>
      <c r="B108" s="28">
        <v>1001235439</v>
      </c>
      <c r="C108" s="29" t="s">
        <v>102</v>
      </c>
      <c r="D108" s="28" t="s">
        <v>108</v>
      </c>
    </row>
    <row r="109" spans="1:4" x14ac:dyDescent="0.3">
      <c r="A109" s="28" t="s">
        <v>63</v>
      </c>
      <c r="B109" s="28">
        <v>1001250524</v>
      </c>
      <c r="C109" s="29" t="s">
        <v>102</v>
      </c>
      <c r="D109" s="29" t="s">
        <v>108</v>
      </c>
    </row>
    <row r="110" spans="1:4" x14ac:dyDescent="0.3">
      <c r="A110" s="28" t="s">
        <v>184</v>
      </c>
      <c r="B110" s="28">
        <v>1001362462</v>
      </c>
      <c r="C110" s="29" t="s">
        <v>102</v>
      </c>
      <c r="D110" s="29" t="s">
        <v>108</v>
      </c>
    </row>
    <row r="111" spans="1:4" x14ac:dyDescent="0.3">
      <c r="A111" s="28" t="s">
        <v>185</v>
      </c>
      <c r="B111" s="28">
        <v>1001366552</v>
      </c>
      <c r="C111" s="29">
        <v>25060006115</v>
      </c>
      <c r="D111" s="29" t="s">
        <v>34</v>
      </c>
    </row>
    <row r="112" spans="1:4" x14ac:dyDescent="0.3">
      <c r="A112" s="28" t="s">
        <v>186</v>
      </c>
      <c r="B112" s="28">
        <v>1001371041</v>
      </c>
      <c r="C112" s="29" t="s">
        <v>102</v>
      </c>
      <c r="D112" s="29" t="s">
        <v>108</v>
      </c>
    </row>
    <row r="113" spans="1:4" x14ac:dyDescent="0.3">
      <c r="A113" s="28" t="s">
        <v>187</v>
      </c>
      <c r="B113" s="28">
        <v>1001371340</v>
      </c>
      <c r="C113" s="29" t="s">
        <v>102</v>
      </c>
      <c r="D113" s="28" t="s">
        <v>108</v>
      </c>
    </row>
    <row r="114" spans="1:4" x14ac:dyDescent="0.3">
      <c r="A114" s="28" t="s">
        <v>188</v>
      </c>
      <c r="B114" s="28">
        <v>1001390465</v>
      </c>
      <c r="C114" s="29">
        <v>24060249870</v>
      </c>
      <c r="D114" s="29" t="s">
        <v>34</v>
      </c>
    </row>
    <row r="115" spans="1:4" x14ac:dyDescent="0.3">
      <c r="A115" s="28" t="s">
        <v>189</v>
      </c>
      <c r="B115" s="28">
        <v>1001463828</v>
      </c>
      <c r="C115" s="29">
        <v>25060005710</v>
      </c>
      <c r="D115" s="28" t="s">
        <v>34</v>
      </c>
    </row>
    <row r="116" spans="1:4" x14ac:dyDescent="0.3">
      <c r="A116" s="28" t="s">
        <v>190</v>
      </c>
      <c r="B116" s="28">
        <v>1001498036</v>
      </c>
      <c r="C116" s="29" t="s">
        <v>102</v>
      </c>
      <c r="D116" s="28" t="s">
        <v>108</v>
      </c>
    </row>
    <row r="117" spans="1:4" x14ac:dyDescent="0.3">
      <c r="A117" s="28" t="s">
        <v>191</v>
      </c>
      <c r="B117" s="28">
        <v>1001508929</v>
      </c>
      <c r="C117" s="29">
        <v>5263221</v>
      </c>
      <c r="D117" s="28" t="s">
        <v>107</v>
      </c>
    </row>
    <row r="118" spans="1:4" x14ac:dyDescent="0.3">
      <c r="A118" s="28" t="s">
        <v>192</v>
      </c>
      <c r="B118" s="28">
        <v>1001539949</v>
      </c>
      <c r="C118" s="29" t="s">
        <v>102</v>
      </c>
      <c r="D118" s="28" t="s">
        <v>108</v>
      </c>
    </row>
    <row r="119" spans="1:4" x14ac:dyDescent="0.3">
      <c r="A119" s="28" t="s">
        <v>193</v>
      </c>
      <c r="B119" s="28">
        <v>1001577700</v>
      </c>
      <c r="C119" s="29" t="s">
        <v>102</v>
      </c>
      <c r="D119" s="28" t="s">
        <v>108</v>
      </c>
    </row>
    <row r="120" spans="1:4" x14ac:dyDescent="0.3">
      <c r="A120" s="28" t="s">
        <v>194</v>
      </c>
      <c r="B120" s="28">
        <v>1001590413</v>
      </c>
      <c r="C120" s="29">
        <v>5375822</v>
      </c>
      <c r="D120" s="28" t="s">
        <v>107</v>
      </c>
    </row>
    <row r="121" spans="1:4" x14ac:dyDescent="0.3">
      <c r="A121" s="28" t="s">
        <v>195</v>
      </c>
      <c r="B121" s="28">
        <v>1001618302</v>
      </c>
      <c r="C121" s="29">
        <v>5026222</v>
      </c>
      <c r="D121" s="28" t="s">
        <v>34</v>
      </c>
    </row>
    <row r="122" spans="1:4" x14ac:dyDescent="0.3">
      <c r="A122" s="28" t="s">
        <v>61</v>
      </c>
      <c r="B122" s="28">
        <v>1001653106</v>
      </c>
      <c r="C122" s="29">
        <v>25060176653</v>
      </c>
      <c r="D122" s="28" t="s">
        <v>107</v>
      </c>
    </row>
    <row r="123" spans="1:4" x14ac:dyDescent="0.3">
      <c r="A123" s="28" t="s">
        <v>196</v>
      </c>
      <c r="B123" s="28">
        <v>1001686236</v>
      </c>
      <c r="C123" s="29">
        <v>25060001872</v>
      </c>
      <c r="D123" s="28" t="s">
        <v>34</v>
      </c>
    </row>
    <row r="124" spans="1:4" x14ac:dyDescent="0.3">
      <c r="A124" s="28" t="s">
        <v>197</v>
      </c>
      <c r="B124" s="28">
        <v>1001687163</v>
      </c>
      <c r="C124" s="29" t="s">
        <v>102</v>
      </c>
      <c r="D124" s="28" t="s">
        <v>108</v>
      </c>
    </row>
    <row r="125" spans="1:4" x14ac:dyDescent="0.3">
      <c r="A125" s="28" t="s">
        <v>198</v>
      </c>
      <c r="B125" s="28">
        <v>1001723999</v>
      </c>
      <c r="C125" s="29">
        <v>5652022</v>
      </c>
      <c r="D125" s="28" t="s">
        <v>34</v>
      </c>
    </row>
    <row r="126" spans="1:4" x14ac:dyDescent="0.3">
      <c r="A126" s="28" t="s">
        <v>199</v>
      </c>
      <c r="B126" s="28">
        <v>1001748884</v>
      </c>
      <c r="C126" s="29" t="s">
        <v>102</v>
      </c>
      <c r="D126" s="28" t="s">
        <v>108</v>
      </c>
    </row>
    <row r="127" spans="1:4" x14ac:dyDescent="0.3">
      <c r="A127" s="28" t="s">
        <v>200</v>
      </c>
      <c r="B127" s="28">
        <v>1001813504</v>
      </c>
      <c r="C127" s="29">
        <v>25061008943</v>
      </c>
      <c r="D127" s="28" t="s">
        <v>34</v>
      </c>
    </row>
    <row r="128" spans="1:4" x14ac:dyDescent="0.3">
      <c r="A128" s="28" t="s">
        <v>201</v>
      </c>
      <c r="B128" s="28">
        <v>1001972463</v>
      </c>
      <c r="C128" s="29" t="s">
        <v>102</v>
      </c>
      <c r="D128" s="28" t="s">
        <v>108</v>
      </c>
    </row>
    <row r="129" spans="1:4" x14ac:dyDescent="0.3">
      <c r="A129" s="28" t="s">
        <v>202</v>
      </c>
      <c r="B129" s="28">
        <v>1002061230</v>
      </c>
      <c r="C129" s="29">
        <v>5687923</v>
      </c>
      <c r="D129" s="28" t="s">
        <v>107</v>
      </c>
    </row>
    <row r="130" spans="1:4" x14ac:dyDescent="0.3">
      <c r="A130" s="28" t="s">
        <v>203</v>
      </c>
      <c r="B130" s="28">
        <v>1002147037</v>
      </c>
      <c r="C130" s="29">
        <v>5151123</v>
      </c>
      <c r="D130" s="28" t="s">
        <v>107</v>
      </c>
    </row>
    <row r="131" spans="1:4" x14ac:dyDescent="0.3">
      <c r="A131" s="28" t="s">
        <v>204</v>
      </c>
      <c r="B131" s="28">
        <v>1002961826</v>
      </c>
      <c r="C131" s="29" t="s">
        <v>102</v>
      </c>
      <c r="D131" s="28" t="s">
        <v>108</v>
      </c>
    </row>
    <row r="132" spans="1:4" x14ac:dyDescent="0.3">
      <c r="A132" s="28" t="s">
        <v>205</v>
      </c>
      <c r="B132" s="28">
        <v>1003005012</v>
      </c>
      <c r="C132" s="29" t="s">
        <v>102</v>
      </c>
      <c r="D132" s="28" t="s">
        <v>108</v>
      </c>
    </row>
    <row r="133" spans="1:4" x14ac:dyDescent="0.3">
      <c r="A133" s="28" t="s">
        <v>206</v>
      </c>
      <c r="B133" s="28">
        <v>1003034922</v>
      </c>
      <c r="C133" s="29" t="s">
        <v>102</v>
      </c>
      <c r="D133" s="28" t="s">
        <v>108</v>
      </c>
    </row>
    <row r="134" spans="1:4" x14ac:dyDescent="0.3">
      <c r="A134" s="28" t="s">
        <v>207</v>
      </c>
      <c r="B134" s="28">
        <v>1003232925</v>
      </c>
      <c r="C134" s="29">
        <v>24060093132</v>
      </c>
      <c r="D134" s="28" t="s">
        <v>34</v>
      </c>
    </row>
    <row r="135" spans="1:4" x14ac:dyDescent="0.3">
      <c r="A135" s="28" t="s">
        <v>208</v>
      </c>
      <c r="B135" s="28">
        <v>1003556965</v>
      </c>
      <c r="C135" s="29" t="s">
        <v>102</v>
      </c>
      <c r="D135" s="28" t="s">
        <v>108</v>
      </c>
    </row>
    <row r="136" spans="1:4" x14ac:dyDescent="0.3">
      <c r="A136" s="28" t="s">
        <v>209</v>
      </c>
      <c r="B136" s="28">
        <v>1003590853</v>
      </c>
      <c r="C136" s="29">
        <v>23001678</v>
      </c>
      <c r="D136" s="28" t="s">
        <v>107</v>
      </c>
    </row>
    <row r="137" spans="1:4" x14ac:dyDescent="0.3">
      <c r="A137" s="28" t="s">
        <v>88</v>
      </c>
      <c r="B137" s="28">
        <v>1003786424</v>
      </c>
      <c r="C137" s="29" t="s">
        <v>102</v>
      </c>
      <c r="D137" s="28" t="s">
        <v>108</v>
      </c>
    </row>
    <row r="138" spans="1:4" x14ac:dyDescent="0.3">
      <c r="A138" s="28" t="s">
        <v>210</v>
      </c>
      <c r="B138" s="28">
        <v>1004367322</v>
      </c>
      <c r="C138" s="29" t="s">
        <v>102</v>
      </c>
      <c r="D138" s="28" t="s">
        <v>108</v>
      </c>
    </row>
    <row r="139" spans="1:4" x14ac:dyDescent="0.3">
      <c r="A139" s="28" t="s">
        <v>211</v>
      </c>
      <c r="B139" s="28">
        <v>1005458201</v>
      </c>
      <c r="C139" s="29">
        <v>5467022</v>
      </c>
      <c r="D139" s="28" t="s">
        <v>34</v>
      </c>
    </row>
    <row r="140" spans="1:4" x14ac:dyDescent="0.3">
      <c r="A140" s="28" t="s">
        <v>212</v>
      </c>
      <c r="B140" s="28">
        <v>1005690654</v>
      </c>
      <c r="C140" s="29">
        <v>1005690654</v>
      </c>
      <c r="D140" s="28" t="s">
        <v>415</v>
      </c>
    </row>
    <row r="141" spans="1:4" x14ac:dyDescent="0.3">
      <c r="A141" s="28" t="s">
        <v>213</v>
      </c>
      <c r="B141" s="28">
        <v>1005690655</v>
      </c>
      <c r="C141" s="29" t="s">
        <v>102</v>
      </c>
      <c r="D141" s="28" t="s">
        <v>108</v>
      </c>
    </row>
    <row r="142" spans="1:4" x14ac:dyDescent="0.3">
      <c r="A142" s="28" t="s">
        <v>64</v>
      </c>
      <c r="B142" s="28">
        <v>1006148577</v>
      </c>
      <c r="C142" s="29" t="s">
        <v>102</v>
      </c>
      <c r="D142" s="28" t="s">
        <v>108</v>
      </c>
    </row>
    <row r="143" spans="1:4" x14ac:dyDescent="0.3">
      <c r="A143" s="28" t="s">
        <v>214</v>
      </c>
      <c r="B143" s="28">
        <v>1006385576</v>
      </c>
      <c r="C143" s="29">
        <v>5475922</v>
      </c>
      <c r="D143" s="28" t="s">
        <v>107</v>
      </c>
    </row>
    <row r="144" spans="1:4" x14ac:dyDescent="0.3">
      <c r="A144" s="28" t="s">
        <v>215</v>
      </c>
      <c r="B144" s="28">
        <v>1006417562</v>
      </c>
      <c r="C144" s="29">
        <v>5153222</v>
      </c>
      <c r="D144" s="28" t="s">
        <v>34</v>
      </c>
    </row>
    <row r="145" spans="1:4" x14ac:dyDescent="0.3">
      <c r="A145" s="28" t="s">
        <v>216</v>
      </c>
      <c r="B145" s="28">
        <v>1006491759</v>
      </c>
      <c r="C145" s="29" t="s">
        <v>102</v>
      </c>
      <c r="D145" s="28" t="s">
        <v>108</v>
      </c>
    </row>
    <row r="146" spans="1:4" x14ac:dyDescent="0.3">
      <c r="A146" s="28" t="s">
        <v>217</v>
      </c>
      <c r="B146" s="28">
        <v>1006663496</v>
      </c>
      <c r="C146" s="29" t="s">
        <v>102</v>
      </c>
      <c r="D146" s="28" t="s">
        <v>108</v>
      </c>
    </row>
    <row r="147" spans="1:4" x14ac:dyDescent="0.3">
      <c r="A147" s="28" t="s">
        <v>218</v>
      </c>
      <c r="B147" s="28">
        <v>1007040914</v>
      </c>
      <c r="C147" s="29">
        <v>24060427510</v>
      </c>
      <c r="D147" s="28" t="s">
        <v>34</v>
      </c>
    </row>
    <row r="148" spans="1:4" x14ac:dyDescent="0.3">
      <c r="A148" s="28" t="s">
        <v>219</v>
      </c>
      <c r="B148" s="28">
        <v>1007143656</v>
      </c>
      <c r="C148" s="29" t="s">
        <v>102</v>
      </c>
      <c r="D148" s="28" t="s">
        <v>108</v>
      </c>
    </row>
    <row r="149" spans="1:4" x14ac:dyDescent="0.3">
      <c r="A149" s="28" t="s">
        <v>220</v>
      </c>
      <c r="B149" s="28">
        <v>1007190983</v>
      </c>
      <c r="C149" s="29" t="s">
        <v>102</v>
      </c>
      <c r="D149" s="28" t="s">
        <v>108</v>
      </c>
    </row>
    <row r="150" spans="1:4" x14ac:dyDescent="0.3">
      <c r="A150" s="28" t="s">
        <v>68</v>
      </c>
      <c r="B150" s="28">
        <v>1007221965</v>
      </c>
      <c r="C150" s="29">
        <v>24060427355</v>
      </c>
      <c r="D150" s="28" t="s">
        <v>34</v>
      </c>
    </row>
    <row r="151" spans="1:4" x14ac:dyDescent="0.3">
      <c r="A151" s="28" t="s">
        <v>221</v>
      </c>
      <c r="B151" s="28">
        <v>1007222380</v>
      </c>
      <c r="C151" s="29">
        <v>5800122</v>
      </c>
      <c r="D151" s="28" t="s">
        <v>107</v>
      </c>
    </row>
    <row r="152" spans="1:4" x14ac:dyDescent="0.3">
      <c r="A152" s="28" t="s">
        <v>222</v>
      </c>
      <c r="B152" s="28">
        <v>1007240502</v>
      </c>
      <c r="C152" s="29">
        <v>5454319</v>
      </c>
      <c r="D152" s="28" t="s">
        <v>107</v>
      </c>
    </row>
    <row r="153" spans="1:4" x14ac:dyDescent="0.3">
      <c r="A153" s="28" t="s">
        <v>223</v>
      </c>
      <c r="B153" s="28">
        <v>1007242178</v>
      </c>
      <c r="C153" s="29" t="s">
        <v>102</v>
      </c>
      <c r="D153" s="28" t="s">
        <v>108</v>
      </c>
    </row>
    <row r="154" spans="1:4" x14ac:dyDescent="0.3">
      <c r="A154" s="28" t="s">
        <v>224</v>
      </c>
      <c r="B154" s="28">
        <v>1007242318</v>
      </c>
      <c r="C154" s="29" t="s">
        <v>102</v>
      </c>
      <c r="D154" s="28" t="s">
        <v>108</v>
      </c>
    </row>
    <row r="155" spans="1:4" x14ac:dyDescent="0.3">
      <c r="A155" s="28" t="s">
        <v>225</v>
      </c>
      <c r="B155" s="28">
        <v>1007242992</v>
      </c>
      <c r="C155" s="29">
        <v>5514519</v>
      </c>
      <c r="D155" s="28" t="s">
        <v>107</v>
      </c>
    </row>
    <row r="156" spans="1:4" x14ac:dyDescent="0.3">
      <c r="A156" s="28" t="s">
        <v>226</v>
      </c>
      <c r="B156" s="28">
        <v>1007271832</v>
      </c>
      <c r="C156" s="29">
        <v>25060007228</v>
      </c>
      <c r="D156" s="28" t="s">
        <v>34</v>
      </c>
    </row>
    <row r="157" spans="1:4" x14ac:dyDescent="0.3">
      <c r="A157" s="28" t="s">
        <v>227</v>
      </c>
      <c r="B157" s="28">
        <v>1007321595</v>
      </c>
      <c r="C157" s="29" t="s">
        <v>102</v>
      </c>
      <c r="D157" s="28" t="s">
        <v>108</v>
      </c>
    </row>
    <row r="158" spans="1:4" x14ac:dyDescent="0.3">
      <c r="A158" s="28" t="s">
        <v>228</v>
      </c>
      <c r="B158" s="28">
        <v>1007338290</v>
      </c>
      <c r="C158" s="29">
        <v>5781023</v>
      </c>
      <c r="D158" s="28" t="s">
        <v>34</v>
      </c>
    </row>
    <row r="159" spans="1:4" x14ac:dyDescent="0.3">
      <c r="A159" s="28" t="s">
        <v>229</v>
      </c>
      <c r="B159" s="28">
        <v>1007341620</v>
      </c>
      <c r="C159" s="29" t="s">
        <v>102</v>
      </c>
      <c r="D159" s="28" t="s">
        <v>108</v>
      </c>
    </row>
    <row r="160" spans="1:4" x14ac:dyDescent="0.3">
      <c r="A160" s="28" t="s">
        <v>230</v>
      </c>
      <c r="B160" s="28">
        <v>1007441228</v>
      </c>
      <c r="C160" s="29" t="s">
        <v>102</v>
      </c>
      <c r="D160" s="28" t="s">
        <v>108</v>
      </c>
    </row>
    <row r="161" spans="1:4" x14ac:dyDescent="0.3">
      <c r="A161" s="28" t="s">
        <v>231</v>
      </c>
      <c r="B161" s="28">
        <v>1007452010</v>
      </c>
      <c r="C161" s="29" t="s">
        <v>102</v>
      </c>
      <c r="D161" s="28" t="s">
        <v>108</v>
      </c>
    </row>
    <row r="162" spans="1:4" x14ac:dyDescent="0.3">
      <c r="A162" s="28" t="s">
        <v>232</v>
      </c>
      <c r="B162" s="28">
        <v>1007523997</v>
      </c>
      <c r="C162" s="29" t="s">
        <v>102</v>
      </c>
      <c r="D162" s="28" t="s">
        <v>108</v>
      </c>
    </row>
    <row r="163" spans="1:4" x14ac:dyDescent="0.3">
      <c r="A163" s="28" t="s">
        <v>233</v>
      </c>
      <c r="B163" s="28">
        <v>1007533621</v>
      </c>
      <c r="C163" s="29" t="s">
        <v>102</v>
      </c>
      <c r="D163" s="28" t="s">
        <v>108</v>
      </c>
    </row>
    <row r="164" spans="1:4" x14ac:dyDescent="0.3">
      <c r="A164" s="28" t="s">
        <v>234</v>
      </c>
      <c r="B164" s="28">
        <v>1007536960</v>
      </c>
      <c r="C164" s="29" t="s">
        <v>102</v>
      </c>
      <c r="D164" s="28" t="s">
        <v>108</v>
      </c>
    </row>
    <row r="165" spans="1:4" x14ac:dyDescent="0.3">
      <c r="A165" s="28" t="s">
        <v>235</v>
      </c>
      <c r="B165" s="28">
        <v>1007624902</v>
      </c>
      <c r="C165" s="29" t="s">
        <v>102</v>
      </c>
      <c r="D165" s="28" t="s">
        <v>108</v>
      </c>
    </row>
    <row r="166" spans="1:4" x14ac:dyDescent="0.3">
      <c r="A166" s="28" t="s">
        <v>236</v>
      </c>
      <c r="B166" s="28">
        <v>1007872887</v>
      </c>
      <c r="C166" s="29" t="s">
        <v>102</v>
      </c>
      <c r="D166" s="28" t="s">
        <v>108</v>
      </c>
    </row>
    <row r="167" spans="1:4" x14ac:dyDescent="0.3">
      <c r="A167" s="28" t="s">
        <v>237</v>
      </c>
      <c r="B167" s="28">
        <v>1007903409</v>
      </c>
      <c r="C167" s="29" t="s">
        <v>102</v>
      </c>
      <c r="D167" s="28" t="s">
        <v>108</v>
      </c>
    </row>
    <row r="168" spans="1:4" x14ac:dyDescent="0.3">
      <c r="A168" s="28" t="s">
        <v>238</v>
      </c>
      <c r="B168" s="28">
        <v>1010087247</v>
      </c>
      <c r="C168" s="29" t="s">
        <v>102</v>
      </c>
      <c r="D168" s="28" t="s">
        <v>108</v>
      </c>
    </row>
    <row r="169" spans="1:4" x14ac:dyDescent="0.3">
      <c r="A169" s="28" t="s">
        <v>239</v>
      </c>
      <c r="B169" s="28">
        <v>1010092679</v>
      </c>
      <c r="C169" s="29">
        <v>24060024727</v>
      </c>
      <c r="D169" s="28" t="s">
        <v>34</v>
      </c>
    </row>
    <row r="170" spans="1:4" x14ac:dyDescent="0.3">
      <c r="A170" s="28" t="s">
        <v>240</v>
      </c>
      <c r="B170" s="28">
        <v>1010159183</v>
      </c>
      <c r="C170" s="29">
        <v>24060075867</v>
      </c>
      <c r="D170" s="28" t="s">
        <v>107</v>
      </c>
    </row>
    <row r="171" spans="1:4" x14ac:dyDescent="0.3">
      <c r="A171" s="28" t="s">
        <v>241</v>
      </c>
      <c r="B171" s="28">
        <v>1011392507</v>
      </c>
      <c r="C171" s="29">
        <v>24060421285</v>
      </c>
      <c r="D171" s="28" t="s">
        <v>107</v>
      </c>
    </row>
    <row r="172" spans="1:4" x14ac:dyDescent="0.3">
      <c r="A172" s="28" t="s">
        <v>242</v>
      </c>
      <c r="B172" s="28">
        <v>1011392508</v>
      </c>
      <c r="C172" s="29" t="s">
        <v>102</v>
      </c>
      <c r="D172" s="28" t="s">
        <v>108</v>
      </c>
    </row>
    <row r="173" spans="1:4" x14ac:dyDescent="0.3">
      <c r="A173" s="28" t="s">
        <v>243</v>
      </c>
      <c r="B173" s="28">
        <v>1011396122</v>
      </c>
      <c r="C173" s="29">
        <v>25060182536</v>
      </c>
      <c r="D173" s="28" t="s">
        <v>107</v>
      </c>
    </row>
    <row r="174" spans="1:4" x14ac:dyDescent="0.3">
      <c r="A174" s="28" t="s">
        <v>75</v>
      </c>
      <c r="B174" s="28">
        <v>1011510860</v>
      </c>
      <c r="C174" s="29" t="s">
        <v>102</v>
      </c>
      <c r="D174" s="29" t="s">
        <v>108</v>
      </c>
    </row>
    <row r="175" spans="1:4" x14ac:dyDescent="0.3">
      <c r="A175" s="28" t="s">
        <v>244</v>
      </c>
      <c r="B175" s="28">
        <v>1011511644</v>
      </c>
      <c r="C175" s="29">
        <v>24060427508</v>
      </c>
      <c r="D175" s="29" t="s">
        <v>107</v>
      </c>
    </row>
    <row r="176" spans="1:4" x14ac:dyDescent="0.3">
      <c r="A176" s="28" t="s">
        <v>245</v>
      </c>
      <c r="B176" s="28">
        <v>1013456309</v>
      </c>
      <c r="C176" s="29" t="s">
        <v>102</v>
      </c>
      <c r="D176" s="29" t="s">
        <v>108</v>
      </c>
    </row>
    <row r="177" spans="1:4" x14ac:dyDescent="0.3">
      <c r="A177" s="28" t="s">
        <v>246</v>
      </c>
      <c r="B177" s="28">
        <v>1013456398</v>
      </c>
      <c r="C177" s="29" t="s">
        <v>102</v>
      </c>
      <c r="D177" s="29" t="s">
        <v>108</v>
      </c>
    </row>
    <row r="178" spans="1:4" x14ac:dyDescent="0.3">
      <c r="A178" s="28" t="s">
        <v>247</v>
      </c>
      <c r="B178" s="28">
        <v>1013457414</v>
      </c>
      <c r="C178" s="29" t="s">
        <v>102</v>
      </c>
      <c r="D178" s="28" t="s">
        <v>108</v>
      </c>
    </row>
    <row r="179" spans="1:4" x14ac:dyDescent="0.3">
      <c r="A179" s="28" t="s">
        <v>248</v>
      </c>
      <c r="B179" s="28">
        <v>1015067234</v>
      </c>
      <c r="C179" s="29" t="s">
        <v>102</v>
      </c>
      <c r="D179" s="28" t="s">
        <v>108</v>
      </c>
    </row>
    <row r="180" spans="1:4" x14ac:dyDescent="0.3">
      <c r="A180" s="28" t="s">
        <v>249</v>
      </c>
      <c r="B180" s="28">
        <v>1015067504</v>
      </c>
      <c r="C180" s="29">
        <v>5804322</v>
      </c>
      <c r="D180" s="28" t="s">
        <v>107</v>
      </c>
    </row>
    <row r="181" spans="1:4" x14ac:dyDescent="0.3">
      <c r="A181" s="28" t="s">
        <v>250</v>
      </c>
      <c r="B181" s="28">
        <v>1015067811</v>
      </c>
      <c r="C181" s="29">
        <v>24060248717</v>
      </c>
      <c r="D181" s="28" t="s">
        <v>107</v>
      </c>
    </row>
    <row r="182" spans="1:4" x14ac:dyDescent="0.3">
      <c r="A182" s="28" t="s">
        <v>251</v>
      </c>
      <c r="B182" s="28">
        <v>1015071133</v>
      </c>
      <c r="C182" s="29">
        <v>25060181557</v>
      </c>
      <c r="D182" s="28" t="s">
        <v>107</v>
      </c>
    </row>
    <row r="183" spans="1:4" x14ac:dyDescent="0.3">
      <c r="A183" s="28" t="s">
        <v>433</v>
      </c>
      <c r="B183" s="28">
        <v>1015072853</v>
      </c>
    </row>
    <row r="184" spans="1:4" x14ac:dyDescent="0.3">
      <c r="A184" s="28" t="s">
        <v>252</v>
      </c>
      <c r="B184" s="28">
        <v>1015473837</v>
      </c>
      <c r="C184" s="29">
        <v>1092</v>
      </c>
      <c r="D184" s="28" t="s">
        <v>34</v>
      </c>
    </row>
    <row r="185" spans="1:4" x14ac:dyDescent="0.3">
      <c r="A185" s="28" t="s">
        <v>253</v>
      </c>
      <c r="B185" s="28">
        <v>1017158554</v>
      </c>
      <c r="C185" s="29">
        <v>24060418981</v>
      </c>
      <c r="D185" s="28" t="s">
        <v>107</v>
      </c>
    </row>
    <row r="186" spans="1:4" x14ac:dyDescent="0.3">
      <c r="A186" s="28" t="s">
        <v>453</v>
      </c>
      <c r="B186" s="28">
        <v>1017175985</v>
      </c>
      <c r="C186" s="29">
        <v>569323</v>
      </c>
      <c r="D186" s="28" t="s">
        <v>107</v>
      </c>
    </row>
    <row r="187" spans="1:4" x14ac:dyDescent="0.3">
      <c r="A187" s="28" t="s">
        <v>440</v>
      </c>
      <c r="B187" s="28">
        <v>1017182984</v>
      </c>
      <c r="D187" s="28" t="s">
        <v>108</v>
      </c>
    </row>
    <row r="188" spans="1:4" x14ac:dyDescent="0.3">
      <c r="A188" s="28" t="s">
        <v>56</v>
      </c>
      <c r="B188" s="28">
        <v>1017184709</v>
      </c>
      <c r="C188" s="29">
        <v>5777516</v>
      </c>
      <c r="D188" s="28" t="s">
        <v>416</v>
      </c>
    </row>
    <row r="189" spans="1:4" x14ac:dyDescent="0.3">
      <c r="A189" s="28" t="s">
        <v>254</v>
      </c>
      <c r="B189" s="28">
        <v>1017197109</v>
      </c>
      <c r="C189" s="29">
        <v>5236518</v>
      </c>
      <c r="D189" s="28" t="s">
        <v>416</v>
      </c>
    </row>
    <row r="190" spans="1:4" x14ac:dyDescent="0.3">
      <c r="A190" s="28" t="s">
        <v>77</v>
      </c>
      <c r="B190" s="28">
        <v>1017203962</v>
      </c>
      <c r="C190" s="29">
        <v>5101522</v>
      </c>
      <c r="D190" s="28" t="s">
        <v>107</v>
      </c>
    </row>
    <row r="191" spans="1:4" x14ac:dyDescent="0.3">
      <c r="A191" s="28" t="s">
        <v>87</v>
      </c>
      <c r="B191" s="28">
        <v>1017206880</v>
      </c>
      <c r="C191" s="29">
        <v>5198721</v>
      </c>
      <c r="D191" s="28" t="s">
        <v>107</v>
      </c>
    </row>
    <row r="192" spans="1:4" x14ac:dyDescent="0.3">
      <c r="A192" s="28" t="s">
        <v>255</v>
      </c>
      <c r="B192" s="28">
        <v>1017217545</v>
      </c>
      <c r="C192" s="29" t="s">
        <v>102</v>
      </c>
      <c r="D192" s="28" t="s">
        <v>108</v>
      </c>
    </row>
    <row r="193" spans="1:4" x14ac:dyDescent="0.3">
      <c r="A193" s="28" t="s">
        <v>256</v>
      </c>
      <c r="B193" s="28">
        <v>1017219589</v>
      </c>
      <c r="C193" s="29" t="s">
        <v>102</v>
      </c>
      <c r="D193" s="28" t="s">
        <v>108</v>
      </c>
    </row>
    <row r="194" spans="1:4" x14ac:dyDescent="0.3">
      <c r="A194" s="28" t="s">
        <v>452</v>
      </c>
      <c r="B194" s="28">
        <v>1017222827</v>
      </c>
      <c r="C194" s="29">
        <v>5568523</v>
      </c>
      <c r="D194" s="28" t="s">
        <v>107</v>
      </c>
    </row>
    <row r="195" spans="1:4" x14ac:dyDescent="0.3">
      <c r="A195" s="28" t="s">
        <v>257</v>
      </c>
      <c r="B195" s="28">
        <v>1017228145</v>
      </c>
      <c r="C195" s="29">
        <v>95045</v>
      </c>
      <c r="D195" s="28" t="s">
        <v>109</v>
      </c>
    </row>
    <row r="196" spans="1:4" x14ac:dyDescent="0.3">
      <c r="A196" s="28" t="s">
        <v>83</v>
      </c>
      <c r="B196" s="28">
        <v>1017239415</v>
      </c>
      <c r="C196" s="29">
        <v>5449619</v>
      </c>
      <c r="D196" s="28" t="s">
        <v>107</v>
      </c>
    </row>
    <row r="197" spans="1:4" x14ac:dyDescent="0.3">
      <c r="A197" s="28" t="s">
        <v>70</v>
      </c>
      <c r="B197" s="28">
        <v>1017240460</v>
      </c>
      <c r="C197" s="29" t="s">
        <v>103</v>
      </c>
      <c r="D197" s="28" t="s">
        <v>29</v>
      </c>
    </row>
    <row r="198" spans="1:4" x14ac:dyDescent="0.3">
      <c r="A198" s="28" t="s">
        <v>420</v>
      </c>
      <c r="B198" s="28">
        <v>1017241739</v>
      </c>
      <c r="C198" s="29">
        <v>1017241739</v>
      </c>
      <c r="D198" s="28" t="s">
        <v>109</v>
      </c>
    </row>
    <row r="199" spans="1:4" x14ac:dyDescent="0.3">
      <c r="A199" s="28" t="s">
        <v>258</v>
      </c>
      <c r="B199" s="28">
        <v>1017242907</v>
      </c>
      <c r="C199" s="29" t="s">
        <v>102</v>
      </c>
      <c r="D199" s="28" t="s">
        <v>108</v>
      </c>
    </row>
    <row r="200" spans="1:4" x14ac:dyDescent="0.3">
      <c r="A200" s="28" t="s">
        <v>259</v>
      </c>
      <c r="B200" s="28">
        <v>1017247216</v>
      </c>
      <c r="C200" s="29">
        <v>71999</v>
      </c>
      <c r="D200" s="28" t="s">
        <v>109</v>
      </c>
    </row>
    <row r="201" spans="1:4" x14ac:dyDescent="0.3">
      <c r="A201" s="28" t="s">
        <v>36</v>
      </c>
      <c r="B201" s="28">
        <v>1017256068</v>
      </c>
      <c r="C201" s="29">
        <v>5259419</v>
      </c>
      <c r="D201" s="28" t="s">
        <v>107</v>
      </c>
    </row>
    <row r="202" spans="1:4" x14ac:dyDescent="0.3">
      <c r="A202" s="28" t="s">
        <v>72</v>
      </c>
      <c r="B202" s="28">
        <v>1017256315</v>
      </c>
      <c r="C202" s="29" t="s">
        <v>102</v>
      </c>
      <c r="D202" s="28" t="s">
        <v>108</v>
      </c>
    </row>
    <row r="203" spans="1:4" x14ac:dyDescent="0.3">
      <c r="A203" s="28" t="s">
        <v>260</v>
      </c>
      <c r="B203" s="28">
        <v>1017262529</v>
      </c>
      <c r="C203" s="29">
        <v>5164618</v>
      </c>
      <c r="D203" s="28" t="s">
        <v>107</v>
      </c>
    </row>
    <row r="204" spans="1:4" x14ac:dyDescent="0.3">
      <c r="A204" s="28" t="s">
        <v>261</v>
      </c>
      <c r="B204" s="28">
        <v>1017263270</v>
      </c>
      <c r="C204" s="29">
        <v>1017263270</v>
      </c>
      <c r="D204" s="28" t="s">
        <v>415</v>
      </c>
    </row>
    <row r="205" spans="1:4" x14ac:dyDescent="0.3">
      <c r="A205" s="28" t="s">
        <v>65</v>
      </c>
      <c r="B205" s="28">
        <v>1017273119</v>
      </c>
      <c r="C205" s="29">
        <v>5652818</v>
      </c>
      <c r="D205" s="28" t="s">
        <v>107</v>
      </c>
    </row>
    <row r="206" spans="1:4" x14ac:dyDescent="0.3">
      <c r="A206" s="28" t="s">
        <v>262</v>
      </c>
      <c r="B206" s="28">
        <v>1017275193</v>
      </c>
      <c r="C206" s="29" t="s">
        <v>102</v>
      </c>
      <c r="D206" s="28" t="s">
        <v>108</v>
      </c>
    </row>
    <row r="207" spans="1:4" x14ac:dyDescent="0.3">
      <c r="A207" s="28" t="s">
        <v>263</v>
      </c>
      <c r="B207" s="28">
        <v>1017276021</v>
      </c>
      <c r="C207" s="29">
        <v>5332023</v>
      </c>
      <c r="D207" s="28" t="s">
        <v>107</v>
      </c>
    </row>
    <row r="208" spans="1:4" x14ac:dyDescent="0.3">
      <c r="A208" s="28" t="s">
        <v>264</v>
      </c>
      <c r="B208" s="28">
        <v>1017923438</v>
      </c>
      <c r="C208" s="29">
        <v>60167792</v>
      </c>
      <c r="D208" s="28" t="s">
        <v>34</v>
      </c>
    </row>
    <row r="209" spans="1:4" x14ac:dyDescent="0.3">
      <c r="A209" s="28" t="s">
        <v>265</v>
      </c>
      <c r="B209" s="28">
        <v>1017925524</v>
      </c>
      <c r="C209" s="29">
        <v>24060249847</v>
      </c>
      <c r="D209" s="28" t="s">
        <v>107</v>
      </c>
    </row>
    <row r="210" spans="1:4" x14ac:dyDescent="0.3">
      <c r="A210" s="28" t="s">
        <v>266</v>
      </c>
      <c r="B210" s="28">
        <v>1018223553</v>
      </c>
      <c r="C210" s="29" t="s">
        <v>102</v>
      </c>
      <c r="D210" s="28" t="s">
        <v>108</v>
      </c>
    </row>
    <row r="211" spans="1:4" x14ac:dyDescent="0.3">
      <c r="A211" s="28" t="s">
        <v>50</v>
      </c>
      <c r="B211" s="28">
        <v>1018225042</v>
      </c>
      <c r="C211" s="29" t="s">
        <v>102</v>
      </c>
      <c r="D211" s="28" t="s">
        <v>108</v>
      </c>
    </row>
    <row r="212" spans="1:4" x14ac:dyDescent="0.3">
      <c r="A212" s="28" t="s">
        <v>267</v>
      </c>
      <c r="B212" s="28">
        <v>1018232525</v>
      </c>
      <c r="C212" s="29">
        <v>25060181730</v>
      </c>
      <c r="D212" s="28" t="s">
        <v>34</v>
      </c>
    </row>
    <row r="213" spans="1:4" x14ac:dyDescent="0.3">
      <c r="A213" s="28" t="s">
        <v>268</v>
      </c>
      <c r="B213" s="28">
        <v>1018232559</v>
      </c>
      <c r="C213" s="29" t="s">
        <v>102</v>
      </c>
      <c r="D213" s="28" t="s">
        <v>108</v>
      </c>
    </row>
    <row r="214" spans="1:4" x14ac:dyDescent="0.3">
      <c r="A214" s="28" t="s">
        <v>82</v>
      </c>
      <c r="B214" s="28">
        <v>1018245174</v>
      </c>
      <c r="C214" s="29" t="s">
        <v>102</v>
      </c>
      <c r="D214" s="28" t="s">
        <v>108</v>
      </c>
    </row>
    <row r="215" spans="1:4" x14ac:dyDescent="0.3">
      <c r="A215" s="28" t="s">
        <v>269</v>
      </c>
      <c r="B215" s="28">
        <v>1020103790</v>
      </c>
      <c r="C215" s="29" t="s">
        <v>102</v>
      </c>
      <c r="D215" s="28" t="s">
        <v>108</v>
      </c>
    </row>
    <row r="216" spans="1:4" x14ac:dyDescent="0.3">
      <c r="A216" s="28" t="s">
        <v>270</v>
      </c>
      <c r="B216" s="28">
        <v>1020108701</v>
      </c>
      <c r="C216" s="29" t="s">
        <v>102</v>
      </c>
      <c r="D216" s="28" t="s">
        <v>108</v>
      </c>
    </row>
    <row r="217" spans="1:4" x14ac:dyDescent="0.3">
      <c r="A217" s="28" t="s">
        <v>271</v>
      </c>
      <c r="B217" s="28">
        <v>1020311451</v>
      </c>
      <c r="C217" s="29" t="s">
        <v>102</v>
      </c>
      <c r="D217" s="28" t="s">
        <v>108</v>
      </c>
    </row>
    <row r="218" spans="1:4" x14ac:dyDescent="0.3">
      <c r="A218" s="28" t="s">
        <v>272</v>
      </c>
      <c r="B218" s="28">
        <v>1020399600</v>
      </c>
      <c r="C218" s="29">
        <v>5675622</v>
      </c>
      <c r="D218" s="28" t="s">
        <v>34</v>
      </c>
    </row>
    <row r="219" spans="1:4" x14ac:dyDescent="0.3">
      <c r="A219" s="28" t="s">
        <v>273</v>
      </c>
      <c r="B219" s="28">
        <v>1020400543</v>
      </c>
      <c r="C219" s="29">
        <v>5353921</v>
      </c>
      <c r="D219" s="28" t="s">
        <v>107</v>
      </c>
    </row>
    <row r="220" spans="1:4" x14ac:dyDescent="0.3">
      <c r="A220" s="28" t="s">
        <v>457</v>
      </c>
      <c r="B220" s="28">
        <v>1020417910</v>
      </c>
      <c r="C220" s="29" t="s">
        <v>103</v>
      </c>
      <c r="D220" s="28" t="s">
        <v>29</v>
      </c>
    </row>
    <row r="221" spans="1:4" x14ac:dyDescent="0.3">
      <c r="A221" s="28" t="s">
        <v>274</v>
      </c>
      <c r="B221" s="28">
        <v>1020469042</v>
      </c>
      <c r="C221" s="29">
        <v>5614013</v>
      </c>
      <c r="D221" s="28" t="s">
        <v>414</v>
      </c>
    </row>
    <row r="222" spans="1:4" x14ac:dyDescent="0.3">
      <c r="A222" s="28" t="s">
        <v>275</v>
      </c>
      <c r="B222" s="28">
        <v>1020472390</v>
      </c>
      <c r="C222" s="29">
        <v>25061007352</v>
      </c>
      <c r="D222" s="28" t="s">
        <v>107</v>
      </c>
    </row>
    <row r="223" spans="1:4" x14ac:dyDescent="0.3">
      <c r="A223" s="28" t="s">
        <v>46</v>
      </c>
      <c r="B223" s="28">
        <v>1020477069</v>
      </c>
      <c r="C223" s="29" t="s">
        <v>102</v>
      </c>
      <c r="D223" s="28" t="s">
        <v>108</v>
      </c>
    </row>
    <row r="224" spans="1:4" x14ac:dyDescent="0.3">
      <c r="A224" s="28" t="s">
        <v>67</v>
      </c>
      <c r="B224" s="28">
        <v>1020477470</v>
      </c>
      <c r="C224" s="29" t="s">
        <v>103</v>
      </c>
      <c r="D224" s="28" t="s">
        <v>29</v>
      </c>
    </row>
    <row r="225" spans="1:4" x14ac:dyDescent="0.3">
      <c r="A225" s="28" t="s">
        <v>276</v>
      </c>
      <c r="B225" s="28">
        <v>1020485194</v>
      </c>
      <c r="C225" s="29">
        <v>5526423</v>
      </c>
      <c r="D225" s="28" t="s">
        <v>107</v>
      </c>
    </row>
    <row r="226" spans="1:4" x14ac:dyDescent="0.3">
      <c r="A226" s="28" t="s">
        <v>53</v>
      </c>
      <c r="B226" s="28">
        <v>1020494236</v>
      </c>
      <c r="C226" s="29" t="s">
        <v>102</v>
      </c>
      <c r="D226" s="28" t="s">
        <v>108</v>
      </c>
    </row>
    <row r="227" spans="1:4" x14ac:dyDescent="0.3">
      <c r="A227" s="28" t="s">
        <v>277</v>
      </c>
      <c r="B227" s="28">
        <v>1020495465</v>
      </c>
      <c r="C227" s="29" t="s">
        <v>102</v>
      </c>
      <c r="D227" s="28" t="s">
        <v>108</v>
      </c>
    </row>
    <row r="228" spans="1:4" x14ac:dyDescent="0.3">
      <c r="A228" s="28" t="s">
        <v>278</v>
      </c>
      <c r="B228" s="28">
        <v>1021512838</v>
      </c>
      <c r="C228" s="29" t="s">
        <v>102</v>
      </c>
      <c r="D228" s="28" t="s">
        <v>108</v>
      </c>
    </row>
    <row r="229" spans="1:4" x14ac:dyDescent="0.3">
      <c r="A229" s="28" t="s">
        <v>279</v>
      </c>
      <c r="B229" s="28">
        <v>1021922085</v>
      </c>
      <c r="C229" s="29">
        <v>5632822</v>
      </c>
      <c r="D229" s="28" t="s">
        <v>107</v>
      </c>
    </row>
    <row r="230" spans="1:4" x14ac:dyDescent="0.3">
      <c r="A230" s="28" t="s">
        <v>280</v>
      </c>
      <c r="B230" s="28">
        <v>1022097476</v>
      </c>
      <c r="C230" s="29" t="s">
        <v>102</v>
      </c>
      <c r="D230" s="28" t="s">
        <v>108</v>
      </c>
    </row>
    <row r="231" spans="1:4" x14ac:dyDescent="0.3">
      <c r="A231" s="28" t="s">
        <v>432</v>
      </c>
      <c r="B231" s="28">
        <v>1023525728</v>
      </c>
    </row>
    <row r="232" spans="1:4" x14ac:dyDescent="0.3">
      <c r="A232" s="28" t="s">
        <v>86</v>
      </c>
      <c r="B232" s="28">
        <v>1023592082</v>
      </c>
      <c r="C232" s="29" t="s">
        <v>102</v>
      </c>
      <c r="D232" s="28" t="s">
        <v>108</v>
      </c>
    </row>
    <row r="233" spans="1:4" x14ac:dyDescent="0.3">
      <c r="A233" s="28" t="s">
        <v>281</v>
      </c>
      <c r="B233" s="28">
        <v>1023623791</v>
      </c>
      <c r="C233" s="29">
        <v>5787422</v>
      </c>
      <c r="D233" s="28" t="s">
        <v>107</v>
      </c>
    </row>
    <row r="234" spans="1:4" x14ac:dyDescent="0.3">
      <c r="A234" s="28" t="s">
        <v>282</v>
      </c>
      <c r="B234" s="28">
        <v>1023624442</v>
      </c>
      <c r="C234" s="29" t="s">
        <v>102</v>
      </c>
      <c r="D234" s="28" t="s">
        <v>108</v>
      </c>
    </row>
    <row r="235" spans="1:4" x14ac:dyDescent="0.3">
      <c r="A235" s="28" t="s">
        <v>283</v>
      </c>
      <c r="B235" s="28">
        <v>1025640578</v>
      </c>
      <c r="C235" s="29">
        <v>25060174416</v>
      </c>
      <c r="D235" s="28" t="s">
        <v>34</v>
      </c>
    </row>
    <row r="236" spans="1:4" x14ac:dyDescent="0.3">
      <c r="A236" s="28" t="s">
        <v>284</v>
      </c>
      <c r="B236" s="28">
        <v>1025641366</v>
      </c>
      <c r="C236" s="29" t="s">
        <v>102</v>
      </c>
      <c r="D236" s="28" t="s">
        <v>108</v>
      </c>
    </row>
    <row r="237" spans="1:4" x14ac:dyDescent="0.3">
      <c r="A237" s="28" t="s">
        <v>285</v>
      </c>
      <c r="B237" s="28">
        <v>1025644303</v>
      </c>
      <c r="C237" s="29" t="s">
        <v>102</v>
      </c>
      <c r="D237" s="28" t="s">
        <v>108</v>
      </c>
    </row>
    <row r="238" spans="1:4" x14ac:dyDescent="0.3">
      <c r="A238" s="28" t="s">
        <v>286</v>
      </c>
      <c r="B238" s="28">
        <v>1025645156</v>
      </c>
      <c r="C238" s="29" t="s">
        <v>102</v>
      </c>
      <c r="D238" s="28" t="s">
        <v>108</v>
      </c>
    </row>
    <row r="239" spans="1:4" x14ac:dyDescent="0.3">
      <c r="A239" s="28" t="s">
        <v>92</v>
      </c>
      <c r="B239" s="28">
        <v>1025651051</v>
      </c>
      <c r="C239" s="29" t="s">
        <v>102</v>
      </c>
      <c r="D239" s="28" t="s">
        <v>108</v>
      </c>
    </row>
    <row r="240" spans="1:4" x14ac:dyDescent="0.3">
      <c r="A240" s="28" t="s">
        <v>287</v>
      </c>
      <c r="B240" s="28">
        <v>1025881280</v>
      </c>
      <c r="C240" s="29" t="s">
        <v>102</v>
      </c>
      <c r="D240" s="28" t="s">
        <v>108</v>
      </c>
    </row>
    <row r="241" spans="1:4" x14ac:dyDescent="0.3">
      <c r="A241" s="28" t="s">
        <v>288</v>
      </c>
      <c r="B241" s="28">
        <v>1025885312</v>
      </c>
      <c r="C241" s="29">
        <v>24060078628</v>
      </c>
      <c r="D241" s="28" t="s">
        <v>107</v>
      </c>
    </row>
    <row r="242" spans="1:4" x14ac:dyDescent="0.3">
      <c r="A242" s="28" t="s">
        <v>289</v>
      </c>
      <c r="B242" s="28">
        <v>1025885614</v>
      </c>
      <c r="C242" s="29" t="s">
        <v>102</v>
      </c>
      <c r="D242" s="28" t="s">
        <v>108</v>
      </c>
    </row>
    <row r="243" spans="1:4" x14ac:dyDescent="0.3">
      <c r="A243" s="28" t="s">
        <v>290</v>
      </c>
      <c r="B243" s="28">
        <v>1025887107</v>
      </c>
      <c r="C243" s="29" t="s">
        <v>102</v>
      </c>
      <c r="D243" s="28" t="s">
        <v>108</v>
      </c>
    </row>
    <row r="244" spans="1:4" x14ac:dyDescent="0.3">
      <c r="A244" s="28" t="s">
        <v>291</v>
      </c>
      <c r="B244" s="28">
        <v>1025888183</v>
      </c>
      <c r="C244" s="29">
        <v>25060174670</v>
      </c>
      <c r="D244" s="28" t="s">
        <v>107</v>
      </c>
    </row>
    <row r="245" spans="1:4" x14ac:dyDescent="0.3">
      <c r="A245" s="28" t="s">
        <v>292</v>
      </c>
      <c r="B245" s="28">
        <v>1025890453</v>
      </c>
      <c r="C245" s="29" t="s">
        <v>102</v>
      </c>
      <c r="D245" s="28" t="s">
        <v>108</v>
      </c>
    </row>
    <row r="246" spans="1:4" x14ac:dyDescent="0.3">
      <c r="A246" s="28" t="s">
        <v>293</v>
      </c>
      <c r="B246" s="28">
        <v>1025890942</v>
      </c>
      <c r="C246" s="29" t="s">
        <v>102</v>
      </c>
      <c r="D246" s="28" t="s">
        <v>108</v>
      </c>
    </row>
    <row r="247" spans="1:4" x14ac:dyDescent="0.3">
      <c r="A247" s="28" t="s">
        <v>294</v>
      </c>
      <c r="B247" s="28">
        <v>1026153901</v>
      </c>
      <c r="C247" s="29" t="s">
        <v>103</v>
      </c>
      <c r="D247" s="28" t="s">
        <v>108</v>
      </c>
    </row>
    <row r="248" spans="1:4" x14ac:dyDescent="0.3">
      <c r="A248" s="28" t="s">
        <v>295</v>
      </c>
      <c r="B248" s="28">
        <v>1028027177</v>
      </c>
      <c r="C248" s="29" t="s">
        <v>102</v>
      </c>
      <c r="D248" s="28" t="s">
        <v>108</v>
      </c>
    </row>
    <row r="249" spans="1:4" x14ac:dyDescent="0.3">
      <c r="A249" s="28" t="s">
        <v>431</v>
      </c>
      <c r="B249" s="28">
        <v>1029580106</v>
      </c>
      <c r="C249" s="29">
        <v>25060182393</v>
      </c>
      <c r="D249" s="28" t="s">
        <v>34</v>
      </c>
    </row>
    <row r="250" spans="1:4" x14ac:dyDescent="0.3">
      <c r="A250" s="28" t="s">
        <v>449</v>
      </c>
      <c r="B250" s="28">
        <v>1029646734</v>
      </c>
      <c r="D250" s="28" t="s">
        <v>108</v>
      </c>
    </row>
    <row r="251" spans="1:4" x14ac:dyDescent="0.3">
      <c r="A251" s="28" t="s">
        <v>296</v>
      </c>
      <c r="B251" s="28">
        <v>1032010053</v>
      </c>
      <c r="C251" s="29" t="s">
        <v>102</v>
      </c>
      <c r="D251" s="28" t="s">
        <v>108</v>
      </c>
    </row>
    <row r="252" spans="1:4" x14ac:dyDescent="0.3">
      <c r="A252" s="28" t="s">
        <v>94</v>
      </c>
      <c r="B252" s="28">
        <v>1032261143</v>
      </c>
      <c r="C252" s="29" t="s">
        <v>102</v>
      </c>
      <c r="D252" s="28" t="s">
        <v>108</v>
      </c>
    </row>
    <row r="253" spans="1:4" x14ac:dyDescent="0.3">
      <c r="A253" s="28" t="s">
        <v>297</v>
      </c>
      <c r="B253" s="28">
        <v>1032476055</v>
      </c>
      <c r="C253" s="29" t="s">
        <v>102</v>
      </c>
      <c r="D253" s="28" t="s">
        <v>108</v>
      </c>
    </row>
    <row r="254" spans="1:4" x14ac:dyDescent="0.3">
      <c r="A254" s="28" t="s">
        <v>421</v>
      </c>
      <c r="B254" s="28">
        <v>1032489716</v>
      </c>
      <c r="C254" s="29">
        <v>1032489716</v>
      </c>
      <c r="D254" s="28" t="s">
        <v>109</v>
      </c>
    </row>
    <row r="255" spans="1:4" x14ac:dyDescent="0.3">
      <c r="A255" s="28" t="s">
        <v>298</v>
      </c>
      <c r="B255" s="28">
        <v>1033177575</v>
      </c>
      <c r="C255" s="29" t="s">
        <v>102</v>
      </c>
      <c r="D255" s="28" t="s">
        <v>108</v>
      </c>
    </row>
    <row r="256" spans="1:4" x14ac:dyDescent="0.3">
      <c r="A256" s="28" t="s">
        <v>299</v>
      </c>
      <c r="B256" s="28">
        <v>1033257169</v>
      </c>
      <c r="C256" s="29" t="s">
        <v>102</v>
      </c>
      <c r="D256" s="28" t="s">
        <v>108</v>
      </c>
    </row>
    <row r="257" spans="1:4" x14ac:dyDescent="0.3">
      <c r="A257" s="28" t="s">
        <v>300</v>
      </c>
      <c r="B257" s="28">
        <v>1033487273</v>
      </c>
      <c r="C257" s="29" t="s">
        <v>102</v>
      </c>
      <c r="D257" s="28" t="s">
        <v>108</v>
      </c>
    </row>
    <row r="258" spans="1:4" x14ac:dyDescent="0.3">
      <c r="A258" s="28" t="s">
        <v>301</v>
      </c>
      <c r="B258" s="28">
        <v>1033647890</v>
      </c>
      <c r="C258" s="29">
        <v>5534123</v>
      </c>
      <c r="D258" s="28" t="s">
        <v>107</v>
      </c>
    </row>
    <row r="259" spans="1:4" x14ac:dyDescent="0.3">
      <c r="A259" s="28" t="s">
        <v>302</v>
      </c>
      <c r="B259" s="28">
        <v>1034918503</v>
      </c>
      <c r="C259" s="29" t="s">
        <v>102</v>
      </c>
      <c r="D259" s="28" t="s">
        <v>108</v>
      </c>
    </row>
    <row r="260" spans="1:4" x14ac:dyDescent="0.3">
      <c r="A260" s="28" t="s">
        <v>303</v>
      </c>
      <c r="B260" s="28">
        <v>1034986316</v>
      </c>
      <c r="C260" s="29" t="s">
        <v>102</v>
      </c>
      <c r="D260" s="28" t="s">
        <v>108</v>
      </c>
    </row>
    <row r="261" spans="1:4" x14ac:dyDescent="0.3">
      <c r="A261" s="28" t="s">
        <v>304</v>
      </c>
      <c r="B261" s="28">
        <v>1034987368</v>
      </c>
      <c r="C261" s="29" t="s">
        <v>102</v>
      </c>
      <c r="D261" s="28" t="s">
        <v>108</v>
      </c>
    </row>
    <row r="262" spans="1:4" x14ac:dyDescent="0.3">
      <c r="A262" s="28" t="s">
        <v>305</v>
      </c>
      <c r="B262" s="28">
        <v>1035232799</v>
      </c>
      <c r="C262" s="29">
        <v>5713423</v>
      </c>
      <c r="D262" s="28" t="s">
        <v>34</v>
      </c>
    </row>
    <row r="263" spans="1:4" x14ac:dyDescent="0.3">
      <c r="A263" s="28" t="s">
        <v>74</v>
      </c>
      <c r="B263" s="28">
        <v>1035421934</v>
      </c>
      <c r="C263" s="29">
        <v>24060093675</v>
      </c>
      <c r="D263" s="28" t="s">
        <v>107</v>
      </c>
    </row>
    <row r="264" spans="1:4" x14ac:dyDescent="0.3">
      <c r="A264" s="28" t="s">
        <v>306</v>
      </c>
      <c r="B264" s="28">
        <v>1035852748</v>
      </c>
      <c r="C264" s="29">
        <v>25060174646</v>
      </c>
      <c r="D264" s="28" t="s">
        <v>107</v>
      </c>
    </row>
    <row r="265" spans="1:4" x14ac:dyDescent="0.3">
      <c r="A265" s="28" t="s">
        <v>85</v>
      </c>
      <c r="B265" s="28">
        <v>1035856209</v>
      </c>
      <c r="C265" s="29" t="s">
        <v>102</v>
      </c>
      <c r="D265" s="28" t="s">
        <v>108</v>
      </c>
    </row>
    <row r="266" spans="1:4" x14ac:dyDescent="0.3">
      <c r="A266" s="28" t="s">
        <v>418</v>
      </c>
      <c r="B266" s="28">
        <v>1035861721</v>
      </c>
      <c r="C266" s="29">
        <v>5657222</v>
      </c>
      <c r="D266" s="28" t="s">
        <v>107</v>
      </c>
    </row>
    <row r="267" spans="1:4" x14ac:dyDescent="0.3">
      <c r="A267" s="28" t="s">
        <v>307</v>
      </c>
      <c r="B267" s="28">
        <v>1035877000</v>
      </c>
      <c r="C267" s="29">
        <v>5492616</v>
      </c>
      <c r="D267" s="28" t="s">
        <v>414</v>
      </c>
    </row>
    <row r="268" spans="1:4" x14ac:dyDescent="0.3">
      <c r="A268" s="28" t="s">
        <v>308</v>
      </c>
      <c r="B268" s="28">
        <v>1035877140</v>
      </c>
      <c r="C268" s="29">
        <v>5578923</v>
      </c>
      <c r="D268" s="28" t="s">
        <v>107</v>
      </c>
    </row>
    <row r="269" spans="1:4" x14ac:dyDescent="0.3">
      <c r="A269" s="28" t="s">
        <v>309</v>
      </c>
      <c r="B269" s="28">
        <v>1035918764</v>
      </c>
      <c r="C269" s="29">
        <v>5870423</v>
      </c>
      <c r="D269" s="28" t="s">
        <v>107</v>
      </c>
    </row>
    <row r="270" spans="1:4" x14ac:dyDescent="0.3">
      <c r="A270" s="28" t="s">
        <v>427</v>
      </c>
      <c r="B270" s="28">
        <v>1035970855</v>
      </c>
      <c r="C270" s="29">
        <v>25060163427</v>
      </c>
      <c r="D270" s="28" t="s">
        <v>107</v>
      </c>
    </row>
    <row r="271" spans="1:4" x14ac:dyDescent="0.3">
      <c r="A271" s="28" t="s">
        <v>310</v>
      </c>
      <c r="B271" s="28">
        <v>1036448591</v>
      </c>
      <c r="C271" s="29" t="s">
        <v>102</v>
      </c>
      <c r="D271" s="28" t="s">
        <v>108</v>
      </c>
    </row>
    <row r="272" spans="1:4" x14ac:dyDescent="0.3">
      <c r="A272" s="28" t="s">
        <v>311</v>
      </c>
      <c r="B272" s="28">
        <v>1036598655</v>
      </c>
      <c r="C272" s="29">
        <v>5294812</v>
      </c>
      <c r="D272" s="28" t="s">
        <v>34</v>
      </c>
    </row>
    <row r="273" spans="1:4" x14ac:dyDescent="0.3">
      <c r="A273" s="28" t="s">
        <v>312</v>
      </c>
      <c r="B273" s="28">
        <v>1036601299</v>
      </c>
      <c r="C273" s="29">
        <v>12730</v>
      </c>
      <c r="D273" s="28" t="s">
        <v>109</v>
      </c>
    </row>
    <row r="274" spans="1:4" x14ac:dyDescent="0.3">
      <c r="A274" s="28" t="s">
        <v>313</v>
      </c>
      <c r="B274" s="28">
        <v>1036614144</v>
      </c>
      <c r="C274" s="29">
        <v>24060429475</v>
      </c>
      <c r="D274" s="28" t="s">
        <v>107</v>
      </c>
    </row>
    <row r="275" spans="1:4" x14ac:dyDescent="0.3">
      <c r="A275" s="28" t="s">
        <v>314</v>
      </c>
      <c r="B275" s="28">
        <v>1036640370</v>
      </c>
      <c r="C275" s="29" t="s">
        <v>102</v>
      </c>
      <c r="D275" s="28" t="s">
        <v>108</v>
      </c>
    </row>
    <row r="276" spans="1:4" x14ac:dyDescent="0.3">
      <c r="A276" s="28" t="s">
        <v>315</v>
      </c>
      <c r="B276" s="28">
        <v>1036643595</v>
      </c>
      <c r="C276" s="29" t="s">
        <v>102</v>
      </c>
      <c r="D276" s="28" t="s">
        <v>108</v>
      </c>
    </row>
    <row r="277" spans="1:4" x14ac:dyDescent="0.3">
      <c r="A277" s="28" t="s">
        <v>316</v>
      </c>
      <c r="B277" s="28">
        <v>1036654729</v>
      </c>
      <c r="C277" s="29" t="s">
        <v>102</v>
      </c>
      <c r="D277" s="28" t="s">
        <v>108</v>
      </c>
    </row>
    <row r="278" spans="1:4" x14ac:dyDescent="0.3">
      <c r="A278" s="28" t="s">
        <v>317</v>
      </c>
      <c r="B278" s="28">
        <v>1036658859</v>
      </c>
      <c r="C278" s="29" t="s">
        <v>102</v>
      </c>
      <c r="D278" s="28" t="s">
        <v>108</v>
      </c>
    </row>
    <row r="279" spans="1:4" x14ac:dyDescent="0.3">
      <c r="A279" s="28" t="s">
        <v>318</v>
      </c>
      <c r="B279" s="28">
        <v>1036660014</v>
      </c>
      <c r="C279" s="29">
        <v>1036660014</v>
      </c>
      <c r="D279" s="28" t="s">
        <v>415</v>
      </c>
    </row>
    <row r="280" spans="1:4" x14ac:dyDescent="0.3">
      <c r="A280" s="28" t="s">
        <v>42</v>
      </c>
      <c r="B280" s="28">
        <v>1036674174</v>
      </c>
      <c r="C280" s="29">
        <v>5447719</v>
      </c>
      <c r="D280" s="28" t="s">
        <v>107</v>
      </c>
    </row>
    <row r="281" spans="1:4" x14ac:dyDescent="0.3">
      <c r="A281" s="28" t="s">
        <v>319</v>
      </c>
      <c r="B281" s="28">
        <v>1036682054</v>
      </c>
      <c r="C281" s="29">
        <v>5350923</v>
      </c>
      <c r="D281" s="28" t="s">
        <v>34</v>
      </c>
    </row>
    <row r="282" spans="1:4" x14ac:dyDescent="0.3">
      <c r="A282" s="28" t="s">
        <v>425</v>
      </c>
      <c r="B282" s="28">
        <v>1036686568</v>
      </c>
      <c r="C282" s="29">
        <v>5696121</v>
      </c>
      <c r="D282" s="28" t="s">
        <v>34</v>
      </c>
    </row>
    <row r="283" spans="1:4" x14ac:dyDescent="0.3">
      <c r="A283" s="28" t="s">
        <v>320</v>
      </c>
      <c r="B283" s="28">
        <v>1036785215</v>
      </c>
      <c r="C283" s="29" t="s">
        <v>102</v>
      </c>
      <c r="D283" s="28" t="s">
        <v>108</v>
      </c>
    </row>
    <row r="284" spans="1:4" x14ac:dyDescent="0.3">
      <c r="A284" s="28" t="s">
        <v>321</v>
      </c>
      <c r="B284" s="28">
        <v>1036864630</v>
      </c>
      <c r="C284" s="29">
        <v>24060431592</v>
      </c>
      <c r="D284" s="28" t="s">
        <v>107</v>
      </c>
    </row>
    <row r="285" spans="1:4" x14ac:dyDescent="0.3">
      <c r="A285" s="28" t="s">
        <v>322</v>
      </c>
      <c r="B285" s="28">
        <v>1037268549</v>
      </c>
      <c r="C285" s="29">
        <v>24060244639</v>
      </c>
      <c r="D285" s="28" t="s">
        <v>34</v>
      </c>
    </row>
    <row r="286" spans="1:4" x14ac:dyDescent="0.3">
      <c r="A286" s="28" t="s">
        <v>323</v>
      </c>
      <c r="B286" s="28">
        <v>1037584551</v>
      </c>
      <c r="C286" s="29">
        <v>5423916</v>
      </c>
      <c r="D286" s="28" t="s">
        <v>107</v>
      </c>
    </row>
    <row r="287" spans="1:4" x14ac:dyDescent="0.3">
      <c r="A287" s="28" t="s">
        <v>324</v>
      </c>
      <c r="B287" s="28">
        <v>1037622755</v>
      </c>
      <c r="C287" s="29">
        <v>5343014</v>
      </c>
      <c r="D287" s="28" t="s">
        <v>107</v>
      </c>
    </row>
    <row r="288" spans="1:4" x14ac:dyDescent="0.3">
      <c r="A288" s="28" t="s">
        <v>325</v>
      </c>
      <c r="B288" s="28">
        <v>1037631907</v>
      </c>
      <c r="C288" s="29" t="s">
        <v>102</v>
      </c>
      <c r="D288" s="28" t="s">
        <v>108</v>
      </c>
    </row>
    <row r="289" spans="1:4" x14ac:dyDescent="0.3">
      <c r="A289" s="28" t="s">
        <v>326</v>
      </c>
      <c r="B289" s="28">
        <v>1037633650</v>
      </c>
      <c r="C289" s="29" t="s">
        <v>102</v>
      </c>
      <c r="D289" s="28" t="s">
        <v>108</v>
      </c>
    </row>
    <row r="290" spans="1:4" x14ac:dyDescent="0.3">
      <c r="A290" s="28" t="s">
        <v>447</v>
      </c>
      <c r="B290" s="28">
        <v>1037636088</v>
      </c>
      <c r="D290" s="28" t="s">
        <v>108</v>
      </c>
    </row>
    <row r="291" spans="1:4" x14ac:dyDescent="0.3">
      <c r="A291" s="28" t="s">
        <v>327</v>
      </c>
      <c r="B291" s="28">
        <v>1037641294</v>
      </c>
      <c r="C291" s="29">
        <v>5547417</v>
      </c>
      <c r="D291" s="28" t="s">
        <v>416</v>
      </c>
    </row>
    <row r="292" spans="1:4" x14ac:dyDescent="0.3">
      <c r="A292" s="28" t="s">
        <v>328</v>
      </c>
      <c r="B292" s="28">
        <v>1037645885</v>
      </c>
      <c r="C292" s="29">
        <v>5024520</v>
      </c>
      <c r="D292" s="28" t="s">
        <v>107</v>
      </c>
    </row>
    <row r="293" spans="1:4" x14ac:dyDescent="0.3">
      <c r="A293" s="28" t="s">
        <v>329</v>
      </c>
      <c r="B293" s="28">
        <v>1037651776</v>
      </c>
      <c r="C293" s="29">
        <v>5229823</v>
      </c>
      <c r="D293" s="28" t="s">
        <v>107</v>
      </c>
    </row>
    <row r="294" spans="1:4" x14ac:dyDescent="0.3">
      <c r="A294" s="28" t="s">
        <v>330</v>
      </c>
      <c r="B294" s="28">
        <v>1037655861</v>
      </c>
      <c r="C294" s="29">
        <v>5466715</v>
      </c>
      <c r="D294" s="28" t="s">
        <v>107</v>
      </c>
    </row>
    <row r="295" spans="1:4" x14ac:dyDescent="0.3">
      <c r="A295" s="28" t="s">
        <v>439</v>
      </c>
      <c r="B295" s="28">
        <v>1037662578</v>
      </c>
      <c r="C295" s="29">
        <v>5422227</v>
      </c>
      <c r="D295" s="28" t="s">
        <v>107</v>
      </c>
    </row>
    <row r="296" spans="1:4" x14ac:dyDescent="0.3">
      <c r="A296" s="28" t="s">
        <v>331</v>
      </c>
      <c r="B296" s="28">
        <v>1037665360</v>
      </c>
      <c r="C296" s="29" t="s">
        <v>102</v>
      </c>
      <c r="D296" s="28" t="s">
        <v>108</v>
      </c>
    </row>
    <row r="297" spans="1:4" x14ac:dyDescent="0.3">
      <c r="A297" s="28" t="s">
        <v>332</v>
      </c>
      <c r="B297" s="28">
        <v>1037666129</v>
      </c>
      <c r="C297" s="29">
        <v>5051422</v>
      </c>
      <c r="D297" s="28" t="s">
        <v>34</v>
      </c>
    </row>
    <row r="298" spans="1:4" x14ac:dyDescent="0.3">
      <c r="A298" s="28" t="s">
        <v>57</v>
      </c>
      <c r="B298" s="28">
        <v>1038094591</v>
      </c>
      <c r="C298" s="29" t="s">
        <v>102</v>
      </c>
      <c r="D298" s="28" t="s">
        <v>108</v>
      </c>
    </row>
    <row r="299" spans="1:4" x14ac:dyDescent="0.3">
      <c r="A299" s="28" t="s">
        <v>333</v>
      </c>
      <c r="B299" s="28">
        <v>1038334858</v>
      </c>
      <c r="C299" s="29">
        <v>5797015</v>
      </c>
      <c r="D299" s="28" t="s">
        <v>107</v>
      </c>
    </row>
    <row r="300" spans="1:4" x14ac:dyDescent="0.3">
      <c r="A300" s="28" t="s">
        <v>451</v>
      </c>
      <c r="B300" s="28">
        <v>1038646042</v>
      </c>
      <c r="D300" s="28" t="s">
        <v>108</v>
      </c>
    </row>
    <row r="301" spans="1:4" x14ac:dyDescent="0.3">
      <c r="A301" s="28" t="s">
        <v>436</v>
      </c>
      <c r="B301" s="28">
        <v>1038803821</v>
      </c>
      <c r="C301" s="29">
        <v>8058</v>
      </c>
      <c r="D301" s="28" t="s">
        <v>107</v>
      </c>
    </row>
    <row r="302" spans="1:4" x14ac:dyDescent="0.3">
      <c r="A302" s="28" t="s">
        <v>334</v>
      </c>
      <c r="B302" s="28">
        <v>1039288693</v>
      </c>
      <c r="C302" s="29" t="s">
        <v>102</v>
      </c>
      <c r="D302" s="28" t="s">
        <v>108</v>
      </c>
    </row>
    <row r="303" spans="1:4" x14ac:dyDescent="0.3">
      <c r="A303" s="28" t="s">
        <v>335</v>
      </c>
      <c r="B303" s="28">
        <v>1039459208</v>
      </c>
      <c r="C303" s="29" t="s">
        <v>102</v>
      </c>
      <c r="D303" s="28" t="s">
        <v>108</v>
      </c>
    </row>
    <row r="304" spans="1:4" x14ac:dyDescent="0.3">
      <c r="A304" s="28" t="s">
        <v>66</v>
      </c>
      <c r="B304" s="28">
        <v>1039468823</v>
      </c>
      <c r="C304" s="29">
        <v>24060093163</v>
      </c>
      <c r="D304" s="28" t="s">
        <v>107</v>
      </c>
    </row>
    <row r="305" spans="1:4" x14ac:dyDescent="0.3">
      <c r="A305" s="28" t="s">
        <v>336</v>
      </c>
      <c r="B305" s="28">
        <v>1039469664</v>
      </c>
      <c r="C305" s="29">
        <v>5715622</v>
      </c>
      <c r="D305" s="28" t="s">
        <v>107</v>
      </c>
    </row>
    <row r="306" spans="1:4" x14ac:dyDescent="0.3">
      <c r="A306" s="28" t="s">
        <v>337</v>
      </c>
      <c r="B306" s="28">
        <v>1040051236</v>
      </c>
      <c r="C306" s="29" t="s">
        <v>102</v>
      </c>
      <c r="D306" s="28" t="s">
        <v>108</v>
      </c>
    </row>
    <row r="307" spans="1:4" x14ac:dyDescent="0.3">
      <c r="A307" s="28" t="s">
        <v>338</v>
      </c>
      <c r="B307" s="28">
        <v>1040327404</v>
      </c>
      <c r="C307" s="29">
        <v>5128521</v>
      </c>
      <c r="D307" s="28" t="s">
        <v>107</v>
      </c>
    </row>
    <row r="308" spans="1:4" x14ac:dyDescent="0.3">
      <c r="A308" s="28" t="s">
        <v>339</v>
      </c>
      <c r="B308" s="28">
        <v>1040327628</v>
      </c>
      <c r="C308" s="29" t="s">
        <v>102</v>
      </c>
      <c r="D308" s="28" t="s">
        <v>108</v>
      </c>
    </row>
    <row r="309" spans="1:4" x14ac:dyDescent="0.3">
      <c r="A309" s="28" t="s">
        <v>340</v>
      </c>
      <c r="B309" s="28">
        <v>1040362584</v>
      </c>
      <c r="C309" s="29" t="s">
        <v>102</v>
      </c>
      <c r="D309" s="28" t="s">
        <v>108</v>
      </c>
    </row>
    <row r="310" spans="1:4" x14ac:dyDescent="0.3">
      <c r="A310" s="28" t="s">
        <v>341</v>
      </c>
      <c r="B310" s="28">
        <v>1040375333</v>
      </c>
      <c r="C310" s="29">
        <v>5440914</v>
      </c>
      <c r="D310" s="28" t="s">
        <v>107</v>
      </c>
    </row>
    <row r="311" spans="1:4" x14ac:dyDescent="0.3">
      <c r="A311" s="28" t="s">
        <v>342</v>
      </c>
      <c r="B311" s="28">
        <v>1040508991</v>
      </c>
      <c r="C311" s="29">
        <v>3118613</v>
      </c>
      <c r="D311" s="28" t="s">
        <v>107</v>
      </c>
    </row>
    <row r="312" spans="1:4" x14ac:dyDescent="0.3">
      <c r="A312" s="28" t="s">
        <v>343</v>
      </c>
      <c r="B312" s="28">
        <v>1040570619</v>
      </c>
      <c r="C312" s="29" t="s">
        <v>102</v>
      </c>
      <c r="D312" s="28" t="s">
        <v>108</v>
      </c>
    </row>
    <row r="313" spans="1:4" x14ac:dyDescent="0.3">
      <c r="A313" s="28" t="s">
        <v>344</v>
      </c>
      <c r="B313" s="28">
        <v>1040571473</v>
      </c>
      <c r="C313" s="29" t="s">
        <v>102</v>
      </c>
      <c r="D313" s="28" t="s">
        <v>108</v>
      </c>
    </row>
    <row r="314" spans="1:4" x14ac:dyDescent="0.3">
      <c r="A314" s="28" t="s">
        <v>345</v>
      </c>
      <c r="B314" s="28">
        <v>1040571586</v>
      </c>
      <c r="C314" s="29">
        <v>25060181731</v>
      </c>
      <c r="D314" s="28" t="s">
        <v>34</v>
      </c>
    </row>
    <row r="315" spans="1:4" x14ac:dyDescent="0.3">
      <c r="A315" s="28" t="s">
        <v>346</v>
      </c>
      <c r="B315" s="28">
        <v>1040730543</v>
      </c>
      <c r="C315" s="29">
        <v>25060193911</v>
      </c>
      <c r="D315" s="28" t="s">
        <v>34</v>
      </c>
    </row>
    <row r="316" spans="1:4" x14ac:dyDescent="0.3">
      <c r="A316" s="28" t="s">
        <v>347</v>
      </c>
      <c r="B316" s="28">
        <v>1040748789</v>
      </c>
      <c r="C316" s="29">
        <v>60164136</v>
      </c>
      <c r="D316" s="28" t="s">
        <v>107</v>
      </c>
    </row>
    <row r="317" spans="1:4" x14ac:dyDescent="0.3">
      <c r="A317" s="28" t="s">
        <v>348</v>
      </c>
      <c r="B317" s="28">
        <v>1040752129</v>
      </c>
      <c r="C317" s="29">
        <v>25060181562</v>
      </c>
      <c r="D317" s="28" t="s">
        <v>107</v>
      </c>
    </row>
    <row r="318" spans="1:4" x14ac:dyDescent="0.3">
      <c r="A318" s="28" t="s">
        <v>349</v>
      </c>
      <c r="B318" s="28">
        <v>1041176022</v>
      </c>
      <c r="C318" s="29" t="s">
        <v>102</v>
      </c>
      <c r="D318" s="28" t="s">
        <v>108</v>
      </c>
    </row>
    <row r="319" spans="1:4" x14ac:dyDescent="0.3">
      <c r="A319" s="28" t="s">
        <v>435</v>
      </c>
      <c r="B319" s="28">
        <v>1041630266</v>
      </c>
      <c r="D319" s="28" t="s">
        <v>108</v>
      </c>
    </row>
    <row r="320" spans="1:4" x14ac:dyDescent="0.3">
      <c r="A320" s="28" t="s">
        <v>458</v>
      </c>
      <c r="B320" s="28">
        <v>1043640617</v>
      </c>
      <c r="C320" s="29">
        <v>60041616</v>
      </c>
      <c r="D320" s="28" t="s">
        <v>34</v>
      </c>
    </row>
    <row r="321" spans="1:4" x14ac:dyDescent="0.3">
      <c r="A321" s="28" t="s">
        <v>350</v>
      </c>
      <c r="B321" s="28">
        <v>1045050556</v>
      </c>
      <c r="C321" s="29">
        <v>5671422</v>
      </c>
      <c r="D321" s="28" t="s">
        <v>107</v>
      </c>
    </row>
    <row r="322" spans="1:4" x14ac:dyDescent="0.3">
      <c r="A322" s="28" t="s">
        <v>351</v>
      </c>
      <c r="B322" s="28">
        <v>1045107358</v>
      </c>
      <c r="C322" s="29">
        <v>5198907</v>
      </c>
      <c r="D322" s="28" t="s">
        <v>107</v>
      </c>
    </row>
    <row r="323" spans="1:4" x14ac:dyDescent="0.3">
      <c r="A323" s="28" t="s">
        <v>352</v>
      </c>
      <c r="B323" s="28">
        <v>1045113217</v>
      </c>
      <c r="C323" s="29">
        <v>5352216</v>
      </c>
      <c r="D323" s="28" t="s">
        <v>107</v>
      </c>
    </row>
    <row r="324" spans="1:4" x14ac:dyDescent="0.3">
      <c r="A324" s="28" t="s">
        <v>353</v>
      </c>
      <c r="B324" s="28">
        <v>1045427964</v>
      </c>
      <c r="C324" s="29">
        <v>25060179529</v>
      </c>
      <c r="D324" s="28" t="s">
        <v>107</v>
      </c>
    </row>
    <row r="325" spans="1:4" x14ac:dyDescent="0.3">
      <c r="A325" s="28" t="s">
        <v>354</v>
      </c>
      <c r="B325" s="28">
        <v>1045437950</v>
      </c>
      <c r="C325" s="29" t="s">
        <v>102</v>
      </c>
      <c r="D325" s="28" t="s">
        <v>108</v>
      </c>
    </row>
    <row r="326" spans="1:4" x14ac:dyDescent="0.3">
      <c r="A326" s="28" t="s">
        <v>355</v>
      </c>
      <c r="B326" s="28">
        <v>1046669597</v>
      </c>
      <c r="C326" s="29" t="s">
        <v>102</v>
      </c>
      <c r="D326" s="28" t="s">
        <v>108</v>
      </c>
    </row>
    <row r="327" spans="1:4" x14ac:dyDescent="0.3">
      <c r="A327" s="28" t="s">
        <v>356</v>
      </c>
      <c r="B327" s="28">
        <v>1047382343</v>
      </c>
      <c r="C327" s="29" t="s">
        <v>102</v>
      </c>
      <c r="D327" s="28" t="s">
        <v>108</v>
      </c>
    </row>
    <row r="328" spans="1:4" x14ac:dyDescent="0.3">
      <c r="A328" s="28" t="s">
        <v>357</v>
      </c>
      <c r="B328" s="28">
        <v>1047498319</v>
      </c>
      <c r="C328" s="29" t="s">
        <v>102</v>
      </c>
      <c r="D328" s="28" t="s">
        <v>108</v>
      </c>
    </row>
    <row r="329" spans="1:4" x14ac:dyDescent="0.3">
      <c r="A329" s="28" t="s">
        <v>358</v>
      </c>
      <c r="B329" s="28">
        <v>1058352308</v>
      </c>
      <c r="C329" s="29" t="s">
        <v>102</v>
      </c>
      <c r="D329" s="28" t="s">
        <v>108</v>
      </c>
    </row>
    <row r="330" spans="1:4" x14ac:dyDescent="0.3">
      <c r="A330" s="28" t="s">
        <v>359</v>
      </c>
      <c r="B330" s="28">
        <v>1061820274</v>
      </c>
      <c r="C330" s="29" t="s">
        <v>102</v>
      </c>
      <c r="D330" s="28" t="s">
        <v>108</v>
      </c>
    </row>
    <row r="331" spans="1:4" x14ac:dyDescent="0.3">
      <c r="A331" s="28" t="s">
        <v>360</v>
      </c>
      <c r="B331" s="28">
        <v>1072925956</v>
      </c>
      <c r="C331" s="29" t="s">
        <v>103</v>
      </c>
      <c r="D331" s="28" t="s">
        <v>108</v>
      </c>
    </row>
    <row r="332" spans="1:4" x14ac:dyDescent="0.3">
      <c r="A332" s="28" t="s">
        <v>90</v>
      </c>
      <c r="B332" s="28">
        <v>1073252722</v>
      </c>
      <c r="C332" s="29">
        <v>1073252722</v>
      </c>
      <c r="D332" s="28" t="s">
        <v>415</v>
      </c>
    </row>
    <row r="333" spans="1:4" x14ac:dyDescent="0.3">
      <c r="A333" s="28" t="s">
        <v>361</v>
      </c>
      <c r="B333" s="28">
        <v>1073697668</v>
      </c>
      <c r="C333" s="29" t="s">
        <v>102</v>
      </c>
      <c r="D333" s="28" t="s">
        <v>108</v>
      </c>
    </row>
    <row r="334" spans="1:4" x14ac:dyDescent="0.3">
      <c r="A334" s="28" t="s">
        <v>362</v>
      </c>
      <c r="B334" s="28">
        <v>1075538001</v>
      </c>
      <c r="C334" s="29" t="s">
        <v>102</v>
      </c>
      <c r="D334" s="28" t="s">
        <v>108</v>
      </c>
    </row>
    <row r="335" spans="1:4" x14ac:dyDescent="0.3">
      <c r="A335" s="28" t="s">
        <v>363</v>
      </c>
      <c r="B335" s="28">
        <v>1078577501</v>
      </c>
      <c r="C335" s="29" t="s">
        <v>102</v>
      </c>
      <c r="D335" s="28" t="s">
        <v>108</v>
      </c>
    </row>
    <row r="336" spans="1:4" x14ac:dyDescent="0.3">
      <c r="A336" s="28" t="s">
        <v>364</v>
      </c>
      <c r="B336" s="28">
        <v>1080041257</v>
      </c>
      <c r="C336" s="29" t="s">
        <v>102</v>
      </c>
      <c r="D336" s="28" t="s">
        <v>108</v>
      </c>
    </row>
    <row r="337" spans="1:4" x14ac:dyDescent="0.3">
      <c r="A337" s="28" t="s">
        <v>365</v>
      </c>
      <c r="B337" s="28">
        <v>1085113906</v>
      </c>
      <c r="C337" s="29" t="s">
        <v>102</v>
      </c>
      <c r="D337" s="28" t="s">
        <v>108</v>
      </c>
    </row>
    <row r="338" spans="1:4" x14ac:dyDescent="0.3">
      <c r="A338" s="28" t="s">
        <v>366</v>
      </c>
      <c r="B338" s="28">
        <v>1088591916</v>
      </c>
      <c r="C338" s="29">
        <v>5696615</v>
      </c>
      <c r="D338" s="28" t="s">
        <v>34</v>
      </c>
    </row>
    <row r="339" spans="1:4" x14ac:dyDescent="0.3">
      <c r="A339" s="28" t="s">
        <v>367</v>
      </c>
      <c r="B339" s="28">
        <v>1092455217</v>
      </c>
      <c r="C339" s="29">
        <v>25060009148</v>
      </c>
      <c r="D339" s="28" t="s">
        <v>34</v>
      </c>
    </row>
    <row r="340" spans="1:4" x14ac:dyDescent="0.3">
      <c r="A340" s="28" t="s">
        <v>368</v>
      </c>
      <c r="B340" s="28">
        <v>1096210900</v>
      </c>
      <c r="C340" s="29">
        <v>5569322</v>
      </c>
      <c r="D340" s="28" t="s">
        <v>34</v>
      </c>
    </row>
    <row r="341" spans="1:4" x14ac:dyDescent="0.3">
      <c r="A341" s="28" t="s">
        <v>369</v>
      </c>
      <c r="B341" s="28">
        <v>1101385998</v>
      </c>
      <c r="C341" s="29">
        <v>5227214</v>
      </c>
      <c r="D341" s="28" t="s">
        <v>34</v>
      </c>
    </row>
    <row r="342" spans="1:4" x14ac:dyDescent="0.3">
      <c r="A342" s="28" t="s">
        <v>370</v>
      </c>
      <c r="B342" s="28">
        <v>1104872597</v>
      </c>
      <c r="C342" s="29">
        <v>71035</v>
      </c>
      <c r="D342" s="28" t="s">
        <v>109</v>
      </c>
    </row>
    <row r="343" spans="1:4" x14ac:dyDescent="0.3">
      <c r="A343" s="28" t="s">
        <v>371</v>
      </c>
      <c r="B343" s="28">
        <v>1110529239</v>
      </c>
      <c r="C343" s="29">
        <v>5031920</v>
      </c>
      <c r="D343" s="28" t="s">
        <v>34</v>
      </c>
    </row>
    <row r="344" spans="1:4" x14ac:dyDescent="0.3">
      <c r="A344" s="28" t="s">
        <v>84</v>
      </c>
      <c r="B344" s="28">
        <v>1111342117</v>
      </c>
      <c r="C344" s="29" t="s">
        <v>102</v>
      </c>
      <c r="D344" s="28" t="s">
        <v>108</v>
      </c>
    </row>
    <row r="345" spans="1:4" x14ac:dyDescent="0.3">
      <c r="A345" s="28" t="s">
        <v>95</v>
      </c>
      <c r="B345" s="28">
        <v>1111538646</v>
      </c>
      <c r="C345" s="29" t="s">
        <v>102</v>
      </c>
      <c r="D345" s="28" t="s">
        <v>108</v>
      </c>
    </row>
    <row r="346" spans="1:4" x14ac:dyDescent="0.3">
      <c r="A346" s="28" t="s">
        <v>52</v>
      </c>
      <c r="B346" s="28">
        <v>1113669720</v>
      </c>
      <c r="C346" s="29">
        <v>5264122</v>
      </c>
      <c r="D346" s="28" t="s">
        <v>107</v>
      </c>
    </row>
    <row r="347" spans="1:4" x14ac:dyDescent="0.3">
      <c r="A347" s="28" t="s">
        <v>60</v>
      </c>
      <c r="B347" s="28">
        <v>1115070893</v>
      </c>
      <c r="C347" s="29">
        <v>764003</v>
      </c>
      <c r="D347" s="28" t="s">
        <v>107</v>
      </c>
    </row>
    <row r="348" spans="1:4" x14ac:dyDescent="0.3">
      <c r="A348" s="28" t="s">
        <v>372</v>
      </c>
      <c r="B348" s="28">
        <v>1115691541</v>
      </c>
      <c r="C348" s="29" t="s">
        <v>102</v>
      </c>
      <c r="D348" s="28" t="s">
        <v>108</v>
      </c>
    </row>
    <row r="349" spans="1:4" x14ac:dyDescent="0.3">
      <c r="A349" s="28" t="s">
        <v>373</v>
      </c>
      <c r="B349" s="28">
        <v>1115946902</v>
      </c>
      <c r="C349" s="29" t="s">
        <v>102</v>
      </c>
      <c r="D349" s="28" t="s">
        <v>108</v>
      </c>
    </row>
    <row r="350" spans="1:4" x14ac:dyDescent="0.3">
      <c r="A350" s="28" t="s">
        <v>374</v>
      </c>
      <c r="B350" s="28">
        <v>1118559091</v>
      </c>
      <c r="C350" s="29">
        <v>5457719</v>
      </c>
      <c r="D350" s="28" t="s">
        <v>34</v>
      </c>
    </row>
    <row r="351" spans="1:4" x14ac:dyDescent="0.3">
      <c r="A351" s="28" t="s">
        <v>375</v>
      </c>
      <c r="B351" s="28">
        <v>1118571413</v>
      </c>
      <c r="C351" s="29">
        <v>5601323</v>
      </c>
      <c r="D351" s="28" t="s">
        <v>34</v>
      </c>
    </row>
    <row r="352" spans="1:4" x14ac:dyDescent="0.3">
      <c r="A352" s="28" t="s">
        <v>376</v>
      </c>
      <c r="B352" s="28">
        <v>1119181802</v>
      </c>
      <c r="C352" s="29">
        <v>5180521</v>
      </c>
      <c r="D352" s="28" t="s">
        <v>34</v>
      </c>
    </row>
    <row r="353" spans="1:4" x14ac:dyDescent="0.3">
      <c r="A353" s="28" t="s">
        <v>89</v>
      </c>
      <c r="B353" s="28">
        <v>1120839269</v>
      </c>
      <c r="C353" s="29" t="s">
        <v>102</v>
      </c>
      <c r="D353" s="28" t="s">
        <v>108</v>
      </c>
    </row>
    <row r="354" spans="1:4" x14ac:dyDescent="0.3">
      <c r="A354" s="28" t="s">
        <v>377</v>
      </c>
      <c r="B354" s="28">
        <v>1121936567</v>
      </c>
      <c r="C354" s="29" t="s">
        <v>102</v>
      </c>
      <c r="D354" s="28" t="s">
        <v>108</v>
      </c>
    </row>
    <row r="355" spans="1:4" x14ac:dyDescent="0.3">
      <c r="A355" s="28" t="s">
        <v>43</v>
      </c>
      <c r="B355" s="28">
        <v>1126600886</v>
      </c>
      <c r="C355" s="29" t="s">
        <v>102</v>
      </c>
      <c r="D355" s="28" t="s">
        <v>108</v>
      </c>
    </row>
    <row r="356" spans="1:4" x14ac:dyDescent="0.3">
      <c r="A356" s="28" t="s">
        <v>443</v>
      </c>
      <c r="B356" s="28">
        <v>1128268110</v>
      </c>
      <c r="D356" s="28" t="s">
        <v>108</v>
      </c>
    </row>
    <row r="357" spans="1:4" x14ac:dyDescent="0.3">
      <c r="A357" s="28" t="s">
        <v>378</v>
      </c>
      <c r="B357" s="28">
        <v>1128397533</v>
      </c>
      <c r="C357" s="29">
        <v>5374815</v>
      </c>
      <c r="D357" s="28" t="s">
        <v>107</v>
      </c>
    </row>
    <row r="358" spans="1:4" x14ac:dyDescent="0.3">
      <c r="A358" s="28" t="s">
        <v>379</v>
      </c>
      <c r="B358" s="28">
        <v>1128403070</v>
      </c>
      <c r="C358" s="29">
        <v>5232116</v>
      </c>
      <c r="D358" s="28" t="s">
        <v>414</v>
      </c>
    </row>
    <row r="359" spans="1:4" x14ac:dyDescent="0.3">
      <c r="A359" s="28" t="s">
        <v>380</v>
      </c>
      <c r="B359" s="28">
        <v>1128419525</v>
      </c>
      <c r="C359" s="29">
        <v>5180921</v>
      </c>
      <c r="D359" s="28" t="s">
        <v>34</v>
      </c>
    </row>
    <row r="360" spans="1:4" x14ac:dyDescent="0.3">
      <c r="A360" s="28" t="s">
        <v>381</v>
      </c>
      <c r="B360" s="28">
        <v>1128429740</v>
      </c>
      <c r="C360" s="29" t="s">
        <v>102</v>
      </c>
      <c r="D360" s="28" t="s">
        <v>108</v>
      </c>
    </row>
    <row r="361" spans="1:4" x14ac:dyDescent="0.3">
      <c r="A361" s="28" t="s">
        <v>382</v>
      </c>
      <c r="B361" s="28">
        <v>1128439079</v>
      </c>
      <c r="C361" s="29">
        <v>5269618</v>
      </c>
      <c r="D361" s="28" t="s">
        <v>34</v>
      </c>
    </row>
    <row r="362" spans="1:4" x14ac:dyDescent="0.3">
      <c r="A362" s="28" t="s">
        <v>383</v>
      </c>
      <c r="B362" s="28">
        <v>1137977441</v>
      </c>
      <c r="C362" s="29" t="s">
        <v>102</v>
      </c>
      <c r="D362" s="28" t="s">
        <v>108</v>
      </c>
    </row>
    <row r="363" spans="1:4" x14ac:dyDescent="0.3">
      <c r="A363" s="28" t="s">
        <v>384</v>
      </c>
      <c r="B363" s="28">
        <v>1146437642</v>
      </c>
      <c r="C363" s="29" t="s">
        <v>102</v>
      </c>
      <c r="D363" s="28" t="s">
        <v>108</v>
      </c>
    </row>
    <row r="364" spans="1:4" x14ac:dyDescent="0.3">
      <c r="A364" s="28" t="s">
        <v>385</v>
      </c>
      <c r="B364" s="28">
        <v>1146443718</v>
      </c>
      <c r="C364" s="29" t="s">
        <v>102</v>
      </c>
      <c r="D364" s="28" t="s">
        <v>108</v>
      </c>
    </row>
    <row r="365" spans="1:4" x14ac:dyDescent="0.3">
      <c r="A365" s="28" t="s">
        <v>422</v>
      </c>
      <c r="B365" s="28">
        <v>1152202888</v>
      </c>
      <c r="C365" s="29" t="s">
        <v>103</v>
      </c>
      <c r="D365" s="28" t="s">
        <v>29</v>
      </c>
    </row>
    <row r="366" spans="1:4" x14ac:dyDescent="0.3">
      <c r="A366" s="28" t="s">
        <v>386</v>
      </c>
      <c r="B366" s="28">
        <v>1152212652</v>
      </c>
      <c r="C366" s="29">
        <v>24060245607</v>
      </c>
      <c r="D366" s="28" t="s">
        <v>34</v>
      </c>
    </row>
    <row r="367" spans="1:4" x14ac:dyDescent="0.3">
      <c r="A367" s="28" t="s">
        <v>387</v>
      </c>
      <c r="B367" s="28">
        <v>1152218533</v>
      </c>
      <c r="C367" s="29">
        <v>764727</v>
      </c>
      <c r="D367" s="28" t="s">
        <v>107</v>
      </c>
    </row>
    <row r="368" spans="1:4" x14ac:dyDescent="0.3">
      <c r="A368" s="28" t="s">
        <v>388</v>
      </c>
      <c r="B368" s="28">
        <v>1152219045</v>
      </c>
      <c r="C368" s="29">
        <v>24060417687</v>
      </c>
      <c r="D368" s="28" t="s">
        <v>107</v>
      </c>
    </row>
    <row r="369" spans="1:4" x14ac:dyDescent="0.3">
      <c r="A369" s="28" t="s">
        <v>389</v>
      </c>
      <c r="B369" s="28">
        <v>1152222271</v>
      </c>
      <c r="C369" s="29">
        <v>24060432051</v>
      </c>
      <c r="D369" s="28" t="s">
        <v>34</v>
      </c>
    </row>
    <row r="370" spans="1:4" x14ac:dyDescent="0.3">
      <c r="A370" s="28" t="s">
        <v>390</v>
      </c>
      <c r="B370" s="28">
        <v>1152435030</v>
      </c>
      <c r="C370" s="29">
        <v>32989</v>
      </c>
      <c r="D370" s="28" t="s">
        <v>109</v>
      </c>
    </row>
    <row r="371" spans="1:4" x14ac:dyDescent="0.3">
      <c r="A371" s="28" t="s">
        <v>391</v>
      </c>
      <c r="B371" s="28">
        <v>1152438228</v>
      </c>
      <c r="C371" s="29" t="s">
        <v>102</v>
      </c>
      <c r="D371" s="28" t="s">
        <v>108</v>
      </c>
    </row>
    <row r="372" spans="1:4" x14ac:dyDescent="0.3">
      <c r="A372" s="28" t="s">
        <v>392</v>
      </c>
      <c r="B372" s="28">
        <v>1152451864</v>
      </c>
      <c r="C372" s="29">
        <v>24060019534</v>
      </c>
      <c r="D372" s="28" t="s">
        <v>107</v>
      </c>
    </row>
    <row r="373" spans="1:4" x14ac:dyDescent="0.3">
      <c r="A373" s="28" t="s">
        <v>393</v>
      </c>
      <c r="B373" s="28">
        <v>1152457708</v>
      </c>
      <c r="C373" s="29">
        <v>24060432006</v>
      </c>
      <c r="D373" s="28" t="s">
        <v>34</v>
      </c>
    </row>
    <row r="374" spans="1:4" x14ac:dyDescent="0.3">
      <c r="A374" s="28" t="s">
        <v>394</v>
      </c>
      <c r="B374" s="28">
        <v>1152465130</v>
      </c>
      <c r="C374" s="29">
        <v>25060002125</v>
      </c>
      <c r="D374" s="28" t="s">
        <v>107</v>
      </c>
    </row>
    <row r="375" spans="1:4" x14ac:dyDescent="0.3">
      <c r="A375" s="28" t="s">
        <v>395</v>
      </c>
      <c r="B375" s="28">
        <v>1152466377</v>
      </c>
      <c r="C375" s="29">
        <v>5599419</v>
      </c>
      <c r="D375" s="28" t="s">
        <v>107</v>
      </c>
    </row>
    <row r="376" spans="1:4" x14ac:dyDescent="0.3">
      <c r="A376" s="28" t="s">
        <v>396</v>
      </c>
      <c r="B376" s="28">
        <v>1152470460</v>
      </c>
      <c r="C376" s="29" t="s">
        <v>102</v>
      </c>
      <c r="D376" s="28" t="s">
        <v>108</v>
      </c>
    </row>
    <row r="377" spans="1:4" x14ac:dyDescent="0.3">
      <c r="A377" s="28" t="s">
        <v>397</v>
      </c>
      <c r="B377" s="28">
        <v>1152700379</v>
      </c>
      <c r="C377" s="29">
        <v>5256920</v>
      </c>
      <c r="D377" s="28" t="s">
        <v>107</v>
      </c>
    </row>
    <row r="378" spans="1:4" x14ac:dyDescent="0.3">
      <c r="A378" s="28" t="s">
        <v>73</v>
      </c>
      <c r="B378" s="28">
        <v>1152709519</v>
      </c>
      <c r="C378" s="29">
        <v>1152709519</v>
      </c>
      <c r="D378" s="28" t="s">
        <v>109</v>
      </c>
    </row>
    <row r="379" spans="1:4" x14ac:dyDescent="0.3">
      <c r="A379" s="28" t="s">
        <v>398</v>
      </c>
      <c r="B379" s="28">
        <v>1152710976</v>
      </c>
      <c r="C379" s="29">
        <v>5562516</v>
      </c>
      <c r="D379" s="28" t="s">
        <v>107</v>
      </c>
    </row>
    <row r="380" spans="1:4" x14ac:dyDescent="0.3">
      <c r="A380" s="28" t="s">
        <v>399</v>
      </c>
      <c r="B380" s="28">
        <v>1192717160</v>
      </c>
      <c r="C380" s="29" t="s">
        <v>102</v>
      </c>
      <c r="D380" s="28" t="s">
        <v>108</v>
      </c>
    </row>
    <row r="381" spans="1:4" x14ac:dyDescent="0.3">
      <c r="A381" s="28" t="s">
        <v>400</v>
      </c>
      <c r="B381" s="28">
        <v>1192815965</v>
      </c>
      <c r="C381" s="29" t="s">
        <v>102</v>
      </c>
      <c r="D381" s="28" t="s">
        <v>108</v>
      </c>
    </row>
    <row r="382" spans="1:4" x14ac:dyDescent="0.3">
      <c r="A382" s="28" t="s">
        <v>401</v>
      </c>
      <c r="B382" s="28">
        <v>1192905097</v>
      </c>
      <c r="C382" s="29" t="s">
        <v>102</v>
      </c>
      <c r="D382" s="28" t="s">
        <v>108</v>
      </c>
    </row>
    <row r="383" spans="1:4" x14ac:dyDescent="0.3">
      <c r="A383" s="28" t="s">
        <v>49</v>
      </c>
      <c r="B383" s="28">
        <v>1192920112</v>
      </c>
      <c r="C383" s="29" t="s">
        <v>102</v>
      </c>
      <c r="D383" s="28" t="s">
        <v>108</v>
      </c>
    </row>
    <row r="384" spans="1:4" x14ac:dyDescent="0.3">
      <c r="A384" s="28" t="s">
        <v>402</v>
      </c>
      <c r="B384" s="28">
        <v>1193200803</v>
      </c>
      <c r="C384" s="29">
        <v>26333</v>
      </c>
      <c r="D384" s="28" t="s">
        <v>107</v>
      </c>
    </row>
    <row r="385" spans="1:4" x14ac:dyDescent="0.3">
      <c r="A385" s="28" t="s">
        <v>403</v>
      </c>
      <c r="B385" s="28">
        <v>1193290385</v>
      </c>
      <c r="C385" s="29" t="s">
        <v>102</v>
      </c>
      <c r="D385" s="28" t="s">
        <v>108</v>
      </c>
    </row>
    <row r="386" spans="1:4" x14ac:dyDescent="0.3">
      <c r="A386" s="28" t="s">
        <v>404</v>
      </c>
      <c r="B386" s="28">
        <v>1193344423</v>
      </c>
      <c r="C386" s="29" t="s">
        <v>102</v>
      </c>
      <c r="D386" s="28" t="s">
        <v>108</v>
      </c>
    </row>
    <row r="387" spans="1:4" x14ac:dyDescent="0.3">
      <c r="A387" s="28" t="s">
        <v>405</v>
      </c>
      <c r="B387" s="28">
        <v>1193520287</v>
      </c>
      <c r="C387" s="29" t="s">
        <v>102</v>
      </c>
      <c r="D387" s="28" t="s">
        <v>108</v>
      </c>
    </row>
    <row r="388" spans="1:4" x14ac:dyDescent="0.3">
      <c r="A388" s="28" t="s">
        <v>406</v>
      </c>
      <c r="B388" s="28">
        <v>1193529876</v>
      </c>
      <c r="C388" s="29">
        <v>5260720</v>
      </c>
      <c r="D388" s="28" t="s">
        <v>107</v>
      </c>
    </row>
    <row r="389" spans="1:4" x14ac:dyDescent="0.3">
      <c r="A389" s="28" t="s">
        <v>407</v>
      </c>
      <c r="B389" s="28">
        <v>1193597565</v>
      </c>
      <c r="C389" s="29">
        <v>5358722</v>
      </c>
      <c r="D389" s="28" t="s">
        <v>34</v>
      </c>
    </row>
    <row r="390" spans="1:4" x14ac:dyDescent="0.3">
      <c r="A390" s="28" t="s">
        <v>408</v>
      </c>
      <c r="B390" s="28">
        <v>1194405964</v>
      </c>
      <c r="C390" s="29" t="s">
        <v>102</v>
      </c>
      <c r="D390" s="28" t="s">
        <v>108</v>
      </c>
    </row>
    <row r="391" spans="1:4" x14ac:dyDescent="0.3">
      <c r="A391" s="28" t="s">
        <v>409</v>
      </c>
      <c r="B391" s="28">
        <v>1214734374</v>
      </c>
      <c r="C391" s="29">
        <v>5184321</v>
      </c>
      <c r="D391" s="28" t="s">
        <v>414</v>
      </c>
    </row>
    <row r="392" spans="1:4" x14ac:dyDescent="0.3">
      <c r="A392" s="28" t="s">
        <v>410</v>
      </c>
      <c r="B392" s="28">
        <v>1214737319</v>
      </c>
      <c r="C392" s="29" t="s">
        <v>102</v>
      </c>
      <c r="D392" s="28" t="s">
        <v>108</v>
      </c>
    </row>
    <row r="393" spans="1:4" x14ac:dyDescent="0.3">
      <c r="A393" s="28" t="s">
        <v>411</v>
      </c>
      <c r="B393" s="28">
        <v>1216724894</v>
      </c>
      <c r="C393" s="28">
        <v>1216724894</v>
      </c>
      <c r="D393" s="28" t="s">
        <v>415</v>
      </c>
    </row>
    <row r="394" spans="1:4" x14ac:dyDescent="0.3">
      <c r="A394" s="28" t="s">
        <v>412</v>
      </c>
      <c r="B394" s="28">
        <v>1216725691</v>
      </c>
      <c r="C394" s="29" t="s">
        <v>102</v>
      </c>
      <c r="D394" s="28" t="s">
        <v>108</v>
      </c>
    </row>
    <row r="395" spans="1:4" x14ac:dyDescent="0.3">
      <c r="A395" s="28" t="s">
        <v>51</v>
      </c>
      <c r="B395" s="28">
        <v>1216728020</v>
      </c>
      <c r="C395" s="29">
        <v>5129521</v>
      </c>
      <c r="D395" s="28" t="s">
        <v>107</v>
      </c>
    </row>
    <row r="396" spans="1:4" x14ac:dyDescent="0.3">
      <c r="A396" s="28" t="s">
        <v>413</v>
      </c>
      <c r="B396" s="28">
        <v>1233903367</v>
      </c>
      <c r="C396" s="29" t="s">
        <v>103</v>
      </c>
      <c r="D396" s="28" t="s">
        <v>29</v>
      </c>
    </row>
  </sheetData>
  <autoFilter ref="A1:D366" xr:uid="{9CFD647F-86EB-420D-A53A-3C3AD4880A8A}">
    <sortState xmlns:xlrd2="http://schemas.microsoft.com/office/spreadsheetml/2017/richdata2" ref="A2:D396">
      <sortCondition ref="B1:B366"/>
    </sortState>
  </autoFilter>
  <conditionalFormatting sqref="B1:B1048576">
    <cfRule type="duplicateValues" dxfId="0" priority="1"/>
  </conditionalFormatting>
  <dataValidations count="1">
    <dataValidation type="list" allowBlank="1" showInputMessage="1" showErrorMessage="1" sqref="D2:D1048576" xr:uid="{CF828CD3-0217-4E30-A4DD-325D473323FF}">
      <formula1>$N$2:$N$10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 1</vt:lpstr>
      <vt:lpstr>Hoja4</vt:lpstr>
    </vt:vector>
  </TitlesOfParts>
  <Company>Alcaldia de Medellin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Diego Cardona Jimenez</dc:creator>
  <cp:lastModifiedBy>DIDUAYAN GOMEZ VASCO</cp:lastModifiedBy>
  <cp:lastPrinted>2026-03-27T18:48:12Z</cp:lastPrinted>
  <dcterms:created xsi:type="dcterms:W3CDTF">2016-02-11T13:52:35Z</dcterms:created>
  <dcterms:modified xsi:type="dcterms:W3CDTF">2026-08-27T22:59:12Z</dcterms:modified>
</cp:coreProperties>
</file>