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dua\OneDrive\Escritorio\"/>
    </mc:Choice>
  </mc:AlternateContent>
  <xr:revisionPtr revIDLastSave="0" documentId="13_ncr:1_{768D8E1F-BE7B-457F-AB0D-C33B7DE1C6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Valor Cuenta de Cobro" sheetId="2" r:id="rId2"/>
  </sheets>
  <definedNames>
    <definedName name="_xlnm._FilterDatabase" localSheetId="0" hidden="1">Hoja1!$A$2:$U$306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8" i="1" l="1"/>
  <c r="U451" i="1"/>
  <c r="U445" i="1"/>
  <c r="U420" i="1"/>
  <c r="U411" i="1"/>
  <c r="U405" i="1"/>
  <c r="U383" i="1"/>
  <c r="U378" i="1"/>
  <c r="U374" i="1"/>
  <c r="U368" i="1"/>
  <c r="U344" i="1"/>
  <c r="U343" i="1"/>
  <c r="U312" i="1"/>
  <c r="U310" i="1"/>
  <c r="U309" i="1"/>
  <c r="U299" i="1"/>
  <c r="U287" i="1"/>
  <c r="U278" i="1"/>
  <c r="U277" i="1"/>
  <c r="U258" i="1"/>
  <c r="U241" i="1"/>
  <c r="U229" i="1"/>
  <c r="U215" i="1"/>
  <c r="U214" i="1"/>
  <c r="U184" i="1"/>
  <c r="U177" i="1"/>
  <c r="U176" i="1"/>
  <c r="U170" i="1"/>
  <c r="U161" i="1"/>
  <c r="U158" i="1"/>
  <c r="U146" i="1"/>
  <c r="U138" i="1"/>
  <c r="U135" i="1"/>
  <c r="U133" i="1"/>
  <c r="U124" i="1"/>
  <c r="U118" i="1"/>
  <c r="U99" i="1"/>
  <c r="U62" i="1"/>
  <c r="U60" i="1"/>
  <c r="U57" i="1"/>
  <c r="U47" i="1"/>
  <c r="U33" i="1"/>
  <c r="U31" i="1"/>
  <c r="U30" i="1"/>
  <c r="U16" i="1"/>
  <c r="U4" i="1"/>
  <c r="U5" i="1"/>
  <c r="U6" i="1"/>
  <c r="U8" i="1"/>
  <c r="U9" i="1"/>
  <c r="U10" i="1"/>
  <c r="U11" i="1"/>
  <c r="U12" i="1"/>
  <c r="U13" i="1"/>
  <c r="U14" i="1"/>
  <c r="U15" i="1"/>
  <c r="U20" i="1"/>
  <c r="U21" i="1"/>
  <c r="U22" i="1"/>
  <c r="U25" i="1"/>
  <c r="U26" i="1"/>
  <c r="U27" i="1"/>
  <c r="U28" i="1"/>
  <c r="U29" i="1"/>
  <c r="U34" i="1"/>
  <c r="U37" i="1"/>
  <c r="U38" i="1"/>
  <c r="U39" i="1"/>
  <c r="U40" i="1"/>
  <c r="U42" i="1"/>
  <c r="U44" i="1"/>
  <c r="U45" i="1"/>
  <c r="U46" i="1"/>
  <c r="U49" i="1"/>
  <c r="U50" i="1"/>
  <c r="U51" i="1"/>
  <c r="U53" i="1"/>
  <c r="U54" i="1"/>
  <c r="U55" i="1"/>
  <c r="U58" i="1"/>
  <c r="U61" i="1"/>
  <c r="U66" i="1"/>
  <c r="U67" i="1"/>
  <c r="U68" i="1"/>
  <c r="U69" i="1"/>
  <c r="U70" i="1"/>
  <c r="U71" i="1"/>
  <c r="U72" i="1"/>
  <c r="U73" i="1"/>
  <c r="U74" i="1"/>
  <c r="U75" i="1"/>
  <c r="U76" i="1"/>
  <c r="U77" i="1"/>
  <c r="U79" i="1"/>
  <c r="U80" i="1"/>
  <c r="U81" i="1"/>
  <c r="U82" i="1"/>
  <c r="U83" i="1"/>
  <c r="U84" i="1"/>
  <c r="U86" i="1"/>
  <c r="U87" i="1"/>
  <c r="U88" i="1"/>
  <c r="U89" i="1"/>
  <c r="U90" i="1"/>
  <c r="U91" i="1"/>
  <c r="U92" i="1"/>
  <c r="U94" i="1"/>
  <c r="U96" i="1"/>
  <c r="U97" i="1"/>
  <c r="U98" i="1"/>
  <c r="U100" i="1"/>
  <c r="U101" i="1"/>
  <c r="U102" i="1"/>
  <c r="U104" i="1"/>
  <c r="U106" i="1"/>
  <c r="U109" i="1"/>
  <c r="U110" i="1"/>
  <c r="U111" i="1"/>
  <c r="U112" i="1"/>
  <c r="U114" i="1"/>
  <c r="U115" i="1"/>
  <c r="U117" i="1"/>
  <c r="U119" i="1"/>
  <c r="U121" i="1"/>
  <c r="U122" i="1"/>
  <c r="U123" i="1"/>
  <c r="U127" i="1"/>
  <c r="U128" i="1"/>
  <c r="U129" i="1"/>
  <c r="U130" i="1"/>
  <c r="U131" i="1"/>
  <c r="U134" i="1"/>
  <c r="U136" i="1"/>
  <c r="U137" i="1"/>
  <c r="U139" i="1"/>
  <c r="U142" i="1"/>
  <c r="U144" i="1"/>
  <c r="U145" i="1"/>
  <c r="U147" i="1"/>
  <c r="U148" i="1"/>
  <c r="U150" i="1"/>
  <c r="U152" i="1"/>
  <c r="U154" i="1"/>
  <c r="U155" i="1"/>
  <c r="U156" i="1"/>
  <c r="U157" i="1"/>
  <c r="U159" i="1"/>
  <c r="U160" i="1"/>
  <c r="U162" i="1"/>
  <c r="U163" i="1"/>
  <c r="U164" i="1"/>
  <c r="U165" i="1"/>
  <c r="U166" i="1"/>
  <c r="U167" i="1"/>
  <c r="U168" i="1"/>
  <c r="U169" i="1"/>
  <c r="U171" i="1"/>
  <c r="U172" i="1"/>
  <c r="U173" i="1"/>
  <c r="U174" i="1"/>
  <c r="U175" i="1"/>
  <c r="U178" i="1"/>
  <c r="U179" i="1"/>
  <c r="U181" i="1"/>
  <c r="U182" i="1"/>
  <c r="U185" i="1"/>
  <c r="U186" i="1"/>
  <c r="U187" i="1"/>
  <c r="U188" i="1"/>
  <c r="U189" i="1"/>
  <c r="U190" i="1"/>
  <c r="U191" i="1"/>
  <c r="U192" i="1"/>
  <c r="U193" i="1"/>
  <c r="U194" i="1"/>
  <c r="U195" i="1"/>
  <c r="U197" i="1"/>
  <c r="U198" i="1"/>
  <c r="U199" i="1"/>
  <c r="U200" i="1"/>
  <c r="U201" i="1"/>
  <c r="U202" i="1"/>
  <c r="U203" i="1"/>
  <c r="U204" i="1"/>
  <c r="U205" i="1"/>
  <c r="U207" i="1"/>
  <c r="U208" i="1"/>
  <c r="U209" i="1"/>
  <c r="U210" i="1"/>
  <c r="U211" i="1"/>
  <c r="U212" i="1"/>
  <c r="U213" i="1"/>
  <c r="U217" i="1"/>
  <c r="U218" i="1"/>
  <c r="U219" i="1"/>
  <c r="U221" i="1"/>
  <c r="U222" i="1"/>
  <c r="U223" i="1"/>
  <c r="U224" i="1"/>
  <c r="U225" i="1"/>
  <c r="U226" i="1"/>
  <c r="U227" i="1"/>
  <c r="U228" i="1"/>
  <c r="U230" i="1"/>
  <c r="U231" i="1"/>
  <c r="U232" i="1"/>
  <c r="U233" i="1"/>
  <c r="U235" i="1"/>
  <c r="U236" i="1"/>
  <c r="U238" i="1"/>
  <c r="U239" i="1"/>
  <c r="U240" i="1"/>
  <c r="U244" i="1"/>
  <c r="U247" i="1"/>
  <c r="U249" i="1"/>
  <c r="U250" i="1"/>
  <c r="U251" i="1"/>
  <c r="U253" i="1"/>
  <c r="U255" i="1"/>
  <c r="U257" i="1"/>
  <c r="U259" i="1"/>
  <c r="U260" i="1"/>
  <c r="U264" i="1"/>
  <c r="U265" i="1"/>
  <c r="U266" i="1"/>
  <c r="U267" i="1"/>
  <c r="U268" i="1"/>
  <c r="U269" i="1"/>
  <c r="U270" i="1"/>
  <c r="U271" i="1"/>
  <c r="U272" i="1"/>
  <c r="U274" i="1"/>
  <c r="U275" i="1"/>
  <c r="U276" i="1"/>
  <c r="U279" i="1"/>
  <c r="U281" i="1"/>
  <c r="U282" i="1"/>
  <c r="U284" i="1"/>
  <c r="U285" i="1"/>
  <c r="U286" i="1"/>
  <c r="U289" i="1"/>
  <c r="U290" i="1"/>
  <c r="U291" i="1"/>
  <c r="U295" i="1"/>
  <c r="U296" i="1"/>
  <c r="U300" i="1"/>
  <c r="U301" i="1"/>
  <c r="U302" i="1"/>
  <c r="U303" i="1"/>
  <c r="U305" i="1"/>
  <c r="U306" i="1"/>
  <c r="U307" i="1"/>
  <c r="U308" i="1"/>
  <c r="U313" i="1"/>
  <c r="U314" i="1"/>
  <c r="U315" i="1"/>
  <c r="U319" i="1"/>
  <c r="U320" i="1"/>
  <c r="U321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7" i="1"/>
  <c r="U338" i="1"/>
  <c r="U339" i="1"/>
  <c r="U340" i="1"/>
  <c r="U341" i="1"/>
  <c r="U342" i="1"/>
  <c r="U345" i="1"/>
  <c r="U346" i="1"/>
  <c r="U347" i="1"/>
  <c r="U351" i="1"/>
  <c r="U353" i="1"/>
  <c r="U354" i="1"/>
  <c r="U356" i="1"/>
  <c r="U357" i="1"/>
  <c r="U360" i="1"/>
  <c r="U362" i="1"/>
  <c r="U363" i="1"/>
  <c r="U365" i="1"/>
  <c r="U366" i="1"/>
  <c r="U367" i="1"/>
  <c r="U369" i="1"/>
  <c r="U370" i="1"/>
  <c r="U371" i="1"/>
  <c r="U373" i="1"/>
  <c r="U375" i="1"/>
  <c r="U376" i="1"/>
  <c r="U377" i="1"/>
  <c r="U379" i="1"/>
  <c r="U380" i="1"/>
  <c r="U382" i="1"/>
  <c r="U384" i="1"/>
  <c r="U386" i="1"/>
  <c r="U387" i="1"/>
  <c r="U388" i="1"/>
  <c r="U389" i="1"/>
  <c r="U390" i="1"/>
  <c r="U391" i="1"/>
  <c r="U394" i="1"/>
  <c r="U395" i="1"/>
  <c r="U396" i="1"/>
  <c r="U397" i="1"/>
  <c r="U398" i="1"/>
  <c r="U399" i="1"/>
  <c r="U401" i="1"/>
  <c r="U403" i="1"/>
  <c r="U406" i="1"/>
  <c r="U407" i="1"/>
  <c r="U412" i="1"/>
  <c r="U415" i="1"/>
  <c r="U416" i="1"/>
  <c r="U417" i="1"/>
  <c r="U419" i="1"/>
  <c r="U421" i="1"/>
  <c r="U422" i="1"/>
  <c r="U424" i="1"/>
  <c r="U425" i="1"/>
  <c r="U426" i="1"/>
  <c r="U427" i="1"/>
  <c r="U428" i="1"/>
  <c r="U431" i="1"/>
  <c r="U432" i="1"/>
  <c r="U433" i="1"/>
  <c r="U436" i="1"/>
  <c r="U438" i="1"/>
  <c r="U439" i="1"/>
  <c r="U441" i="1"/>
  <c r="U442" i="1"/>
  <c r="U443" i="1"/>
  <c r="U444" i="1"/>
  <c r="U447" i="1"/>
  <c r="U448" i="1"/>
  <c r="U449" i="1"/>
  <c r="U450" i="1"/>
  <c r="U452" i="1"/>
  <c r="U453" i="1"/>
  <c r="U454" i="1"/>
  <c r="U455" i="1"/>
  <c r="U456" i="1"/>
  <c r="U458" i="1"/>
  <c r="U459" i="1"/>
  <c r="U460" i="1"/>
  <c r="U462" i="1"/>
  <c r="U463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3" i="1"/>
  <c r="C8" i="2" l="1" a="1"/>
  <c r="C8" i="2" s="1"/>
  <c r="C7" i="2" a="1"/>
  <c r="C7" i="2" s="1"/>
</calcChain>
</file>

<file path=xl/sharedStrings.xml><?xml version="1.0" encoding="utf-8"?>
<sst xmlns="http://schemas.openxmlformats.org/spreadsheetml/2006/main" count="953" uniqueCount="815">
  <si>
    <t>BONIFICACION EVENTOS</t>
  </si>
  <si>
    <t xml:space="preserve">NÚMERO DE IDENTIFICACIÓN      </t>
  </si>
  <si>
    <t>NOMBRES</t>
  </si>
  <si>
    <t>APELLIDOS</t>
  </si>
  <si>
    <t>CODIGO</t>
  </si>
  <si>
    <t>ALEJANDRA</t>
  </si>
  <si>
    <t>GALLEGO HERNANDEZ</t>
  </si>
  <si>
    <t>ALEJANDRO</t>
  </si>
  <si>
    <t>ZAPATA ZABALA</t>
  </si>
  <si>
    <t>ALVAREZ AGUDELO</t>
  </si>
  <si>
    <t>ALISON DAHIAN</t>
  </si>
  <si>
    <t>CORRALES LEZCANO</t>
  </si>
  <si>
    <t>YANCES VIEIRA</t>
  </si>
  <si>
    <t>ANA FERNANDA</t>
  </si>
  <si>
    <t>GALVAN BARRIOS</t>
  </si>
  <si>
    <t>ANA MARIA</t>
  </si>
  <si>
    <t>PEREZ NOREÑA</t>
  </si>
  <si>
    <t>ARENAS CAÑAS</t>
  </si>
  <si>
    <t>PALOMINO RIOS</t>
  </si>
  <si>
    <t>SOTO ALVAREZ</t>
  </si>
  <si>
    <t>SUAREZ RESTREPO</t>
  </si>
  <si>
    <t>BARRIENTOS ARAQUE</t>
  </si>
  <si>
    <t>LAURA</t>
  </si>
  <si>
    <t>GIRALDO ZAPATA</t>
  </si>
  <si>
    <t>TOLOZA MENA</t>
  </si>
  <si>
    <t>ANA SOFIA</t>
  </si>
  <si>
    <t>BOTERO GOMEZ</t>
  </si>
  <si>
    <t>BEDOYA RESTREPO</t>
  </si>
  <si>
    <t>ANDREA</t>
  </si>
  <si>
    <t>FONSECA FLOREZ</t>
  </si>
  <si>
    <t>ANDRES CAMILO</t>
  </si>
  <si>
    <t>ALVAREZ CADAVID</t>
  </si>
  <si>
    <t>ANDRES DAVID</t>
  </si>
  <si>
    <t>FRAGOZO MORAN</t>
  </si>
  <si>
    <t>ANDRES FELIPE</t>
  </si>
  <si>
    <t>OSORIO BUSTAMANTE</t>
  </si>
  <si>
    <t>GAVIRIA BUSTAMANTE</t>
  </si>
  <si>
    <t>AYALA AREIZA</t>
  </si>
  <si>
    <t>FRANCO CIRO</t>
  </si>
  <si>
    <t xml:space="preserve">ANDRES FELIPE </t>
  </si>
  <si>
    <t>CADAVID SANGUINO</t>
  </si>
  <si>
    <t>ANDRES FERNANDO</t>
  </si>
  <si>
    <t>GOMEZ DORADO</t>
  </si>
  <si>
    <t>ANGELA MARIA</t>
  </si>
  <si>
    <t>OLARTE SEPULVEDA</t>
  </si>
  <si>
    <t>OBANDO REYES</t>
  </si>
  <si>
    <t>ANGELICA</t>
  </si>
  <si>
    <t>LOPEZ TABORDA</t>
  </si>
  <si>
    <t>ANGELIN</t>
  </si>
  <si>
    <t>GAVIRIA VANEGAS</t>
  </si>
  <si>
    <t>ANGIE LAURA</t>
  </si>
  <si>
    <t>AYALA ARANGO</t>
  </si>
  <si>
    <t>ANGIE PAOLA</t>
  </si>
  <si>
    <t>GASPAR GONZALEZ</t>
  </si>
  <si>
    <t>ARIEL ANTONIO</t>
  </si>
  <si>
    <t>ZORRO VACCA</t>
  </si>
  <si>
    <t>ARVEY</t>
  </si>
  <si>
    <t>AGUIRRE GUTIERREZ</t>
  </si>
  <si>
    <t>AURA CAMILA</t>
  </si>
  <si>
    <t>BASTIDAS NARVAEZ</t>
  </si>
  <si>
    <t>BETSY ALEJANDRA</t>
  </si>
  <si>
    <t>MONOGA CASTRO</t>
  </si>
  <si>
    <t>BEYMAR ANDRES</t>
  </si>
  <si>
    <t>DELGADO HERNANDEZ</t>
  </si>
  <si>
    <t>BRANDON CAMILO</t>
  </si>
  <si>
    <t>MESA BENITEZ</t>
  </si>
  <si>
    <t>CAMILA</t>
  </si>
  <si>
    <t>SERNA VALLEJO</t>
  </si>
  <si>
    <t>CARLOS ANDRES</t>
  </si>
  <si>
    <t>PEREZ GOMEZ</t>
  </si>
  <si>
    <t>CARLOS MANUEL</t>
  </si>
  <si>
    <t>ALARCON RODELO</t>
  </si>
  <si>
    <t>CAROLINA</t>
  </si>
  <si>
    <t>LONDOÑO QUINTERO</t>
  </si>
  <si>
    <t>FLOREZ ALVAREZ</t>
  </si>
  <si>
    <t>ARBOLEDA CARDONA</t>
  </si>
  <si>
    <t>CATALINA</t>
  </si>
  <si>
    <t>ORREGO PALACIO</t>
  </si>
  <si>
    <t>CLARA INES</t>
  </si>
  <si>
    <t>CARDONA ALVAREZ</t>
  </si>
  <si>
    <t>CLAUDIA NATALIA</t>
  </si>
  <si>
    <t>CALDERON HERNANDEZ</t>
  </si>
  <si>
    <t>CLAUDIA XIMENA</t>
  </si>
  <si>
    <t>CASTAÑO BARRADA</t>
  </si>
  <si>
    <t>CRISTIAN</t>
  </si>
  <si>
    <t>VALLEJO OSSA</t>
  </si>
  <si>
    <t>CRISTIAN CAMILO</t>
  </si>
  <si>
    <t>GONZALEZ GONZALEZ</t>
  </si>
  <si>
    <t>CRISTIAN MAURICIO</t>
  </si>
  <si>
    <t>PEREZ FERREIRA</t>
  </si>
  <si>
    <t>DAMARIS</t>
  </si>
  <si>
    <t>DANIA SOFIA</t>
  </si>
  <si>
    <t>LOPEZ RODRIGUEZ</t>
  </si>
  <si>
    <t>DANIEL</t>
  </si>
  <si>
    <t>HINCAPIE LOPEZ</t>
  </si>
  <si>
    <t>MORENO ROMERO</t>
  </si>
  <si>
    <t>DANIELA</t>
  </si>
  <si>
    <t>RENDON ESCUDERO</t>
  </si>
  <si>
    <t>CASTRO ESCOBAR</t>
  </si>
  <si>
    <t>BERRIO BERRIO</t>
  </si>
  <si>
    <t>URREGO ZAPATA</t>
  </si>
  <si>
    <t>ARISTIZABAL FRANCO</t>
  </si>
  <si>
    <t>GOMEZ MARIN</t>
  </si>
  <si>
    <t>DANNA</t>
  </si>
  <si>
    <t>SERNA LOPERA</t>
  </si>
  <si>
    <t>DANNA VERONICA</t>
  </si>
  <si>
    <t>GIRALDO GONZALEZ</t>
  </si>
  <si>
    <t>DARLIN YOMARA</t>
  </si>
  <si>
    <t>MARTINEZ GIRALDO</t>
  </si>
  <si>
    <t>DARLIX XILENA</t>
  </si>
  <si>
    <t>JIMENEZ FLOREZ</t>
  </si>
  <si>
    <t>DAVID</t>
  </si>
  <si>
    <t>DURANGO RUIZ</t>
  </si>
  <si>
    <t>DAVID MAURICIO</t>
  </si>
  <si>
    <t>VARGAS ALZATE</t>
  </si>
  <si>
    <t>DAVID SANTIAGO</t>
  </si>
  <si>
    <t>BRAN RESTREPO</t>
  </si>
  <si>
    <t>DAVISON ANDRES</t>
  </si>
  <si>
    <t>RESTREPO GUISAO</t>
  </si>
  <si>
    <t>DAYANA</t>
  </si>
  <si>
    <t>GODOY TABORDA</t>
  </si>
  <si>
    <t>MUÑOZ HERNANDEZ</t>
  </si>
  <si>
    <t>DAYELI</t>
  </si>
  <si>
    <t>PATERNINA MARTINEZ</t>
  </si>
  <si>
    <t>DEISY</t>
  </si>
  <si>
    <t>CUADRADO HERNANEZ</t>
  </si>
  <si>
    <t>DEISY VANESSA</t>
  </si>
  <si>
    <t>GALLON MAZO</t>
  </si>
  <si>
    <t>DHANNA ZORAYA</t>
  </si>
  <si>
    <t>BORJA MARTINEZ</t>
  </si>
  <si>
    <t>DIANA MARIA</t>
  </si>
  <si>
    <t>TABORDA RESTREPO</t>
  </si>
  <si>
    <t>HERNANDEZ CARDENAS</t>
  </si>
  <si>
    <t>DIANA SOFIA</t>
  </si>
  <si>
    <t>URIBE CHAVARRIA</t>
  </si>
  <si>
    <t>DIDUAYAN</t>
  </si>
  <si>
    <t>GOMEZ VASCO</t>
  </si>
  <si>
    <t>DIEGO ALEJANDRO</t>
  </si>
  <si>
    <t>ESTRADA CASTAÑEDA</t>
  </si>
  <si>
    <t>ABC123</t>
  </si>
  <si>
    <t>DUVAN ALFONSO</t>
  </si>
  <si>
    <t>ANGULO GONZALEZ</t>
  </si>
  <si>
    <t>ELIANA</t>
  </si>
  <si>
    <t>ZAPATA TORRES</t>
  </si>
  <si>
    <t>ELKIN DARIO</t>
  </si>
  <si>
    <t>CORREA HENAO</t>
  </si>
  <si>
    <t>EMANUEL</t>
  </si>
  <si>
    <t>GIRALDO MEJIA</t>
  </si>
  <si>
    <t>ENOS CALEB</t>
  </si>
  <si>
    <t>HOYOS DUMET</t>
  </si>
  <si>
    <t>ESTEFANIA</t>
  </si>
  <si>
    <t>AMAYA GIRON</t>
  </si>
  <si>
    <t>ESTEFANY DAYANA</t>
  </si>
  <si>
    <t>LIEVANO GARCIA</t>
  </si>
  <si>
    <t>ESTEFANY LUCIA</t>
  </si>
  <si>
    <t>TOUS PRETELT</t>
  </si>
  <si>
    <t>EVELIN</t>
  </si>
  <si>
    <t>GIL RUIZ</t>
  </si>
  <si>
    <t>FERNANDO</t>
  </si>
  <si>
    <t>BOTERO MARTINEZ</t>
  </si>
  <si>
    <t>FRANCK NIKOLAS</t>
  </si>
  <si>
    <t>RODRIGUEZ OLIVEROS</t>
  </si>
  <si>
    <t>FREDY HERNANDO</t>
  </si>
  <si>
    <t>ORTEGON BERMUDEZ</t>
  </si>
  <si>
    <t>GERMAN ALONSO</t>
  </si>
  <si>
    <t>GUAMAN MORALES</t>
  </si>
  <si>
    <t>GILBERTO ANTONIO</t>
  </si>
  <si>
    <t>ARCHIBOL RIVERA</t>
  </si>
  <si>
    <t>CALLE PULGARIN</t>
  </si>
  <si>
    <t>GISEL</t>
  </si>
  <si>
    <t>ORTIZ CHILITO</t>
  </si>
  <si>
    <t>HAROLD</t>
  </si>
  <si>
    <t>ESCALANTE RAMIREZ</t>
  </si>
  <si>
    <t>HEIDY PAOLA</t>
  </si>
  <si>
    <t>FIGUEROA CORONELL</t>
  </si>
  <si>
    <t>HEIDYS</t>
  </si>
  <si>
    <t>NARVAEZ FLOREZ</t>
  </si>
  <si>
    <t>HERNANDO</t>
  </si>
  <si>
    <t>MONTOYA GARCIA</t>
  </si>
  <si>
    <t>HEYNER DUVAN</t>
  </si>
  <si>
    <t>LONDOÑO GARZON</t>
  </si>
  <si>
    <t>ILSSY ESTEFANIA</t>
  </si>
  <si>
    <t>ISAAC</t>
  </si>
  <si>
    <t>RAMIREZ AVILA</t>
  </si>
  <si>
    <t>ISABEL CRISTINA</t>
  </si>
  <si>
    <t>POSSO BALDOVINO</t>
  </si>
  <si>
    <t>ARTEAGA RAMIREZ</t>
  </si>
  <si>
    <t>ISABELA</t>
  </si>
  <si>
    <t>PELAEZ BEDOYA</t>
  </si>
  <si>
    <t>MOSQUERA TORRES</t>
  </si>
  <si>
    <t>ISABELLA</t>
  </si>
  <si>
    <t>VARGAS CASTAÑEDA</t>
  </si>
  <si>
    <t>ISMAEL</t>
  </si>
  <si>
    <t>MONTOYA DURANGO</t>
  </si>
  <si>
    <t>IVAN DANILO</t>
  </si>
  <si>
    <t>ALPALA ALPALA</t>
  </si>
  <si>
    <t>IVONNE AYDEE</t>
  </si>
  <si>
    <t>DAVID RUIZ</t>
  </si>
  <si>
    <t>JAIRO DE JESUS</t>
  </si>
  <si>
    <t>VARGAS RUEDA</t>
  </si>
  <si>
    <t>JAISSON ORLANDO</t>
  </si>
  <si>
    <t>VARGAS CARO</t>
  </si>
  <si>
    <t>JEFERSON</t>
  </si>
  <si>
    <t>GUTIERREZ GUTIERREZ</t>
  </si>
  <si>
    <t>JENNIFER VANNESA</t>
  </si>
  <si>
    <t>MARULANDA ALDANA</t>
  </si>
  <si>
    <t>JENNY PAOLA</t>
  </si>
  <si>
    <t>DURANGO JARAMILLO</t>
  </si>
  <si>
    <t>JESSICA MARIA</t>
  </si>
  <si>
    <t>GARCIA VELEZ</t>
  </si>
  <si>
    <t>JESSY JULIETH</t>
  </si>
  <si>
    <t>VILLAREAL PONCE</t>
  </si>
  <si>
    <t>JESUS MANUEL</t>
  </si>
  <si>
    <t>CUADRADO FUENTES</t>
  </si>
  <si>
    <t>JEYKSON</t>
  </si>
  <si>
    <t>BETANCUR MARIN</t>
  </si>
  <si>
    <t>JHON ALEXANDER</t>
  </si>
  <si>
    <t>LEON LOPEZ</t>
  </si>
  <si>
    <t>JHON ANDREY</t>
  </si>
  <si>
    <t>ACEVEDO SEPULVEDA</t>
  </si>
  <si>
    <t>JHON FREDY</t>
  </si>
  <si>
    <t>GUZMAN DAVID</t>
  </si>
  <si>
    <t>JHON JAIRO</t>
  </si>
  <si>
    <t>LONDOÑO ROJO</t>
  </si>
  <si>
    <t>JHON SEBASTIAN</t>
  </si>
  <si>
    <t>PRIETO SABOGAL</t>
  </si>
  <si>
    <t>JOHAN ANDRES</t>
  </si>
  <si>
    <t>PEÑA ORJUELA</t>
  </si>
  <si>
    <t>JOHAN ESNEIDER</t>
  </si>
  <si>
    <t>VALBUENA VIVAS</t>
  </si>
  <si>
    <t>JOHAN SANTIAGO</t>
  </si>
  <si>
    <t>DELGADO MUÑOZ</t>
  </si>
  <si>
    <t>JOHN AIBER</t>
  </si>
  <si>
    <t>LOPEZ PEREZ</t>
  </si>
  <si>
    <t>JOHN ALEJANDRO</t>
  </si>
  <si>
    <t>GOMEZ GIRALDO</t>
  </si>
  <si>
    <t>JOHN EDISON</t>
  </si>
  <si>
    <t>ESPINAL CORREA</t>
  </si>
  <si>
    <t>JOHN JAIRO</t>
  </si>
  <si>
    <t>PEREZ MARIN</t>
  </si>
  <si>
    <t>JORGE</t>
  </si>
  <si>
    <t>GALINDO BARRAGAN</t>
  </si>
  <si>
    <t>JORGE ABAD</t>
  </si>
  <si>
    <t>MARIN MARIN</t>
  </si>
  <si>
    <t>JOSE ANIBAL</t>
  </si>
  <si>
    <t>VILLADA MORALES</t>
  </si>
  <si>
    <t>JOSE DAVID</t>
  </si>
  <si>
    <t>PALACIOS GARCIA</t>
  </si>
  <si>
    <t>JOSE MIGUEL</t>
  </si>
  <si>
    <t>FERNANDEZ LANDAETA</t>
  </si>
  <si>
    <t>JOSE NOLBERTO</t>
  </si>
  <si>
    <t>GRAJALES CORREA</t>
  </si>
  <si>
    <t>JOSE REINEL</t>
  </si>
  <si>
    <t>PEÑA PALOMARES</t>
  </si>
  <si>
    <t>JUAN ALEJANDRO</t>
  </si>
  <si>
    <t>JUAN CARLOS</t>
  </si>
  <si>
    <t>CARO GIL</t>
  </si>
  <si>
    <t>ALZATE CASTAÑEDA</t>
  </si>
  <si>
    <t>JUAN DANIEL</t>
  </si>
  <si>
    <t>VIDES CASTAÑO</t>
  </si>
  <si>
    <t>JUAN DIEGO</t>
  </si>
  <si>
    <t>SEPULVEDA RIOS</t>
  </si>
  <si>
    <t>ESTRADA GUTIERREZ</t>
  </si>
  <si>
    <t>JUAN ESTEBAN</t>
  </si>
  <si>
    <t>RESTREPO GUZMAN</t>
  </si>
  <si>
    <t>GALLEGO BETANCUR</t>
  </si>
  <si>
    <t>JUAN FELIPE</t>
  </si>
  <si>
    <t>MUÑOZ ARGUELLES</t>
  </si>
  <si>
    <t>JUAN JOSE</t>
  </si>
  <si>
    <t>TUIRAN OSSA</t>
  </si>
  <si>
    <t>NARANJO CALDERON</t>
  </si>
  <si>
    <t>VALENCIA GAVIRIA</t>
  </si>
  <si>
    <t>TAMAYO MESA</t>
  </si>
  <si>
    <t>HIGUITA USUGA</t>
  </si>
  <si>
    <t>JUAN PABLO</t>
  </si>
  <si>
    <t>MARTINEZ CARDONA</t>
  </si>
  <si>
    <t>OCAMPO QUIROZ</t>
  </si>
  <si>
    <t>GOMEZ ARANGO</t>
  </si>
  <si>
    <t>OCAMPO MEJÍA</t>
  </si>
  <si>
    <t>SUAZA RAMIREZ</t>
  </si>
  <si>
    <t>CEBALLOS CARDENAS</t>
  </si>
  <si>
    <t>GOMEZ BEDOYA</t>
  </si>
  <si>
    <t>MUÑOZ GOMEZ</t>
  </si>
  <si>
    <t>JUAN SEBASTIAN</t>
  </si>
  <si>
    <t>MOSQUERA CORDOBA</t>
  </si>
  <si>
    <t>JULIAN ALEJANDRO</t>
  </si>
  <si>
    <t>QUIÑONES RUIZ</t>
  </si>
  <si>
    <t>JULIANA</t>
  </si>
  <si>
    <t>LOPEZ ZAPATA</t>
  </si>
  <si>
    <t>GOMEZ ZULUAGA</t>
  </si>
  <si>
    <t>CARDONA OVALLE</t>
  </si>
  <si>
    <t>ARCILA BUSTAMANTE</t>
  </si>
  <si>
    <t>ACEVEDO MUÑOZ</t>
  </si>
  <si>
    <t>MACHADO CAÑAS</t>
  </si>
  <si>
    <t>JULIETTE ALEJANDRA</t>
  </si>
  <si>
    <t>FERNANDEZ LOPERA</t>
  </si>
  <si>
    <t>JULIO CESAR</t>
  </si>
  <si>
    <t>MISAS USUGA</t>
  </si>
  <si>
    <t>KAREN</t>
  </si>
  <si>
    <t>ESTRADA PULGARIN</t>
  </si>
  <si>
    <t>KAREN JULIETH</t>
  </si>
  <si>
    <t>ZABALA GUZMAN</t>
  </si>
  <si>
    <t>KAREN NATALIA</t>
  </si>
  <si>
    <t>RODRIGUEZ IMBUS</t>
  </si>
  <si>
    <t>KAREN TATIANA</t>
  </si>
  <si>
    <t>ARBOLEDA AGUDELO</t>
  </si>
  <si>
    <t>KAREN YAZMIN</t>
  </si>
  <si>
    <t>AGUDELO BUILES</t>
  </si>
  <si>
    <t>KAROL ALEXANDRA</t>
  </si>
  <si>
    <t>KATERINE</t>
  </si>
  <si>
    <t>MUÑOZ CORREA</t>
  </si>
  <si>
    <t>KELLY JOHANA</t>
  </si>
  <si>
    <t>MUÑOZ SANCHEZ</t>
  </si>
  <si>
    <t>KELY JOHANA</t>
  </si>
  <si>
    <t>MARIN DUQUE</t>
  </si>
  <si>
    <t>KEVIN ALBERTO</t>
  </si>
  <si>
    <t>GUIRALES ARENAS</t>
  </si>
  <si>
    <t>KEVIN ALEXANDER</t>
  </si>
  <si>
    <t>BEDOYA CATAÑO</t>
  </si>
  <si>
    <t>KEVIN LEANDRO</t>
  </si>
  <si>
    <t>CAICEDO IJAJID</t>
  </si>
  <si>
    <t>RIVERA GOMEZ</t>
  </si>
  <si>
    <t>DIAZ FRANCO</t>
  </si>
  <si>
    <t>RESTREPO PALACIO</t>
  </si>
  <si>
    <t>LAURA ANDREA</t>
  </si>
  <si>
    <t>LLANO CANO</t>
  </si>
  <si>
    <t>LAURA CATALINA</t>
  </si>
  <si>
    <t>SALDAÑA VELEZ</t>
  </si>
  <si>
    <t>LAURA MARIA</t>
  </si>
  <si>
    <t>PANTOJA MEJIA</t>
  </si>
  <si>
    <t>LAURA TATIANA</t>
  </si>
  <si>
    <t>TABARES RAMIREZ</t>
  </si>
  <si>
    <t>LAURA VALENTINA</t>
  </si>
  <si>
    <t>OSORIO VILLAMIZAR</t>
  </si>
  <si>
    <t>AMAYA BUBU</t>
  </si>
  <si>
    <t>LEIDER MISAEL</t>
  </si>
  <si>
    <t>GUALDRON HERNANDEZ</t>
  </si>
  <si>
    <t>LEIDY CAROLINA</t>
  </si>
  <si>
    <t>MONSALVE JARAMILLO</t>
  </si>
  <si>
    <t>LEIDY JOHANA</t>
  </si>
  <si>
    <t>MORENO GUERRA</t>
  </si>
  <si>
    <t>LEIDY MELISA</t>
  </si>
  <si>
    <t>RENDON MARIN</t>
  </si>
  <si>
    <t>LEIDY YOHANA</t>
  </si>
  <si>
    <t>ORTIZ PEREZ</t>
  </si>
  <si>
    <t>LEIDY YULIETH</t>
  </si>
  <si>
    <t>SIERRA BEDOYA</t>
  </si>
  <si>
    <t>LEISY YOHANA</t>
  </si>
  <si>
    <t>MURILLO ARTEAGA</t>
  </si>
  <si>
    <t>LEYDY TATIANA</t>
  </si>
  <si>
    <t>SALDARRIAGA QUINTERO</t>
  </si>
  <si>
    <t>LICETH CAROLINA</t>
  </si>
  <si>
    <t>MATIZ VALENCIA</t>
  </si>
  <si>
    <t>LILIANA</t>
  </si>
  <si>
    <t>RESTREPO GUARIN</t>
  </si>
  <si>
    <t>LINA LUCIA</t>
  </si>
  <si>
    <t>BARRETO HERNANDEZ</t>
  </si>
  <si>
    <t>LINA MARCELA</t>
  </si>
  <si>
    <t>RESTREPO MONTAÑO</t>
  </si>
  <si>
    <t>LOPEZ GONZALEZ</t>
  </si>
  <si>
    <t>LINDA VANESSA</t>
  </si>
  <si>
    <t>PEREZ ESTRADA</t>
  </si>
  <si>
    <t>LISSETH ANDREA</t>
  </si>
  <si>
    <t>HOLGUIN BARRIENTOS</t>
  </si>
  <si>
    <t>LIZ MARISOL</t>
  </si>
  <si>
    <t>LOPEZ MENA</t>
  </si>
  <si>
    <t>LORENA</t>
  </si>
  <si>
    <t>VARGAS VALENCIA</t>
  </si>
  <si>
    <t>LUIS DAN SIRILO</t>
  </si>
  <si>
    <t>GONZALEZ SANDOVAL</t>
  </si>
  <si>
    <t>LUIS DANIEL</t>
  </si>
  <si>
    <t>SERNA SUESCUN</t>
  </si>
  <si>
    <t>LUIS DAVID</t>
  </si>
  <si>
    <t>PEREZ ROJAS</t>
  </si>
  <si>
    <t>LUIS EDUARDO</t>
  </si>
  <si>
    <t>RUEDA MURILLO</t>
  </si>
  <si>
    <t>LUIS FERNANDO</t>
  </si>
  <si>
    <t>MORALES FLOREZ</t>
  </si>
  <si>
    <t>LUISA FERNANDA</t>
  </si>
  <si>
    <t>MARIN VASQUEZ</t>
  </si>
  <si>
    <t>TORO ALVAREZ</t>
  </si>
  <si>
    <t>ALVAREZ BRAN</t>
  </si>
  <si>
    <t>PEREZ GALLEGO</t>
  </si>
  <si>
    <t>LUISA MARIA</t>
  </si>
  <si>
    <t>ACEVEDO MONTOYA</t>
  </si>
  <si>
    <t>HOYOS LONDOÑO</t>
  </si>
  <si>
    <t>LUNA ISABELA</t>
  </si>
  <si>
    <t>PÁRAMO TÉLLEZ</t>
  </si>
  <si>
    <t>MAICOL ENRRIQUE</t>
  </si>
  <si>
    <t>PALOMA TORRES</t>
  </si>
  <si>
    <t>MANUELA</t>
  </si>
  <si>
    <t>QUINTERO GONZALEZ</t>
  </si>
  <si>
    <t>CARRASQUILLA TORRES</t>
  </si>
  <si>
    <t>VANEGAS CASTRO</t>
  </si>
  <si>
    <t>RAVE PULGARIN</t>
  </si>
  <si>
    <t>MARGARITA MARIA</t>
  </si>
  <si>
    <t>PALACIO BERRIO</t>
  </si>
  <si>
    <t>MARIA ALEJANDRA</t>
  </si>
  <si>
    <t>RINCON LOPEZ</t>
  </si>
  <si>
    <t>ZAPATA VANEGAS</t>
  </si>
  <si>
    <t>VEGA POSADA</t>
  </si>
  <si>
    <t>MARIA CAMILA</t>
  </si>
  <si>
    <t>MOLINA MUÑETON</t>
  </si>
  <si>
    <t>CASTAÑO FLOREZ</t>
  </si>
  <si>
    <t>ORTEGA PARRA</t>
  </si>
  <si>
    <t>CANO OBREGON</t>
  </si>
  <si>
    <t>RUA ARBOLEDA</t>
  </si>
  <si>
    <t>SANCHEZ SANCHEZ</t>
  </si>
  <si>
    <t>TORO MUÑOZ</t>
  </si>
  <si>
    <t>MARIA DE LOS ANGELES</t>
  </si>
  <si>
    <t>MARIA EUGENIA</t>
  </si>
  <si>
    <t>OLIVEROS</t>
  </si>
  <si>
    <t>MARIA ISABEL</t>
  </si>
  <si>
    <t>PEREZ PATIÑO</t>
  </si>
  <si>
    <t>GALLO TOBON</t>
  </si>
  <si>
    <t>MARIA JOSE</t>
  </si>
  <si>
    <t>RUA BARRERA</t>
  </si>
  <si>
    <t>MARIA LIZETH</t>
  </si>
  <si>
    <t>AGUIRRE GOMEZ</t>
  </si>
  <si>
    <t>MARIA LUISA</t>
  </si>
  <si>
    <t>AGUDELO MELENDEZ</t>
  </si>
  <si>
    <t>MARIA PAULINA</t>
  </si>
  <si>
    <t>CARDONA VALENCIA</t>
  </si>
  <si>
    <t>MARIA SALOME</t>
  </si>
  <si>
    <t>VALENCIA LUNA</t>
  </si>
  <si>
    <t>MARIA VALENTINA</t>
  </si>
  <si>
    <t>RUIZ VILLA</t>
  </si>
  <si>
    <t>MARIAN ALEJANDRA</t>
  </si>
  <si>
    <t>SALINAS CATAÑO</t>
  </si>
  <si>
    <t>MARIANA</t>
  </si>
  <si>
    <t>PATIÑO BEDOYA</t>
  </si>
  <si>
    <t>ACEVEDO NARANJO</t>
  </si>
  <si>
    <t>GARCÍA LONDOÑO</t>
  </si>
  <si>
    <t>MORENO GALEANO</t>
  </si>
  <si>
    <t>MAYA CASTAÑO</t>
  </si>
  <si>
    <t>ALVAREZ OBANDO</t>
  </si>
  <si>
    <t>MARIBEL</t>
  </si>
  <si>
    <t>ELORZA RODRIGUEZ</t>
  </si>
  <si>
    <t>ARDILA MARTINEZ</t>
  </si>
  <si>
    <t>MARIO ANDRES</t>
  </si>
  <si>
    <t>GRISALES CORREA</t>
  </si>
  <si>
    <t>MARSHALL</t>
  </si>
  <si>
    <t>MOLINA RAMÍREZ</t>
  </si>
  <si>
    <t>MARYORI ALEJANDRA</t>
  </si>
  <si>
    <t>FRANCO RIOS</t>
  </si>
  <si>
    <t>MARYURI</t>
  </si>
  <si>
    <t>VARELAS DAVID</t>
  </si>
  <si>
    <t>MATEO</t>
  </si>
  <si>
    <t>ALZATE ZORA</t>
  </si>
  <si>
    <t>JARAMILLO DUQUE</t>
  </si>
  <si>
    <t>HEREDIA VASQUEZ</t>
  </si>
  <si>
    <t>ZAPATA RESTREPO</t>
  </si>
  <si>
    <t>MAURICIO</t>
  </si>
  <si>
    <t>ROMAN VALENCIA</t>
  </si>
  <si>
    <t>MAYELBE</t>
  </si>
  <si>
    <t>GOMEZ PIAMONTE</t>
  </si>
  <si>
    <t>MELANY</t>
  </si>
  <si>
    <t>LOPERA CORREA</t>
  </si>
  <si>
    <t>BLANDON PUERTA</t>
  </si>
  <si>
    <t>MELISA</t>
  </si>
  <si>
    <t>PARRA VALENCIA</t>
  </si>
  <si>
    <t>JARAMILLO MONTOYA</t>
  </si>
  <si>
    <t>MELISSA</t>
  </si>
  <si>
    <t>HIDALGO AVENDAÑO</t>
  </si>
  <si>
    <t>MELISSA ALEXANDRA</t>
  </si>
  <si>
    <t>VERGARA SEPULVEDA</t>
  </si>
  <si>
    <t>MIA VALERIA</t>
  </si>
  <si>
    <t>RODRIGUEZ GARZON</t>
  </si>
  <si>
    <t>MIGUEL ANGEL</t>
  </si>
  <si>
    <t>CAMPILLO ATEHORTUA</t>
  </si>
  <si>
    <t>OSPINA GUISAO</t>
  </si>
  <si>
    <t>NAILA BRITNEY</t>
  </si>
  <si>
    <t>MESA AGUDELO</t>
  </si>
  <si>
    <t>NANCY CRISTINA</t>
  </si>
  <si>
    <t>MONSALVE</t>
  </si>
  <si>
    <t>NARLY PAOLA</t>
  </si>
  <si>
    <t>NARVAEZ CHALA</t>
  </si>
  <si>
    <t>NATALIA ANDREA</t>
  </si>
  <si>
    <t>GAVIRIA ACOSTA</t>
  </si>
  <si>
    <t>NATALY</t>
  </si>
  <si>
    <t>MONTOYA GOMEZ</t>
  </si>
  <si>
    <t>NATHALY</t>
  </si>
  <si>
    <t>VANEGAS LÓPEZ</t>
  </si>
  <si>
    <t>NEDIS MARIA</t>
  </si>
  <si>
    <t>SANCHEZ PEREZ</t>
  </si>
  <si>
    <t>NHYKOLL</t>
  </si>
  <si>
    <t>ATEHORTUA CATAÑO</t>
  </si>
  <si>
    <t>NICOLAS</t>
  </si>
  <si>
    <t>RESTREPO OSORIO</t>
  </si>
  <si>
    <t>PEREZ VARGAS</t>
  </si>
  <si>
    <t>CONTRERAS DIAZ</t>
  </si>
  <si>
    <t>NICOLE</t>
  </si>
  <si>
    <t>VILLA GONZALEZ</t>
  </si>
  <si>
    <t>NICOLLE</t>
  </si>
  <si>
    <t>ORTIZ TORO</t>
  </si>
  <si>
    <t>OLMER ANTONIO</t>
  </si>
  <si>
    <t>TANGARIFE HIGUITA</t>
  </si>
  <si>
    <t>OMAR ALEXANDER</t>
  </si>
  <si>
    <t>ORIANA MARIA</t>
  </si>
  <si>
    <t>DAVID MARULANDA</t>
  </si>
  <si>
    <t>OSCAR EMILIO</t>
  </si>
  <si>
    <t>CASTAÑO GOMEZ</t>
  </si>
  <si>
    <t>OSWALDO</t>
  </si>
  <si>
    <t>ARIZA ALVAREZ</t>
  </si>
  <si>
    <t>REYVEN</t>
  </si>
  <si>
    <t>AVILA BARRAGAN</t>
  </si>
  <si>
    <t>RICARDO ELIAS</t>
  </si>
  <si>
    <t>HERRERA GARCIA</t>
  </si>
  <si>
    <t>ROBERT ESMITH</t>
  </si>
  <si>
    <t>OSORIO MOLINA</t>
  </si>
  <si>
    <t>ROBERT SAMIR</t>
  </si>
  <si>
    <t>USUGA FLOREZ</t>
  </si>
  <si>
    <t xml:space="preserve">ROBINSON </t>
  </si>
  <si>
    <t>SANCHEZ LONDOÑO</t>
  </si>
  <si>
    <t>SALOME</t>
  </si>
  <si>
    <t>NANCLARES ORTIZ</t>
  </si>
  <si>
    <t>SAMMY LAURETH</t>
  </si>
  <si>
    <t>MOJOMBOY QUINTERO</t>
  </si>
  <si>
    <t>SANDRA MILENA</t>
  </si>
  <si>
    <t>FERNANDEZ CORTES</t>
  </si>
  <si>
    <t>SANTIAGO</t>
  </si>
  <si>
    <t>LINARES HERNANDEZ</t>
  </si>
  <si>
    <t>SARA</t>
  </si>
  <si>
    <t>HERNADEZ GRISALES</t>
  </si>
  <si>
    <t>CASTRO CARDONA</t>
  </si>
  <si>
    <t>CARVALAL GUTIERREZ</t>
  </si>
  <si>
    <t>DAVILA MUÑOZ</t>
  </si>
  <si>
    <t>MONSALVE CASTILLO</t>
  </si>
  <si>
    <t>SARA ALEJANDRA</t>
  </si>
  <si>
    <t>BETANCUR ACEVEDO</t>
  </si>
  <si>
    <t>SARA DANIELA</t>
  </si>
  <si>
    <t>PEREZ CHAPARRO</t>
  </si>
  <si>
    <t>SARA LICETH</t>
  </si>
  <si>
    <t>DIN GULFO</t>
  </si>
  <si>
    <t>SARA PAOLA</t>
  </si>
  <si>
    <t>GIRALDO VALENCIA</t>
  </si>
  <si>
    <t>SARA VALENTINA</t>
  </si>
  <si>
    <t>RUA MENDEZ</t>
  </si>
  <si>
    <t>SEBASTIAN</t>
  </si>
  <si>
    <t>PADILLA RESTREPO</t>
  </si>
  <si>
    <t>GUISAO IDARRAGA</t>
  </si>
  <si>
    <t>SUAREZ GUZMAN</t>
  </si>
  <si>
    <t>SERGIO ANDRES</t>
  </si>
  <si>
    <t>RUIZ CUERVO</t>
  </si>
  <si>
    <t>SHIRLEY</t>
  </si>
  <si>
    <t>VIANA VALBUENA</t>
  </si>
  <si>
    <t>SINDY VANESSA</t>
  </si>
  <si>
    <t>TOBON RIVERA</t>
  </si>
  <si>
    <t>SONIA ANDREA</t>
  </si>
  <si>
    <t>GARCIA GUARIN</t>
  </si>
  <si>
    <t>SONIA INES</t>
  </si>
  <si>
    <t>LOPEZ MORALES</t>
  </si>
  <si>
    <t>SORANY MARIA</t>
  </si>
  <si>
    <t>CARDENAS GOMEZ</t>
  </si>
  <si>
    <t>STIVEN</t>
  </si>
  <si>
    <t>CHICA SIERRA</t>
  </si>
  <si>
    <t>RAMOS CORTES</t>
  </si>
  <si>
    <t>TATIANA</t>
  </si>
  <si>
    <t>JIMENEZ MUNERA</t>
  </si>
  <si>
    <t>BORJA LOPERA</t>
  </si>
  <si>
    <t>TOMAS</t>
  </si>
  <si>
    <t>RAMIREZ ARCILA</t>
  </si>
  <si>
    <t>VALENTINA</t>
  </si>
  <si>
    <t>BENITEZ BOTERO</t>
  </si>
  <si>
    <t>URIBE SILVA</t>
  </si>
  <si>
    <t>MESA CADAVID</t>
  </si>
  <si>
    <t>ZULETA CHAVARRIA</t>
  </si>
  <si>
    <t>CANO CHAVARRIAGA</t>
  </si>
  <si>
    <t>VALERIA</t>
  </si>
  <si>
    <t>MEJIA BARRIWENTOS</t>
  </si>
  <si>
    <t>CORREA AGUILAR</t>
  </si>
  <si>
    <t>FRANCO SANCHEZ</t>
  </si>
  <si>
    <t>VALERY</t>
  </si>
  <si>
    <t>CORTES SOSA</t>
  </si>
  <si>
    <t>VALERY JOHANA</t>
  </si>
  <si>
    <t>POSADA TORO</t>
  </si>
  <si>
    <t>VANESSA</t>
  </si>
  <si>
    <t>RAMIREZ SEPULVEDA</t>
  </si>
  <si>
    <t>VANESSA ALEJANDRA</t>
  </si>
  <si>
    <t>FRANCO PATIÑO</t>
  </si>
  <si>
    <t>VANESSA ALEXANDRA</t>
  </si>
  <si>
    <t>MISAS HOLGUIN</t>
  </si>
  <si>
    <t>VERONICA</t>
  </si>
  <si>
    <t>GUTIERREZ VASCO</t>
  </si>
  <si>
    <t>WENDY ESTEFANY</t>
  </si>
  <si>
    <t>RUIZ CORREA</t>
  </si>
  <si>
    <t>WILLIAM ALEJANDRO</t>
  </si>
  <si>
    <t>TORRES HENAO</t>
  </si>
  <si>
    <t>WILSON ANDRES</t>
  </si>
  <si>
    <t>HIGUITA CARDONA</t>
  </si>
  <si>
    <t>XIMENA</t>
  </si>
  <si>
    <t>LOPEZ CEBALLOS</t>
  </si>
  <si>
    <t>MUÑOZ CARRASQUILLA</t>
  </si>
  <si>
    <t>IBARRA CORREA</t>
  </si>
  <si>
    <t>XIMENA ESTEFANIA</t>
  </si>
  <si>
    <t>MISAS MONTOYA</t>
  </si>
  <si>
    <t>YADERLY</t>
  </si>
  <si>
    <t>LONDOÑO AMAYA</t>
  </si>
  <si>
    <t>YAIRETH LORENA</t>
  </si>
  <si>
    <t>RAMOS TOBIAS</t>
  </si>
  <si>
    <t>YARILSA ALEXANDRA</t>
  </si>
  <si>
    <t>CRUZ TOLOZA</t>
  </si>
  <si>
    <t>YEFERSON</t>
  </si>
  <si>
    <t>SANTOS PEREZ</t>
  </si>
  <si>
    <t>YENIFER YULIETH</t>
  </si>
  <si>
    <t>ZAPATA ESCOBAR</t>
  </si>
  <si>
    <t>YENNY</t>
  </si>
  <si>
    <t>RODRIGUEZ PUPO</t>
  </si>
  <si>
    <t>YERLYN</t>
  </si>
  <si>
    <t>VELEZ DUQUE</t>
  </si>
  <si>
    <t>YESICA VIVIANA</t>
  </si>
  <si>
    <t xml:space="preserve">PEÑA GUTIERREZ </t>
  </si>
  <si>
    <t>YOVANNI</t>
  </si>
  <si>
    <t>GONZALEZ CARVAJAL</t>
  </si>
  <si>
    <t>YULIANA</t>
  </si>
  <si>
    <t>MONTOYA PEREZ</t>
  </si>
  <si>
    <t>MONTERROSA LUNA</t>
  </si>
  <si>
    <t>RAMIREZ RODRIGUEZ</t>
  </si>
  <si>
    <t>YUNEIDY</t>
  </si>
  <si>
    <t>ANGULO ASCENCIO</t>
  </si>
  <si>
    <t>Columna1</t>
  </si>
  <si>
    <t>Columna2</t>
  </si>
  <si>
    <t>Número de Identificación:</t>
  </si>
  <si>
    <t>Código Unico:</t>
  </si>
  <si>
    <t>NOMBRE COMPLETO</t>
  </si>
  <si>
    <t>VALOR TOTAL PARA CUENTA DE COBRO</t>
  </si>
  <si>
    <t>ALVAREZ SANTAMARIA</t>
  </si>
  <si>
    <t>NORELA</t>
  </si>
  <si>
    <t>MONSALVE BRAN</t>
  </si>
  <si>
    <t>RIVERA PAZ</t>
  </si>
  <si>
    <t>RAMIREZ ORTEGA</t>
  </si>
  <si>
    <t>GUERRA VALENCIA</t>
  </si>
  <si>
    <t>RODRIGUEZ MARTINEZ</t>
  </si>
  <si>
    <t>DUQUE QUIROZ</t>
  </si>
  <si>
    <t>BARON ARANGO</t>
  </si>
  <si>
    <t>LILIANA LINETH</t>
  </si>
  <si>
    <t>FERNEY ANDRES</t>
  </si>
  <si>
    <t>CARTAGENA SUCERQUIA</t>
  </si>
  <si>
    <t>LUISA</t>
  </si>
  <si>
    <t>BARRENECHE CASTAÑEDA</t>
  </si>
  <si>
    <t>BUITRAGO SUESCUN</t>
  </si>
  <si>
    <t>MELINA</t>
  </si>
  <si>
    <t>CUARTAS BOTERO</t>
  </si>
  <si>
    <t>EDWAR MAURICIO</t>
  </si>
  <si>
    <t>BORJA USUGA</t>
  </si>
  <si>
    <t>GIOVANNI ALBERTO</t>
  </si>
  <si>
    <t>SHEYNER LORENA</t>
  </si>
  <si>
    <t>GUZMAN SANCHEZ</t>
  </si>
  <si>
    <t>MARIA PAULA</t>
  </si>
  <si>
    <t>MORA LUNA</t>
  </si>
  <si>
    <t>RENDON SANCHEZ</t>
  </si>
  <si>
    <t>KAREN DAHIANA</t>
  </si>
  <si>
    <t>CANO GONZALEZ</t>
  </si>
  <si>
    <t>JERONIMO</t>
  </si>
  <si>
    <t>GIRALDO HINCAPIE</t>
  </si>
  <si>
    <t>NATALIA CAROLINA</t>
  </si>
  <si>
    <t>MEJIA</t>
  </si>
  <si>
    <t>HEIZLER ANDREA</t>
  </si>
  <si>
    <t>GARCIA ALVAREZ</t>
  </si>
  <si>
    <t>MARI LUZ</t>
  </si>
  <si>
    <t>MORALES JIMENEZ</t>
  </si>
  <si>
    <t xml:space="preserve">CAROLINA </t>
  </si>
  <si>
    <t>OCAMPO GONZALEZ</t>
  </si>
  <si>
    <t>LAURA CRISTINA</t>
  </si>
  <si>
    <t>TRILLOS REMOLINA</t>
  </si>
  <si>
    <t>HEIDY VALERIA</t>
  </si>
  <si>
    <t>GARCES VALENCIA</t>
  </si>
  <si>
    <t xml:space="preserve">JUAN MANUEL </t>
  </si>
  <si>
    <t>HERNANDEZ SANCHEZ</t>
  </si>
  <si>
    <t>SHARON JULIANA</t>
  </si>
  <si>
    <t>GUERRA RAMIREZ</t>
  </si>
  <si>
    <t>DOC EQUI</t>
  </si>
  <si>
    <t>MAYA PEREZ</t>
  </si>
  <si>
    <t>SARA GABRIELA</t>
  </si>
  <si>
    <t>QUIÑONES CUEVAS</t>
  </si>
  <si>
    <t>ANDRES OCTAVIO</t>
  </si>
  <si>
    <t>MACIAS MENESES</t>
  </si>
  <si>
    <t>GIL GALEANO</t>
  </si>
  <si>
    <t>JUAN CAMILO</t>
  </si>
  <si>
    <t>ZEA GONZALEZ</t>
  </si>
  <si>
    <t>ANDRES ALFONSO</t>
  </si>
  <si>
    <t>DURAN CASTRILLON</t>
  </si>
  <si>
    <t>LUIS ESTEBAN</t>
  </si>
  <si>
    <t>DIANA MILENA</t>
  </si>
  <si>
    <t>ZEA VELAZQUEZ</t>
  </si>
  <si>
    <t>PAOLA</t>
  </si>
  <si>
    <t>CARTAGENA VARGAS</t>
  </si>
  <si>
    <t>KEVIN YESID</t>
  </si>
  <si>
    <t>VELILLA TRUJILLO</t>
  </si>
  <si>
    <t>CLAUDIA MARCELA</t>
  </si>
  <si>
    <t>BARRIGA MALDONADO</t>
  </si>
  <si>
    <t>YASMIN</t>
  </si>
  <si>
    <t>RANGEL RODRIGUEZ</t>
  </si>
  <si>
    <t>LICETH LORENA</t>
  </si>
  <si>
    <t>LANDAZURI BONILLA</t>
  </si>
  <si>
    <t>JUAN MANUEL</t>
  </si>
  <si>
    <t>GARZON OCAMPO</t>
  </si>
  <si>
    <t>FLOREZ MARIN</t>
  </si>
  <si>
    <t>ERIKA ANDREA</t>
  </si>
  <si>
    <t xml:space="preserve">VALERIA </t>
  </si>
  <si>
    <t>URIBE CUELLO</t>
  </si>
  <si>
    <t>CASTRILLON ACEVEDO</t>
  </si>
  <si>
    <t>LEIDY TATIANA</t>
  </si>
  <si>
    <t>SALDARRIAGA ZAPATA</t>
  </si>
  <si>
    <t>KIARA SAMANTHA</t>
  </si>
  <si>
    <t>LAURA CAMILA</t>
  </si>
  <si>
    <t>CABRERA LEZCANO</t>
  </si>
  <si>
    <t>ORREGO ZAPATA</t>
  </si>
  <si>
    <t>STIVEN ALEXANDER</t>
  </si>
  <si>
    <t>NATALY ANDREA</t>
  </si>
  <si>
    <t>ECHEVERRY OSORIO</t>
  </si>
  <si>
    <t>PUERTA URREGO</t>
  </si>
  <si>
    <t>JOHAN DAVID</t>
  </si>
  <si>
    <t>MARTINEZ CORTEZ</t>
  </si>
  <si>
    <t>KELLY</t>
  </si>
  <si>
    <t>HENAO GAVIRIA</t>
  </si>
  <si>
    <t>LICETH XIMENA</t>
  </si>
  <si>
    <t>TIRADO VELAZQUEZ</t>
  </si>
  <si>
    <t>JANETH MILENA</t>
  </si>
  <si>
    <t>MORENO ZARRAZOLA</t>
  </si>
  <si>
    <t>YESICA PAOLA</t>
  </si>
  <si>
    <t>TORRES DUQUE</t>
  </si>
  <si>
    <t>ALEXANDER</t>
  </si>
  <si>
    <t>ROJAS VILLAMIZAR</t>
  </si>
  <si>
    <t>DAHIANA</t>
  </si>
  <si>
    <t>OSPINA CASTAÑO</t>
  </si>
  <si>
    <t>MARIA FERNANDA</t>
  </si>
  <si>
    <t>MONTAÑEZ GIRALDO</t>
  </si>
  <si>
    <t>GUSTAVO</t>
  </si>
  <si>
    <t>CAMARGO ZOLANO</t>
  </si>
  <si>
    <t>VARGAS PENAGOS</t>
  </si>
  <si>
    <t>LAURA MELISSA</t>
  </si>
  <si>
    <t>VASQUEZ TOBON</t>
  </si>
  <si>
    <t>GAVIRIA ZAPATA</t>
  </si>
  <si>
    <t>LAURA VICTORIA</t>
  </si>
  <si>
    <t>MUÑOZ GONZALEZ</t>
  </si>
  <si>
    <t>ERIKA DANIELA</t>
  </si>
  <si>
    <t>MUÑOZ MARTINEZ</t>
  </si>
  <si>
    <t>CHAVERRA DAVID</t>
  </si>
  <si>
    <t>JOSEFITH SMITH</t>
  </si>
  <si>
    <t>URIBE RENTERIA</t>
  </si>
  <si>
    <t>GIRALDO PULGARIN</t>
  </si>
  <si>
    <t>JONATAN</t>
  </si>
  <si>
    <t>RUIZ AVENDAÑO</t>
  </si>
  <si>
    <t>LINA LICETH</t>
  </si>
  <si>
    <t>VERA VERGARA</t>
  </si>
  <si>
    <t>DAVID ESTEBAN</t>
  </si>
  <si>
    <t>GRACIANO DAVID</t>
  </si>
  <si>
    <t>ANDRES</t>
  </si>
  <si>
    <t>GARCES GUZMAN</t>
  </si>
  <si>
    <t>DIANA MELISSA</t>
  </si>
  <si>
    <t>VELEZ CARMONA</t>
  </si>
  <si>
    <t>CADAVID OSSA</t>
  </si>
  <si>
    <t>JUAN DAVID</t>
  </si>
  <si>
    <t>DEANTONIO VASCO</t>
  </si>
  <si>
    <t>XIOMARA</t>
  </si>
  <si>
    <t>RESTREPO AGUDELO</t>
  </si>
  <si>
    <t>SALAZAR MURILLO</t>
  </si>
  <si>
    <t>KELLYN JOHANA</t>
  </si>
  <si>
    <t>GIRALDO RESTREPO</t>
  </si>
  <si>
    <t>ANDRES JUAN</t>
  </si>
  <si>
    <t>CANO OQUENDO</t>
  </si>
  <si>
    <t xml:space="preserve"> </t>
  </si>
  <si>
    <t>VERONICA ANDREA</t>
  </si>
  <si>
    <t>AGUDELO ROMERO</t>
  </si>
  <si>
    <t>MOLINA BOLIVAR</t>
  </si>
  <si>
    <t xml:space="preserve">DIEGO ALEJANDRO </t>
  </si>
  <si>
    <t>GUIRALES TANGARIFE</t>
  </si>
  <si>
    <t>VASCO SALAZAR</t>
  </si>
  <si>
    <t>AGUIRRE SERNA</t>
  </si>
  <si>
    <t>PINEDA ARENAS</t>
  </si>
  <si>
    <t>OSORNO CARDONA</t>
  </si>
  <si>
    <t>Valor Total 20-07-2026</t>
  </si>
  <si>
    <t>PEDRO IGNACIO</t>
  </si>
  <si>
    <t>RODRIGUEZ RUIZ</t>
  </si>
  <si>
    <t>ANDRES MIGUEL</t>
  </si>
  <si>
    <t>ALMANZA PARRA</t>
  </si>
  <si>
    <t>MISHEL DAHYANA</t>
  </si>
  <si>
    <t>ARROYAVE RESTREPO</t>
  </si>
  <si>
    <t>TIMARAN TORRES</t>
  </si>
  <si>
    <t>FELIPE</t>
  </si>
  <si>
    <t>PIEDRAHITA PARRA</t>
  </si>
  <si>
    <t>LIACELI</t>
  </si>
  <si>
    <t>PENAGOS CORRALES</t>
  </si>
  <si>
    <t>EMILY</t>
  </si>
  <si>
    <t>ZULUAGA RESTREPO</t>
  </si>
  <si>
    <t>CLAUDIA PATRICIA</t>
  </si>
  <si>
    <t>LONDOÑO SUAREZ</t>
  </si>
  <si>
    <t>ELIZABETH</t>
  </si>
  <si>
    <t>PRUEBAS</t>
  </si>
  <si>
    <t>CUENTA DE COBRO</t>
  </si>
  <si>
    <t>LONDOÑO ROLDAN</t>
  </si>
  <si>
    <t>FRANK SANTIAGO</t>
  </si>
  <si>
    <t>BUSTAMANTE ZAPATA</t>
  </si>
  <si>
    <t>PUERTA MESA</t>
  </si>
  <si>
    <t>RIVERA RIOS</t>
  </si>
  <si>
    <t>MANUEL FERNANDO</t>
  </si>
  <si>
    <t>CARRANZA MONTIEL</t>
  </si>
  <si>
    <t>MELISSA ANDREA</t>
  </si>
  <si>
    <t>GRISALES RAMIREZ</t>
  </si>
  <si>
    <t>GLORIA AMPARO</t>
  </si>
  <si>
    <t>ALVAREZ YOTAGRI</t>
  </si>
  <si>
    <t>YOAN SEVASTIAN</t>
  </si>
  <si>
    <t>ARANGO ACOSTA</t>
  </si>
  <si>
    <t>LIDUEÑAS MANCO</t>
  </si>
  <si>
    <t>CASTILLO CASTELLANOS</t>
  </si>
  <si>
    <t>SAMUEL DAVID</t>
  </si>
  <si>
    <t>LIBARDO ALEXIS</t>
  </si>
  <si>
    <t>SALAZAR</t>
  </si>
  <si>
    <t>MANUEL ALEJANDRO</t>
  </si>
  <si>
    <t>24/03/2000</t>
  </si>
  <si>
    <t>27/12/1998</t>
  </si>
  <si>
    <t>12/10/1975</t>
  </si>
  <si>
    <t>VERONICA LISETH</t>
  </si>
  <si>
    <t>ARANGO MANCO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</si>
</sst>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&quot;$&quot;\ #,##0"/>
    <numFmt numFmtId="165" formatCode="&quot;$&quot;\ #,##0.00"/>
    <numFmt numFmtId="166" formatCode="dd/mm/yyyy;@"/>
  </numFmts>
  <fonts count="19" x14ac:knownFonts="1">
    <font>
      <sz val="11"/>
      <color theme="1"/>
      <name val="Calibri"/>
      <scheme val="minor"/>
    </font>
    <font>
      <b/>
      <sz val="16"/>
      <color rgb="FFFF0000"/>
      <name val="Calibri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22"/>
      <color theme="1"/>
      <name val="Calibri"/>
      <family val="2"/>
    </font>
    <font>
      <sz val="36"/>
      <color theme="1"/>
      <name val="Calibri"/>
      <family val="2"/>
    </font>
    <font>
      <sz val="22"/>
      <color rgb="FFFFFFFF"/>
      <name val="Calibri"/>
      <family val="2"/>
    </font>
    <font>
      <sz val="36"/>
      <color rgb="FFFFFFFF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4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10" fillId="3" borderId="3" xfId="0" applyNumberFormat="1" applyFont="1" applyFill="1" applyBorder="1" applyAlignment="1">
      <alignment horizontal="center" vertical="center"/>
    </xf>
    <xf numFmtId="3" fontId="10" fillId="3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0" fillId="3" borderId="5" xfId="1" applyNumberFormat="1" applyFont="1" applyFill="1" applyBorder="1" applyAlignment="1">
      <alignment horizontal="center" vertical="center"/>
    </xf>
    <xf numFmtId="1" fontId="17" fillId="2" borderId="6" xfId="0" applyNumberFormat="1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/>
    </xf>
    <xf numFmtId="1" fontId="18" fillId="4" borderId="4" xfId="0" applyNumberFormat="1" applyFont="1" applyFill="1" applyBorder="1" applyAlignment="1">
      <alignment horizontal="left" vertical="center"/>
    </xf>
    <xf numFmtId="0" fontId="18" fillId="4" borderId="4" xfId="0" applyFont="1" applyFill="1" applyBorder="1" applyAlignment="1">
      <alignment horizontal="left" vertical="center"/>
    </xf>
    <xf numFmtId="0" fontId="18" fillId="4" borderId="4" xfId="0" applyFont="1" applyFill="1" applyBorder="1" applyAlignment="1">
      <alignment horizontal="left" vertical="center" wrapText="1"/>
    </xf>
    <xf numFmtId="166" fontId="18" fillId="4" borderId="4" xfId="0" applyNumberFormat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18" fillId="5" borderId="3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/>
    </xf>
    <xf numFmtId="14" fontId="18" fillId="4" borderId="3" xfId="0" applyNumberFormat="1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left" vertical="center" wrapText="1"/>
    </xf>
    <xf numFmtId="3" fontId="10" fillId="3" borderId="4" xfId="1" applyNumberFormat="1" applyFont="1" applyFill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illares" xfId="1" builtinId="3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Valor Cuenta de Cobro-style" pivot="0" count="4" xr9:uid="{00000000-0011-0000-FFFF-FFFF00000000}">
      <tableStyleElement type="headerRow" dxfId="25"/>
      <tableStyleElement type="total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C8" totalsRowCount="1">
  <tableColumns count="2">
    <tableColumn id="1" xr3:uid="{00000000-0010-0000-0000-000001000000}" name="Columna1" totalsRowLabel="VALOR TOTAL PARA CUENTA DE COBRO"/>
    <tableColumn id="2" xr3:uid="{00000000-0010-0000-0000-000002000000}" name="Columna2" totalsRowFunction="custom">
      <totalsRowFormula array="1">_xludf.XLOOKUP(1, (Hoja1!A:A=C4) * (Hoja1!D:D=C5), Hoja1!U:U, 0)</totalsRowFormula>
    </tableColumn>
  </tableColumns>
  <tableStyleInfo name="Valor Cuenta de Cobr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30"/>
  <sheetViews>
    <sheetView tabSelected="1" zoomScale="85" zoomScaleNormal="85" workbookViewId="0">
      <selection activeCell="E4" sqref="E4"/>
    </sheetView>
  </sheetViews>
  <sheetFormatPr baseColWidth="10" defaultColWidth="14.44140625" defaultRowHeight="15" customHeight="1" x14ac:dyDescent="0.3"/>
  <cols>
    <col min="1" max="1" width="16.5546875" style="20" customWidth="1"/>
    <col min="2" max="2" width="28" style="20" bestFit="1" customWidth="1"/>
    <col min="3" max="3" width="30.44140625" style="20" customWidth="1"/>
    <col min="4" max="4" width="17.5546875" style="21" hidden="1" customWidth="1"/>
    <col min="5" max="5" width="11.44140625" style="15" customWidth="1"/>
    <col min="6" max="6" width="11.44140625" style="17" customWidth="1"/>
    <col min="7" max="9" width="11.44140625" style="15" customWidth="1"/>
    <col min="10" max="17" width="9.5546875" style="15" customWidth="1"/>
    <col min="18" max="18" width="10.6640625" style="15" customWidth="1"/>
    <col min="19" max="19" width="11.33203125" style="15" customWidth="1"/>
    <col min="20" max="20" width="14" style="15" customWidth="1"/>
    <col min="21" max="21" width="14.33203125" style="16" customWidth="1"/>
    <col min="22" max="22" width="21.109375" style="15" customWidth="1"/>
    <col min="23" max="38" width="15.5546875" style="15" customWidth="1"/>
    <col min="39" max="16384" width="14.44140625" style="15"/>
  </cols>
  <sheetData>
    <row r="1" spans="1:38" ht="21" x14ac:dyDescent="0.3">
      <c r="A1" s="40" t="s">
        <v>0</v>
      </c>
      <c r="B1" s="41"/>
      <c r="C1" s="41"/>
      <c r="D1" s="41"/>
      <c r="E1" s="42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4"/>
      <c r="S1" s="44"/>
      <c r="T1" s="44"/>
      <c r="U1" s="12" t="s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41.4" x14ac:dyDescent="0.3">
      <c r="A2" s="24" t="s">
        <v>1</v>
      </c>
      <c r="B2" s="25" t="s">
        <v>2</v>
      </c>
      <c r="C2" s="25" t="s">
        <v>3</v>
      </c>
      <c r="D2" s="26" t="s">
        <v>4</v>
      </c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R2" s="1"/>
      <c r="S2" s="1"/>
      <c r="T2" s="1"/>
      <c r="U2" s="12" t="s">
        <v>772</v>
      </c>
      <c r="V2" s="18" t="s">
        <v>671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7.399999999999999" x14ac:dyDescent="0.3">
      <c r="A3" s="27">
        <v>1017256315</v>
      </c>
      <c r="B3" s="27" t="s">
        <v>5</v>
      </c>
      <c r="C3" s="28" t="s">
        <v>6</v>
      </c>
      <c r="D3" s="32"/>
      <c r="E3" s="2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  <c r="U3" s="13">
        <f>SUM(E3:T3)</f>
        <v>0</v>
      </c>
      <c r="V3" s="19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7.399999999999999" x14ac:dyDescent="0.3">
      <c r="A4" s="29">
        <v>1036962850</v>
      </c>
      <c r="B4" s="29" t="s">
        <v>5</v>
      </c>
      <c r="C4" s="30" t="s">
        <v>757</v>
      </c>
      <c r="D4" s="32"/>
      <c r="E4" s="23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1"/>
      <c r="U4" s="13">
        <f>SUM(E4:T4)</f>
        <v>0</v>
      </c>
      <c r="V4" s="19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7.399999999999999" x14ac:dyDescent="0.3">
      <c r="A5" s="27">
        <v>1000644768</v>
      </c>
      <c r="B5" s="27" t="s">
        <v>7</v>
      </c>
      <c r="C5" s="28" t="s">
        <v>8</v>
      </c>
      <c r="D5" s="32"/>
      <c r="E5" s="23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"/>
      <c r="U5" s="13">
        <f>SUM(E5:T5)</f>
        <v>0</v>
      </c>
      <c r="V5" s="19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7.399999999999999" x14ac:dyDescent="0.3">
      <c r="A6" s="27">
        <v>1152465130</v>
      </c>
      <c r="B6" s="27" t="s">
        <v>7</v>
      </c>
      <c r="C6" s="28" t="s">
        <v>9</v>
      </c>
      <c r="D6" s="32"/>
      <c r="E6" s="2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0"/>
      <c r="U6" s="13">
        <f>SUM(E6:T6)</f>
        <v>0</v>
      </c>
      <c r="V6" s="19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7.399999999999999" x14ac:dyDescent="0.3">
      <c r="A7" s="29">
        <v>1020113157</v>
      </c>
      <c r="B7" s="29" t="s">
        <v>7</v>
      </c>
      <c r="C7" s="30" t="s">
        <v>630</v>
      </c>
      <c r="D7" s="32">
        <v>39222</v>
      </c>
      <c r="E7" s="2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1"/>
      <c r="U7" s="13">
        <v>0</v>
      </c>
      <c r="V7" s="19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7.399999999999999" x14ac:dyDescent="0.3">
      <c r="A8" s="29">
        <v>88230810</v>
      </c>
      <c r="B8" s="29" t="s">
        <v>722</v>
      </c>
      <c r="C8" s="30" t="s">
        <v>723</v>
      </c>
      <c r="D8" s="32"/>
      <c r="E8" s="2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1"/>
      <c r="U8" s="13">
        <f t="shared" ref="U8:U16" si="0">SUM(E8:T8)</f>
        <v>0</v>
      </c>
      <c r="V8" s="19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7.399999999999999" x14ac:dyDescent="0.3">
      <c r="A9" s="27">
        <v>1152219045</v>
      </c>
      <c r="B9" s="27" t="s">
        <v>10</v>
      </c>
      <c r="C9" s="28" t="s">
        <v>11</v>
      </c>
      <c r="D9" s="32"/>
      <c r="E9" s="2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0"/>
      <c r="U9" s="13">
        <f t="shared" si="0"/>
        <v>0</v>
      </c>
      <c r="V9" s="19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7.399999999999999" x14ac:dyDescent="0.3">
      <c r="A10" s="27">
        <v>1001021489</v>
      </c>
      <c r="B10" s="27" t="s">
        <v>13</v>
      </c>
      <c r="C10" s="28" t="s">
        <v>14</v>
      </c>
      <c r="D10" s="32"/>
      <c r="E10" s="2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0"/>
      <c r="U10" s="13">
        <f t="shared" si="0"/>
        <v>0</v>
      </c>
      <c r="V10" s="19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7.399999999999999" x14ac:dyDescent="0.3">
      <c r="A11" s="27">
        <v>1000444716</v>
      </c>
      <c r="B11" s="27" t="s">
        <v>15</v>
      </c>
      <c r="C11" s="28" t="s">
        <v>16</v>
      </c>
      <c r="D11" s="32"/>
      <c r="E11" s="2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0"/>
      <c r="U11" s="13">
        <f t="shared" si="0"/>
        <v>0</v>
      </c>
      <c r="V11" s="19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7.399999999999999" x14ac:dyDescent="0.3">
      <c r="A12" s="27">
        <v>1007240502</v>
      </c>
      <c r="B12" s="27" t="s">
        <v>15</v>
      </c>
      <c r="C12" s="28" t="s">
        <v>18</v>
      </c>
      <c r="D12" s="32"/>
      <c r="E12" s="2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0"/>
      <c r="U12" s="13">
        <f t="shared" si="0"/>
        <v>0</v>
      </c>
      <c r="V12" s="19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7.399999999999999" x14ac:dyDescent="0.3">
      <c r="A13" s="27">
        <v>1007242178</v>
      </c>
      <c r="B13" s="27" t="s">
        <v>15</v>
      </c>
      <c r="C13" s="28" t="s">
        <v>19</v>
      </c>
      <c r="D13" s="32"/>
      <c r="E13" s="2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0"/>
      <c r="U13" s="13">
        <f t="shared" si="0"/>
        <v>0</v>
      </c>
      <c r="V13" s="19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7.399999999999999" x14ac:dyDescent="0.3">
      <c r="A14" s="31">
        <v>1007341620</v>
      </c>
      <c r="B14" s="27" t="s">
        <v>15</v>
      </c>
      <c r="C14" s="28" t="s">
        <v>20</v>
      </c>
      <c r="D14" s="32"/>
      <c r="E14" s="2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0"/>
      <c r="U14" s="13">
        <f t="shared" si="0"/>
        <v>0</v>
      </c>
      <c r="V14" s="19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7.399999999999999" x14ac:dyDescent="0.3">
      <c r="A15" s="27">
        <v>1013456309</v>
      </c>
      <c r="B15" s="27" t="s">
        <v>15</v>
      </c>
      <c r="C15" s="28" t="s">
        <v>21</v>
      </c>
      <c r="D15" s="32"/>
      <c r="E15" s="2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0"/>
      <c r="U15" s="13">
        <f t="shared" si="0"/>
        <v>0</v>
      </c>
      <c r="V15" s="19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7.399999999999999" x14ac:dyDescent="0.3">
      <c r="A16" s="27">
        <v>1039459208</v>
      </c>
      <c r="B16" s="27" t="s">
        <v>15</v>
      </c>
      <c r="C16" s="28" t="s">
        <v>24</v>
      </c>
      <c r="D16" s="32">
        <v>33996</v>
      </c>
      <c r="E16" s="23">
        <v>80000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0"/>
      <c r="U16" s="13">
        <f t="shared" si="0"/>
        <v>80000</v>
      </c>
      <c r="V16" s="19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7.399999999999999" x14ac:dyDescent="0.3">
      <c r="A17" s="27">
        <v>1000756090</v>
      </c>
      <c r="B17" s="27" t="s">
        <v>15</v>
      </c>
      <c r="C17" s="28" t="s">
        <v>17</v>
      </c>
      <c r="D17" s="32">
        <v>37568</v>
      </c>
      <c r="E17" s="2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0"/>
      <c r="U17" s="13">
        <v>0</v>
      </c>
      <c r="V17" s="19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7.399999999999999" x14ac:dyDescent="0.3">
      <c r="A18" s="29">
        <v>1038866041</v>
      </c>
      <c r="B18" s="29" t="s">
        <v>15</v>
      </c>
      <c r="C18" s="30" t="s">
        <v>634</v>
      </c>
      <c r="D18" s="32">
        <v>38002</v>
      </c>
      <c r="E18" s="2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1"/>
      <c r="U18" s="13">
        <v>0</v>
      </c>
      <c r="V18" s="19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7.399999999999999" x14ac:dyDescent="0.3">
      <c r="A19" s="29">
        <v>1000098659</v>
      </c>
      <c r="B19" s="29" t="s">
        <v>15</v>
      </c>
      <c r="C19" s="30" t="s">
        <v>738</v>
      </c>
      <c r="D19" s="32">
        <v>36757</v>
      </c>
      <c r="E19" s="2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1"/>
      <c r="U19" s="13">
        <v>0</v>
      </c>
      <c r="V19" s="19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7.399999999999999" x14ac:dyDescent="0.3">
      <c r="A20" s="27">
        <v>1007271832</v>
      </c>
      <c r="B20" s="27" t="s">
        <v>25</v>
      </c>
      <c r="C20" s="28" t="s">
        <v>26</v>
      </c>
      <c r="D20" s="32"/>
      <c r="E20" s="2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0"/>
      <c r="U20" s="13">
        <f>SUM(E20:T20)</f>
        <v>0</v>
      </c>
      <c r="V20" s="19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7.399999999999999" x14ac:dyDescent="0.3">
      <c r="A21" s="27">
        <v>1007441228</v>
      </c>
      <c r="B21" s="27" t="s">
        <v>25</v>
      </c>
      <c r="C21" s="28" t="s">
        <v>27</v>
      </c>
      <c r="D21" s="32"/>
      <c r="E21" s="2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0"/>
      <c r="U21" s="13">
        <f>SUM(E21:T21)</f>
        <v>0</v>
      </c>
      <c r="V21" s="19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7.399999999999999" x14ac:dyDescent="0.3">
      <c r="A22" s="27">
        <v>52285356</v>
      </c>
      <c r="B22" s="27" t="s">
        <v>28</v>
      </c>
      <c r="C22" s="28" t="s">
        <v>29</v>
      </c>
      <c r="D22" s="32"/>
      <c r="E22" s="2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0"/>
      <c r="U22" s="13">
        <f>SUM(E22:T22)</f>
        <v>0</v>
      </c>
      <c r="V22" s="19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7.399999999999999" x14ac:dyDescent="0.3">
      <c r="A23" s="29">
        <v>1037622578</v>
      </c>
      <c r="B23" s="29" t="s">
        <v>28</v>
      </c>
      <c r="C23" s="30" t="s">
        <v>344</v>
      </c>
      <c r="D23" s="32">
        <v>33772</v>
      </c>
      <c r="E23" s="2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1"/>
      <c r="U23" s="13">
        <v>0</v>
      </c>
      <c r="V23" s="19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7.399999999999999" x14ac:dyDescent="0.3">
      <c r="A24" s="29">
        <v>1023627954</v>
      </c>
      <c r="B24" s="29" t="s">
        <v>748</v>
      </c>
      <c r="C24" s="30" t="s">
        <v>749</v>
      </c>
      <c r="D24" s="32">
        <v>38686</v>
      </c>
      <c r="E24" s="2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1"/>
      <c r="U24" s="13">
        <v>0</v>
      </c>
      <c r="V24" s="19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7.399999999999999" x14ac:dyDescent="0.3">
      <c r="A25" s="29">
        <v>1017161127</v>
      </c>
      <c r="B25" s="29" t="s">
        <v>680</v>
      </c>
      <c r="C25" s="30" t="s">
        <v>681</v>
      </c>
      <c r="D25" s="32"/>
      <c r="E25" s="2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1"/>
      <c r="U25" s="13">
        <f t="shared" ref="U25:U31" si="1">SUM(E25:T25)</f>
        <v>0</v>
      </c>
      <c r="V25" s="19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7.399999999999999" x14ac:dyDescent="0.3">
      <c r="A26" s="27">
        <v>1026153901</v>
      </c>
      <c r="B26" s="27" t="s">
        <v>30</v>
      </c>
      <c r="C26" s="28" t="s">
        <v>31</v>
      </c>
      <c r="D26" s="32"/>
      <c r="E26" s="2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0"/>
      <c r="U26" s="13">
        <f t="shared" si="1"/>
        <v>0</v>
      </c>
      <c r="V26" s="19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7.399999999999999" x14ac:dyDescent="0.3">
      <c r="A27" s="27">
        <v>1192905097</v>
      </c>
      <c r="B27" s="27" t="s">
        <v>32</v>
      </c>
      <c r="C27" s="28" t="s">
        <v>33</v>
      </c>
      <c r="D27" s="32"/>
      <c r="E27" s="2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0"/>
      <c r="U27" s="13">
        <f t="shared" si="1"/>
        <v>0</v>
      </c>
      <c r="V27" s="19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7.399999999999999" x14ac:dyDescent="0.3">
      <c r="A28" s="27">
        <v>3378920</v>
      </c>
      <c r="B28" s="27" t="s">
        <v>34</v>
      </c>
      <c r="C28" s="28" t="s">
        <v>35</v>
      </c>
      <c r="D28" s="32"/>
      <c r="E28" s="2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0"/>
      <c r="U28" s="13">
        <f t="shared" si="1"/>
        <v>0</v>
      </c>
      <c r="V28" s="19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7.399999999999999" x14ac:dyDescent="0.3">
      <c r="A29" s="27">
        <v>1216725691</v>
      </c>
      <c r="B29" s="27" t="s">
        <v>34</v>
      </c>
      <c r="C29" s="28" t="s">
        <v>38</v>
      </c>
      <c r="D29" s="32"/>
      <c r="E29" s="2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0"/>
      <c r="U29" s="13">
        <f t="shared" si="1"/>
        <v>0</v>
      </c>
      <c r="V29" s="19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7.399999999999999" x14ac:dyDescent="0.3">
      <c r="A30" s="27">
        <v>1137977441</v>
      </c>
      <c r="B30" s="27" t="s">
        <v>34</v>
      </c>
      <c r="C30" s="28" t="s">
        <v>12</v>
      </c>
      <c r="D30" s="32">
        <v>39172</v>
      </c>
      <c r="E30" s="23">
        <v>360000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0"/>
      <c r="U30" s="13">
        <f t="shared" si="1"/>
        <v>360000</v>
      </c>
      <c r="V30" s="19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7.399999999999999" x14ac:dyDescent="0.3">
      <c r="A31" s="27">
        <v>98762700</v>
      </c>
      <c r="B31" s="27" t="s">
        <v>34</v>
      </c>
      <c r="C31" s="28" t="s">
        <v>36</v>
      </c>
      <c r="D31" s="32">
        <v>31024</v>
      </c>
      <c r="E31" s="23">
        <v>300000</v>
      </c>
      <c r="F31" s="14">
        <v>200000</v>
      </c>
      <c r="G31" s="14">
        <v>90000</v>
      </c>
      <c r="H31" s="14">
        <v>110000</v>
      </c>
      <c r="I31" s="14">
        <v>100000</v>
      </c>
      <c r="J31" s="14">
        <v>400000</v>
      </c>
      <c r="K31" s="14"/>
      <c r="L31" s="14"/>
      <c r="M31" s="14"/>
      <c r="N31" s="14"/>
      <c r="O31" s="14"/>
      <c r="P31" s="14"/>
      <c r="Q31" s="14"/>
      <c r="R31" s="14"/>
      <c r="S31" s="14"/>
      <c r="T31" s="10"/>
      <c r="U31" s="13">
        <f t="shared" si="1"/>
        <v>1200000</v>
      </c>
      <c r="V31" s="19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7.399999999999999" x14ac:dyDescent="0.3">
      <c r="A32" s="27">
        <v>1041630266</v>
      </c>
      <c r="B32" s="27" t="s">
        <v>34</v>
      </c>
      <c r="C32" s="28" t="s">
        <v>37</v>
      </c>
      <c r="D32" s="32">
        <v>38100</v>
      </c>
      <c r="E32" s="2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0"/>
      <c r="U32" s="13">
        <v>0</v>
      </c>
      <c r="V32" s="19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7.399999999999999" x14ac:dyDescent="0.3">
      <c r="A33" s="27">
        <v>1025645156</v>
      </c>
      <c r="B33" s="27" t="s">
        <v>39</v>
      </c>
      <c r="C33" s="28" t="s">
        <v>40</v>
      </c>
      <c r="D33" s="32">
        <v>38581</v>
      </c>
      <c r="E33" s="23">
        <v>90000</v>
      </c>
      <c r="F33" s="14">
        <v>90000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0"/>
      <c r="U33" s="13">
        <f>SUM(E33:T33)</f>
        <v>180000</v>
      </c>
      <c r="V33" s="19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7.399999999999999" x14ac:dyDescent="0.3">
      <c r="A34" s="27">
        <v>1017228145</v>
      </c>
      <c r="B34" s="27" t="s">
        <v>41</v>
      </c>
      <c r="C34" s="28" t="s">
        <v>42</v>
      </c>
      <c r="D34" s="32"/>
      <c r="E34" s="2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0"/>
      <c r="U34" s="13">
        <f>SUM(E34:T34)</f>
        <v>0</v>
      </c>
      <c r="V34" s="1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7.399999999999999" x14ac:dyDescent="0.3">
      <c r="A35" s="29">
        <v>1035975509</v>
      </c>
      <c r="B35" s="29" t="s">
        <v>760</v>
      </c>
      <c r="C35" s="30" t="s">
        <v>761</v>
      </c>
      <c r="D35" s="32">
        <v>39255</v>
      </c>
      <c r="E35" s="2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1"/>
      <c r="U35" s="13">
        <v>0</v>
      </c>
      <c r="V35" s="19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7.399999999999999" x14ac:dyDescent="0.3">
      <c r="A36" s="31">
        <v>1067961110</v>
      </c>
      <c r="B36" s="31" t="s">
        <v>775</v>
      </c>
      <c r="C36" s="30" t="s">
        <v>776</v>
      </c>
      <c r="D36" s="32">
        <v>36011</v>
      </c>
      <c r="E36" s="2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3"/>
      <c r="U36" s="13">
        <v>0</v>
      </c>
      <c r="V36" s="19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7.399999999999999" x14ac:dyDescent="0.3">
      <c r="A37" s="29">
        <v>1007367802</v>
      </c>
      <c r="B37" s="29" t="s">
        <v>675</v>
      </c>
      <c r="C37" s="30" t="s">
        <v>676</v>
      </c>
      <c r="D37" s="32"/>
      <c r="E37" s="2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1"/>
      <c r="U37" s="13">
        <f>SUM(E37:T37)</f>
        <v>0</v>
      </c>
      <c r="V37" s="19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7.399999999999999" x14ac:dyDescent="0.3">
      <c r="A38" s="27">
        <v>43607099</v>
      </c>
      <c r="B38" s="27" t="s">
        <v>43</v>
      </c>
      <c r="C38" s="28" t="s">
        <v>44</v>
      </c>
      <c r="D38" s="32"/>
      <c r="E38" s="2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0"/>
      <c r="U38" s="13">
        <f>SUM(E38:T38)</f>
        <v>0</v>
      </c>
      <c r="V38" s="19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7.399999999999999" x14ac:dyDescent="0.3">
      <c r="A39" s="27">
        <v>1080041257</v>
      </c>
      <c r="B39" s="27" t="s">
        <v>43</v>
      </c>
      <c r="C39" s="28" t="s">
        <v>45</v>
      </c>
      <c r="D39" s="32"/>
      <c r="E39" s="2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0"/>
      <c r="U39" s="13">
        <f>SUM(E39:T39)</f>
        <v>0</v>
      </c>
      <c r="V39" s="19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7.399999999999999" x14ac:dyDescent="0.3">
      <c r="A40" s="27">
        <v>1193529876</v>
      </c>
      <c r="B40" s="27" t="s">
        <v>46</v>
      </c>
      <c r="C40" s="28" t="s">
        <v>47</v>
      </c>
      <c r="D40" s="32"/>
      <c r="E40" s="2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0"/>
      <c r="U40" s="13">
        <f>SUM(E40:T40)</f>
        <v>0</v>
      </c>
      <c r="V40" s="19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7.399999999999999" x14ac:dyDescent="0.3">
      <c r="A41" s="27">
        <v>1000099681</v>
      </c>
      <c r="B41" s="27" t="s">
        <v>48</v>
      </c>
      <c r="C41" s="28" t="s">
        <v>49</v>
      </c>
      <c r="D41" s="32">
        <v>46008</v>
      </c>
      <c r="E41" s="2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0"/>
      <c r="U41" s="13">
        <v>0</v>
      </c>
      <c r="V41" s="19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7.399999999999999" x14ac:dyDescent="0.3">
      <c r="A42" s="27">
        <v>1152709519</v>
      </c>
      <c r="B42" s="27" t="s">
        <v>50</v>
      </c>
      <c r="C42" s="28" t="s">
        <v>51</v>
      </c>
      <c r="D42" s="3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0"/>
      <c r="U42" s="13">
        <f>SUM(E42:T42)</f>
        <v>0</v>
      </c>
      <c r="V42" s="19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7.399999999999999" x14ac:dyDescent="0.3">
      <c r="A43" s="31">
        <v>1020494236</v>
      </c>
      <c r="B43" s="27" t="s">
        <v>52</v>
      </c>
      <c r="C43" s="28" t="s">
        <v>53</v>
      </c>
      <c r="D43" s="32">
        <v>43624</v>
      </c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0"/>
      <c r="U43" s="13">
        <v>0</v>
      </c>
      <c r="V43" s="19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7.399999999999999" x14ac:dyDescent="0.3">
      <c r="A44" s="27">
        <v>1119181802</v>
      </c>
      <c r="B44" s="27" t="s">
        <v>54</v>
      </c>
      <c r="C44" s="28" t="s">
        <v>55</v>
      </c>
      <c r="D44" s="3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0"/>
      <c r="U44" s="13">
        <f t="shared" ref="U44:U51" si="2">SUM(E44:T44)</f>
        <v>0</v>
      </c>
      <c r="V44" s="19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7.399999999999999" x14ac:dyDescent="0.3">
      <c r="A45" s="27">
        <v>1096210900</v>
      </c>
      <c r="B45" s="27" t="s">
        <v>56</v>
      </c>
      <c r="C45" s="28" t="s">
        <v>57</v>
      </c>
      <c r="D45" s="3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0"/>
      <c r="U45" s="13">
        <f t="shared" si="2"/>
        <v>0</v>
      </c>
      <c r="V45" s="19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7.399999999999999" x14ac:dyDescent="0.3">
      <c r="A46" s="27">
        <v>1040508991</v>
      </c>
      <c r="B46" s="27" t="s">
        <v>58</v>
      </c>
      <c r="C46" s="28" t="s">
        <v>59</v>
      </c>
      <c r="D46" s="32"/>
      <c r="E46" s="2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0"/>
      <c r="U46" s="13">
        <f t="shared" si="2"/>
        <v>0</v>
      </c>
      <c r="V46" s="1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7.399999999999999" x14ac:dyDescent="0.3">
      <c r="A47" s="27">
        <v>1118559091</v>
      </c>
      <c r="B47" s="27" t="s">
        <v>60</v>
      </c>
      <c r="C47" s="28" t="s">
        <v>61</v>
      </c>
      <c r="D47" s="32">
        <v>34585</v>
      </c>
      <c r="E47" s="23">
        <v>100000</v>
      </c>
      <c r="F47" s="14">
        <v>100000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0"/>
      <c r="U47" s="13">
        <f t="shared" si="2"/>
        <v>200000</v>
      </c>
      <c r="V47" s="19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7.399999999999999" x14ac:dyDescent="0.3">
      <c r="A48" s="27">
        <v>1003232925</v>
      </c>
      <c r="B48" s="27" t="s">
        <v>62</v>
      </c>
      <c r="C48" s="28" t="s">
        <v>63</v>
      </c>
      <c r="D48" s="32"/>
      <c r="E48" s="2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0"/>
      <c r="U48" s="13">
        <f t="shared" si="2"/>
        <v>0</v>
      </c>
      <c r="V48" s="19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7.399999999999999" x14ac:dyDescent="0.3">
      <c r="A49" s="27">
        <v>1001362462</v>
      </c>
      <c r="B49" s="27" t="s">
        <v>64</v>
      </c>
      <c r="C49" s="28" t="s">
        <v>65</v>
      </c>
      <c r="D49" s="32"/>
      <c r="E49" s="2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0"/>
      <c r="U49" s="13">
        <f t="shared" si="2"/>
        <v>0</v>
      </c>
      <c r="V49" s="19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7.399999999999999" x14ac:dyDescent="0.3">
      <c r="A50" s="27">
        <v>1000634654</v>
      </c>
      <c r="B50" s="27" t="s">
        <v>66</v>
      </c>
      <c r="C50" s="28" t="s">
        <v>67</v>
      </c>
      <c r="D50" s="32"/>
      <c r="E50" s="2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0"/>
      <c r="U50" s="13">
        <f t="shared" si="2"/>
        <v>0</v>
      </c>
      <c r="V50" s="19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7.399999999999999" x14ac:dyDescent="0.3">
      <c r="A51" s="29">
        <v>1033486584</v>
      </c>
      <c r="B51" s="29" t="s">
        <v>66</v>
      </c>
      <c r="C51" s="30" t="s">
        <v>770</v>
      </c>
      <c r="D51" s="32"/>
      <c r="E51" s="2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1"/>
      <c r="U51" s="13">
        <f t="shared" si="2"/>
        <v>0</v>
      </c>
      <c r="V51" s="19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7.399999999999999" x14ac:dyDescent="0.3">
      <c r="A52" s="29">
        <v>1193122216</v>
      </c>
      <c r="B52" s="29" t="s">
        <v>66</v>
      </c>
      <c r="C52" s="30" t="s">
        <v>768</v>
      </c>
      <c r="D52" s="32">
        <v>36946</v>
      </c>
      <c r="E52" s="2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1"/>
      <c r="U52" s="13">
        <v>0</v>
      </c>
      <c r="V52" s="19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7.399999999999999" x14ac:dyDescent="0.3">
      <c r="A53" s="27">
        <v>1017242907</v>
      </c>
      <c r="B53" s="27" t="s">
        <v>68</v>
      </c>
      <c r="C53" s="28" t="s">
        <v>69</v>
      </c>
      <c r="D53" s="32"/>
      <c r="E53" s="2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0"/>
      <c r="U53" s="13">
        <f>SUM(E53:T53)</f>
        <v>0</v>
      </c>
      <c r="V53" s="19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7.399999999999999" x14ac:dyDescent="0.3">
      <c r="A54" s="27">
        <v>1047498319</v>
      </c>
      <c r="B54" s="27" t="s">
        <v>70</v>
      </c>
      <c r="C54" s="28" t="s">
        <v>71</v>
      </c>
      <c r="D54" s="32"/>
      <c r="E54" s="2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0"/>
      <c r="U54" s="13">
        <f>SUM(E54:T54)</f>
        <v>0</v>
      </c>
      <c r="V54" s="19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7.399999999999999" x14ac:dyDescent="0.3">
      <c r="A55" s="27">
        <v>1017203962</v>
      </c>
      <c r="B55" s="27" t="s">
        <v>72</v>
      </c>
      <c r="C55" s="28" t="s">
        <v>73</v>
      </c>
      <c r="D55" s="32"/>
      <c r="E55" s="2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0"/>
      <c r="U55" s="13">
        <f>SUM(E55:T55)</f>
        <v>0</v>
      </c>
      <c r="V55" s="19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7.399999999999999" x14ac:dyDescent="0.3">
      <c r="A56" s="27">
        <v>1033177575</v>
      </c>
      <c r="B56" s="27" t="s">
        <v>72</v>
      </c>
      <c r="C56" s="28" t="s">
        <v>75</v>
      </c>
      <c r="D56" s="32">
        <v>38349</v>
      </c>
      <c r="E56" s="2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0"/>
      <c r="U56" s="13">
        <v>0</v>
      </c>
      <c r="V56" s="19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7.399999999999999" x14ac:dyDescent="0.3">
      <c r="A57" s="31">
        <v>1017217545</v>
      </c>
      <c r="B57" s="27" t="s">
        <v>72</v>
      </c>
      <c r="C57" s="28" t="s">
        <v>74</v>
      </c>
      <c r="D57" s="32">
        <v>34411</v>
      </c>
      <c r="E57" s="23">
        <v>80000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0"/>
      <c r="U57" s="13">
        <f>SUM(E57:T57)</f>
        <v>80000</v>
      </c>
      <c r="V57" s="19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7.399999999999999" x14ac:dyDescent="0.3">
      <c r="A58" s="29">
        <v>1000295495</v>
      </c>
      <c r="B58" s="29" t="s">
        <v>661</v>
      </c>
      <c r="C58" s="30" t="s">
        <v>662</v>
      </c>
      <c r="D58" s="32"/>
      <c r="E58" s="2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1"/>
      <c r="U58" s="13">
        <f>SUM(E58:T58)</f>
        <v>0</v>
      </c>
      <c r="V58" s="19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7.399999999999999" x14ac:dyDescent="0.3">
      <c r="A59" s="27">
        <v>1017184709</v>
      </c>
      <c r="B59" s="27" t="s">
        <v>76</v>
      </c>
      <c r="C59" s="28" t="s">
        <v>77</v>
      </c>
      <c r="D59" s="32">
        <v>33011</v>
      </c>
      <c r="E59" s="2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0"/>
      <c r="U59" s="13">
        <v>0</v>
      </c>
      <c r="V59" s="19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7.399999999999999" x14ac:dyDescent="0.3">
      <c r="A60" s="27">
        <v>1020400543</v>
      </c>
      <c r="B60" s="27" t="s">
        <v>78</v>
      </c>
      <c r="C60" s="28" t="s">
        <v>79</v>
      </c>
      <c r="D60" s="32">
        <v>31618</v>
      </c>
      <c r="E60" s="23">
        <v>360000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0"/>
      <c r="U60" s="13">
        <f>SUM(E60:T60)</f>
        <v>360000</v>
      </c>
      <c r="V60" s="19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7.399999999999999" x14ac:dyDescent="0.3">
      <c r="A61" s="29">
        <v>1037638101</v>
      </c>
      <c r="B61" s="29" t="s">
        <v>689</v>
      </c>
      <c r="C61" s="30" t="s">
        <v>690</v>
      </c>
      <c r="D61" s="32"/>
      <c r="E61" s="2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1"/>
      <c r="U61" s="13">
        <f>SUM(E61:T61)</f>
        <v>0</v>
      </c>
      <c r="V61" s="19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7.399999999999999" x14ac:dyDescent="0.3">
      <c r="A62" s="27">
        <v>1073697668</v>
      </c>
      <c r="B62" s="27" t="s">
        <v>80</v>
      </c>
      <c r="C62" s="28" t="s">
        <v>81</v>
      </c>
      <c r="D62" s="32">
        <v>34014</v>
      </c>
      <c r="E62" s="23">
        <v>270000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0"/>
      <c r="U62" s="13">
        <f>SUM(E62:T62)</f>
        <v>270000</v>
      </c>
      <c r="V62" s="19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7.399999999999999" x14ac:dyDescent="0.3">
      <c r="A63" s="31">
        <v>32258452</v>
      </c>
      <c r="B63" s="31" t="s">
        <v>786</v>
      </c>
      <c r="C63" s="30" t="s">
        <v>785</v>
      </c>
      <c r="D63" s="32">
        <v>30371</v>
      </c>
      <c r="E63" s="2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3"/>
      <c r="U63" s="13">
        <v>0</v>
      </c>
      <c r="V63" s="19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7.399999999999999" x14ac:dyDescent="0.3">
      <c r="A64" s="27">
        <v>1115070893</v>
      </c>
      <c r="B64" s="27" t="s">
        <v>82</v>
      </c>
      <c r="C64" s="28" t="s">
        <v>83</v>
      </c>
      <c r="D64" s="32">
        <v>32558</v>
      </c>
      <c r="E64" s="2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0"/>
      <c r="U64" s="13">
        <v>0</v>
      </c>
      <c r="V64" s="19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7.399999999999999" x14ac:dyDescent="0.3">
      <c r="A65" s="27">
        <v>1013457414</v>
      </c>
      <c r="B65" s="27" t="s">
        <v>84</v>
      </c>
      <c r="C65" s="28" t="s">
        <v>85</v>
      </c>
      <c r="D65" s="32">
        <v>38363</v>
      </c>
      <c r="E65" s="2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0"/>
      <c r="U65" s="13">
        <v>0</v>
      </c>
      <c r="V65" s="19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7.399999999999999" x14ac:dyDescent="0.3">
      <c r="A66" s="27">
        <v>1037631907</v>
      </c>
      <c r="B66" s="27" t="s">
        <v>86</v>
      </c>
      <c r="C66" s="28" t="s">
        <v>87</v>
      </c>
      <c r="D66" s="32"/>
      <c r="E66" s="2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0"/>
      <c r="U66" s="13">
        <f t="shared" ref="U66:U77" si="3">SUM(E66:T66)</f>
        <v>0</v>
      </c>
      <c r="V66" s="19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7.399999999999999" x14ac:dyDescent="0.3">
      <c r="A67" s="31">
        <v>1015473837</v>
      </c>
      <c r="B67" s="27" t="s">
        <v>88</v>
      </c>
      <c r="C67" s="28" t="s">
        <v>89</v>
      </c>
      <c r="D67" s="32"/>
      <c r="E67" s="2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0"/>
      <c r="U67" s="13">
        <f t="shared" si="3"/>
        <v>0</v>
      </c>
      <c r="V67" s="19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7.399999999999999" x14ac:dyDescent="0.3">
      <c r="A68" s="29">
        <v>1039472359</v>
      </c>
      <c r="B68" s="29" t="s">
        <v>724</v>
      </c>
      <c r="C68" s="30" t="s">
        <v>725</v>
      </c>
      <c r="D68" s="32"/>
      <c r="E68" s="2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1"/>
      <c r="U68" s="13">
        <f t="shared" si="3"/>
        <v>0</v>
      </c>
      <c r="V68" s="19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7.399999999999999" x14ac:dyDescent="0.3">
      <c r="A69" s="27">
        <v>1128419525</v>
      </c>
      <c r="B69" s="27" t="s">
        <v>90</v>
      </c>
      <c r="C69" s="28" t="s">
        <v>74</v>
      </c>
      <c r="D69" s="32"/>
      <c r="E69" s="2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0"/>
      <c r="U69" s="13">
        <f t="shared" si="3"/>
        <v>0</v>
      </c>
      <c r="V69" s="19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7.399999999999999" x14ac:dyDescent="0.3">
      <c r="A70" s="27">
        <v>1006663496</v>
      </c>
      <c r="B70" s="27" t="s">
        <v>91</v>
      </c>
      <c r="C70" s="28" t="s">
        <v>92</v>
      </c>
      <c r="D70" s="32"/>
      <c r="E70" s="2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0"/>
      <c r="U70" s="13">
        <f t="shared" si="3"/>
        <v>0</v>
      </c>
      <c r="V70" s="19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7.399999999999999" x14ac:dyDescent="0.3">
      <c r="A71" s="27">
        <v>1007040914</v>
      </c>
      <c r="B71" s="27" t="s">
        <v>93</v>
      </c>
      <c r="C71" s="28" t="s">
        <v>94</v>
      </c>
      <c r="D71" s="32"/>
      <c r="E71" s="2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0"/>
      <c r="U71" s="13">
        <f t="shared" si="3"/>
        <v>0</v>
      </c>
      <c r="V71" s="19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7.399999999999999" x14ac:dyDescent="0.3">
      <c r="A72" s="27">
        <v>1015067811</v>
      </c>
      <c r="B72" s="27" t="s">
        <v>93</v>
      </c>
      <c r="C72" s="28" t="s">
        <v>95</v>
      </c>
      <c r="D72" s="32"/>
      <c r="E72" s="2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0"/>
      <c r="U72" s="13">
        <f t="shared" si="3"/>
        <v>0</v>
      </c>
      <c r="V72" s="19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7.399999999999999" x14ac:dyDescent="0.3">
      <c r="A73" s="27">
        <v>1001218950</v>
      </c>
      <c r="B73" s="27" t="s">
        <v>96</v>
      </c>
      <c r="C73" s="28" t="s">
        <v>98</v>
      </c>
      <c r="D73" s="32"/>
      <c r="E73" s="2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0"/>
      <c r="U73" s="13">
        <f t="shared" si="3"/>
        <v>0</v>
      </c>
      <c r="V73" s="19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7.399999999999999" x14ac:dyDescent="0.3">
      <c r="A74" s="27">
        <v>1002809798</v>
      </c>
      <c r="B74" s="27" t="s">
        <v>96</v>
      </c>
      <c r="C74" s="28" t="s">
        <v>99</v>
      </c>
      <c r="D74" s="32"/>
      <c r="E74" s="2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0"/>
      <c r="U74" s="13">
        <f t="shared" si="3"/>
        <v>0</v>
      </c>
      <c r="V74" s="19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7.399999999999999" x14ac:dyDescent="0.3">
      <c r="A75" s="27">
        <v>1023592082</v>
      </c>
      <c r="B75" s="27" t="s">
        <v>96</v>
      </c>
      <c r="C75" s="28" t="s">
        <v>100</v>
      </c>
      <c r="D75" s="32"/>
      <c r="E75" s="2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0"/>
      <c r="U75" s="13">
        <f t="shared" si="3"/>
        <v>0</v>
      </c>
      <c r="V75" s="19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7.399999999999999" x14ac:dyDescent="0.3">
      <c r="A76" s="27">
        <v>1035877140</v>
      </c>
      <c r="B76" s="27" t="s">
        <v>96</v>
      </c>
      <c r="C76" s="28" t="s">
        <v>101</v>
      </c>
      <c r="D76" s="32"/>
      <c r="E76" s="2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0"/>
      <c r="U76" s="13">
        <f t="shared" si="3"/>
        <v>0</v>
      </c>
      <c r="V76" s="19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s="21" customFormat="1" ht="18" x14ac:dyDescent="0.3">
      <c r="A77" s="27">
        <v>1146437642</v>
      </c>
      <c r="B77" s="27" t="s">
        <v>96</v>
      </c>
      <c r="C77" s="28" t="s">
        <v>102</v>
      </c>
      <c r="D77" s="32"/>
      <c r="E77" s="2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0"/>
      <c r="U77" s="13">
        <f t="shared" si="3"/>
        <v>0</v>
      </c>
      <c r="V77" s="19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</row>
    <row r="78" spans="1:38" ht="17.399999999999999" x14ac:dyDescent="0.3">
      <c r="A78" s="27">
        <v>1001140199</v>
      </c>
      <c r="B78" s="27" t="s">
        <v>96</v>
      </c>
      <c r="C78" s="28" t="s">
        <v>97</v>
      </c>
      <c r="D78" s="32">
        <v>37161</v>
      </c>
      <c r="E78" s="2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0"/>
      <c r="U78" s="13">
        <v>0</v>
      </c>
      <c r="V78" s="19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7.399999999999999" x14ac:dyDescent="0.3">
      <c r="A79" s="27">
        <v>1037665360</v>
      </c>
      <c r="B79" s="27" t="s">
        <v>103</v>
      </c>
      <c r="C79" s="28" t="s">
        <v>104</v>
      </c>
      <c r="D79" s="32"/>
      <c r="E79" s="2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0"/>
      <c r="U79" s="13">
        <f t="shared" ref="U79:U84" si="4">SUM(E79:T79)</f>
        <v>0</v>
      </c>
      <c r="V79" s="19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7.399999999999999" x14ac:dyDescent="0.3">
      <c r="A80" s="31">
        <v>1037633650</v>
      </c>
      <c r="B80" s="27" t="s">
        <v>105</v>
      </c>
      <c r="C80" s="28" t="s">
        <v>106</v>
      </c>
      <c r="D80" s="32"/>
      <c r="E80" s="2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0"/>
      <c r="U80" s="13">
        <f t="shared" si="4"/>
        <v>0</v>
      </c>
      <c r="V80" s="19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7.399999999999999" x14ac:dyDescent="0.3">
      <c r="A81" s="27">
        <v>1152710976</v>
      </c>
      <c r="B81" s="27" t="s">
        <v>107</v>
      </c>
      <c r="C81" s="28" t="s">
        <v>108</v>
      </c>
      <c r="D81" s="32"/>
      <c r="E81" s="2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0"/>
      <c r="U81" s="13">
        <f t="shared" si="4"/>
        <v>0</v>
      </c>
      <c r="V81" s="19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7.399999999999999" x14ac:dyDescent="0.3">
      <c r="A82" s="27">
        <v>1032261143</v>
      </c>
      <c r="B82" s="27" t="s">
        <v>109</v>
      </c>
      <c r="C82" s="28" t="s">
        <v>110</v>
      </c>
      <c r="D82" s="32"/>
      <c r="E82" s="2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0"/>
      <c r="U82" s="13">
        <f t="shared" si="4"/>
        <v>0</v>
      </c>
      <c r="V82" s="19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7.399999999999999" x14ac:dyDescent="0.3">
      <c r="A83" s="27">
        <v>1001590413</v>
      </c>
      <c r="B83" s="27" t="s">
        <v>111</v>
      </c>
      <c r="C83" s="28" t="s">
        <v>112</v>
      </c>
      <c r="D83" s="32"/>
      <c r="E83" s="2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0"/>
      <c r="U83" s="13">
        <f t="shared" si="4"/>
        <v>0</v>
      </c>
      <c r="V83" s="19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7.399999999999999" x14ac:dyDescent="0.3">
      <c r="A84" s="29">
        <v>1017130302</v>
      </c>
      <c r="B84" s="29" t="s">
        <v>746</v>
      </c>
      <c r="C84" s="30" t="s">
        <v>747</v>
      </c>
      <c r="D84" s="32"/>
      <c r="E84" s="2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1"/>
      <c r="U84" s="13">
        <f t="shared" si="4"/>
        <v>0</v>
      </c>
      <c r="V84" s="19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7.399999999999999" x14ac:dyDescent="0.3">
      <c r="A85" s="27">
        <v>1017206880</v>
      </c>
      <c r="B85" s="27" t="s">
        <v>113</v>
      </c>
      <c r="C85" s="28" t="s">
        <v>114</v>
      </c>
      <c r="D85" s="32">
        <v>33940</v>
      </c>
      <c r="E85" s="2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0"/>
      <c r="U85" s="13">
        <v>0</v>
      </c>
      <c r="V85" s="19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7.399999999999999" x14ac:dyDescent="0.3">
      <c r="A86" s="27">
        <v>1001577700</v>
      </c>
      <c r="B86" s="27" t="s">
        <v>115</v>
      </c>
      <c r="C86" s="28" t="s">
        <v>116</v>
      </c>
      <c r="D86" s="32"/>
      <c r="E86" s="2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0"/>
      <c r="U86" s="13">
        <f t="shared" ref="U86:U92" si="5">SUM(E86:T86)</f>
        <v>0</v>
      </c>
      <c r="V86" s="19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7.399999999999999" x14ac:dyDescent="0.3">
      <c r="A87" s="27">
        <v>1015067504</v>
      </c>
      <c r="B87" s="27" t="s">
        <v>117</v>
      </c>
      <c r="C87" s="28" t="s">
        <v>118</v>
      </c>
      <c r="D87" s="32"/>
      <c r="E87" s="2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0"/>
      <c r="U87" s="13">
        <f t="shared" si="5"/>
        <v>0</v>
      </c>
      <c r="V87" s="19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7.399999999999999" x14ac:dyDescent="0.3">
      <c r="A88" s="27">
        <v>1000414788</v>
      </c>
      <c r="B88" s="27" t="s">
        <v>119</v>
      </c>
      <c r="C88" s="28" t="s">
        <v>120</v>
      </c>
      <c r="D88" s="32"/>
      <c r="E88" s="2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0"/>
      <c r="U88" s="13">
        <f t="shared" si="5"/>
        <v>0</v>
      </c>
      <c r="V88" s="19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7.399999999999999" x14ac:dyDescent="0.3">
      <c r="A89" s="27">
        <v>1033487273</v>
      </c>
      <c r="B89" s="27" t="s">
        <v>119</v>
      </c>
      <c r="C89" s="28" t="s">
        <v>121</v>
      </c>
      <c r="D89" s="32"/>
      <c r="E89" s="2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0"/>
      <c r="U89" s="13">
        <f t="shared" si="5"/>
        <v>0</v>
      </c>
      <c r="V89" s="19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7.399999999999999" x14ac:dyDescent="0.3">
      <c r="A90" s="27">
        <v>1045427964</v>
      </c>
      <c r="B90" s="27" t="s">
        <v>122</v>
      </c>
      <c r="C90" s="28" t="s">
        <v>123</v>
      </c>
      <c r="D90" s="32"/>
      <c r="E90" s="2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0"/>
      <c r="U90" s="13">
        <f t="shared" si="5"/>
        <v>0</v>
      </c>
      <c r="V90" s="19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7.399999999999999" x14ac:dyDescent="0.3">
      <c r="A91" s="27">
        <v>1194405964</v>
      </c>
      <c r="B91" s="27" t="s">
        <v>124</v>
      </c>
      <c r="C91" s="28" t="s">
        <v>125</v>
      </c>
      <c r="D91" s="32"/>
      <c r="E91" s="23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0"/>
      <c r="U91" s="13">
        <f t="shared" si="5"/>
        <v>0</v>
      </c>
      <c r="V91" s="19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7.399999999999999" x14ac:dyDescent="0.3">
      <c r="A92" s="27">
        <v>1018245174</v>
      </c>
      <c r="B92" s="27" t="s">
        <v>126</v>
      </c>
      <c r="C92" s="28" t="s">
        <v>127</v>
      </c>
      <c r="D92" s="32"/>
      <c r="E92" s="23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0"/>
      <c r="U92" s="13">
        <f t="shared" si="5"/>
        <v>0</v>
      </c>
      <c r="V92" s="19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7.399999999999999" x14ac:dyDescent="0.3">
      <c r="A93" s="27">
        <v>1007872887</v>
      </c>
      <c r="B93" s="27" t="s">
        <v>128</v>
      </c>
      <c r="C93" s="28" t="s">
        <v>129</v>
      </c>
      <c r="D93" s="32">
        <v>37494</v>
      </c>
      <c r="E93" s="23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0"/>
      <c r="U93" s="13">
        <v>0</v>
      </c>
      <c r="V93" s="19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7.399999999999999" x14ac:dyDescent="0.3">
      <c r="A94" s="27">
        <v>1152470460</v>
      </c>
      <c r="B94" s="27" t="s">
        <v>130</v>
      </c>
      <c r="C94" s="28" t="s">
        <v>132</v>
      </c>
      <c r="D94" s="32"/>
      <c r="E94" s="23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0"/>
      <c r="U94" s="13">
        <f>SUM(E94:T94)</f>
        <v>0</v>
      </c>
      <c r="V94" s="19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7.399999999999999" x14ac:dyDescent="0.3">
      <c r="A95" s="27">
        <v>1152438228</v>
      </c>
      <c r="B95" s="27" t="s">
        <v>130</v>
      </c>
      <c r="C95" s="28" t="s">
        <v>131</v>
      </c>
      <c r="D95" s="32">
        <v>33381</v>
      </c>
      <c r="E95" s="23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0"/>
      <c r="U95" s="13">
        <v>0</v>
      </c>
      <c r="V95" s="19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7.399999999999999" x14ac:dyDescent="0.3">
      <c r="A96" s="29">
        <v>1023625941</v>
      </c>
      <c r="B96" s="29" t="s">
        <v>750</v>
      </c>
      <c r="C96" s="30" t="s">
        <v>751</v>
      </c>
      <c r="D96" s="32"/>
      <c r="E96" s="2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1"/>
      <c r="U96" s="13">
        <f t="shared" ref="U96:U102" si="6">SUM(E96:T96)</f>
        <v>0</v>
      </c>
      <c r="V96" s="19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7.399999999999999" x14ac:dyDescent="0.3">
      <c r="A97" s="29">
        <v>43209905</v>
      </c>
      <c r="B97" s="29" t="s">
        <v>683</v>
      </c>
      <c r="C97" s="30" t="s">
        <v>684</v>
      </c>
      <c r="D97" s="32"/>
      <c r="E97" s="2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1"/>
      <c r="U97" s="13">
        <f t="shared" si="6"/>
        <v>0</v>
      </c>
      <c r="V97" s="19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7.399999999999999" x14ac:dyDescent="0.3">
      <c r="A98" s="27">
        <v>1001015706</v>
      </c>
      <c r="B98" s="27" t="s">
        <v>133</v>
      </c>
      <c r="C98" s="28" t="s">
        <v>134</v>
      </c>
      <c r="D98" s="32"/>
      <c r="E98" s="2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0"/>
      <c r="U98" s="13">
        <f t="shared" si="6"/>
        <v>0</v>
      </c>
      <c r="V98" s="19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7.399999999999999" x14ac:dyDescent="0.3">
      <c r="A99" s="31">
        <v>1020469042</v>
      </c>
      <c r="B99" s="27" t="s">
        <v>135</v>
      </c>
      <c r="C99" s="28" t="s">
        <v>136</v>
      </c>
      <c r="D99" s="32">
        <v>41443</v>
      </c>
      <c r="E99" s="23">
        <v>250000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0"/>
      <c r="U99" s="13">
        <f t="shared" si="6"/>
        <v>250000</v>
      </c>
      <c r="V99" s="19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7.399999999999999" x14ac:dyDescent="0.3">
      <c r="A100" s="31">
        <v>1007242318</v>
      </c>
      <c r="B100" s="27" t="s">
        <v>137</v>
      </c>
      <c r="C100" s="28" t="s">
        <v>138</v>
      </c>
      <c r="D100" s="32"/>
      <c r="E100" s="2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0"/>
      <c r="U100" s="13">
        <f t="shared" si="6"/>
        <v>0</v>
      </c>
      <c r="V100" s="19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s="21" customFormat="1" ht="18" x14ac:dyDescent="0.3">
      <c r="A101" s="29">
        <v>1020430557</v>
      </c>
      <c r="B101" s="29" t="s">
        <v>766</v>
      </c>
      <c r="C101" s="30" t="s">
        <v>767</v>
      </c>
      <c r="D101" s="32"/>
      <c r="E101" s="2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1"/>
      <c r="U101" s="13">
        <f t="shared" si="6"/>
        <v>0</v>
      </c>
      <c r="V101" s="19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</row>
    <row r="102" spans="1:38" ht="17.399999999999999" x14ac:dyDescent="0.3">
      <c r="A102" s="27">
        <v>1001972463</v>
      </c>
      <c r="B102" s="27" t="s">
        <v>140</v>
      </c>
      <c r="C102" s="28" t="s">
        <v>141</v>
      </c>
      <c r="D102" s="32"/>
      <c r="E102" s="2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0"/>
      <c r="U102" s="13">
        <f t="shared" si="6"/>
        <v>0</v>
      </c>
      <c r="V102" s="19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7.399999999999999" x14ac:dyDescent="0.3">
      <c r="A103" s="29">
        <v>1038803821</v>
      </c>
      <c r="B103" s="29" t="s">
        <v>643</v>
      </c>
      <c r="C103" s="30" t="s">
        <v>644</v>
      </c>
      <c r="D103" s="32">
        <v>39260</v>
      </c>
      <c r="E103" s="2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1"/>
      <c r="U103" s="13">
        <v>0</v>
      </c>
      <c r="V103" s="19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7.399999999999999" x14ac:dyDescent="0.3">
      <c r="A104" s="27">
        <v>1001463828</v>
      </c>
      <c r="B104" s="27" t="s">
        <v>142</v>
      </c>
      <c r="C104" s="28" t="s">
        <v>143</v>
      </c>
      <c r="D104" s="32"/>
      <c r="E104" s="2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0"/>
      <c r="U104" s="13">
        <f>SUM(E104:T104)</f>
        <v>0</v>
      </c>
      <c r="V104" s="19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7.399999999999999" x14ac:dyDescent="0.3">
      <c r="A105" s="31">
        <v>1013338993</v>
      </c>
      <c r="B105" s="31" t="s">
        <v>788</v>
      </c>
      <c r="C105" s="30" t="s">
        <v>787</v>
      </c>
      <c r="D105" s="32">
        <v>38484</v>
      </c>
      <c r="E105" s="2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3"/>
      <c r="U105" s="13">
        <v>0</v>
      </c>
      <c r="V105" s="19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7.399999999999999" x14ac:dyDescent="0.3">
      <c r="A106" s="27">
        <v>1000087505</v>
      </c>
      <c r="B106" s="27" t="s">
        <v>144</v>
      </c>
      <c r="C106" s="28" t="s">
        <v>145</v>
      </c>
      <c r="D106" s="32"/>
      <c r="E106" s="23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0"/>
      <c r="U106" s="13">
        <f>SUM(E106:T106)</f>
        <v>0</v>
      </c>
      <c r="V106" s="19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7.399999999999999" x14ac:dyDescent="0.3">
      <c r="A107" s="27">
        <v>1034918503</v>
      </c>
      <c r="B107" s="27" t="s">
        <v>146</v>
      </c>
      <c r="C107" s="28" t="s">
        <v>147</v>
      </c>
      <c r="D107" s="32">
        <v>38744</v>
      </c>
      <c r="E107" s="23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0"/>
      <c r="U107" s="13">
        <v>0</v>
      </c>
      <c r="V107" s="19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s="21" customFormat="1" ht="18" x14ac:dyDescent="0.3">
      <c r="A108" s="31">
        <v>1020416205</v>
      </c>
      <c r="B108" s="31" t="s">
        <v>784</v>
      </c>
      <c r="C108" s="30" t="s">
        <v>783</v>
      </c>
      <c r="D108" s="32">
        <v>38981</v>
      </c>
      <c r="E108" s="23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3"/>
      <c r="U108" s="13">
        <v>0</v>
      </c>
      <c r="V108" s="19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</row>
    <row r="109" spans="1:38" ht="17.399999999999999" x14ac:dyDescent="0.3">
      <c r="A109" s="27">
        <v>1003034922</v>
      </c>
      <c r="B109" s="27" t="s">
        <v>148</v>
      </c>
      <c r="C109" s="28" t="s">
        <v>149</v>
      </c>
      <c r="D109" s="32"/>
      <c r="E109" s="23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0"/>
      <c r="U109" s="13">
        <f>SUM(E109:T109)</f>
        <v>0</v>
      </c>
      <c r="V109" s="19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7.399999999999999" x14ac:dyDescent="0.3">
      <c r="A110" s="29">
        <v>1020107306</v>
      </c>
      <c r="B110" s="29" t="s">
        <v>698</v>
      </c>
      <c r="C110" s="30" t="s">
        <v>697</v>
      </c>
      <c r="D110" s="32"/>
      <c r="E110" s="23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1"/>
      <c r="U110" s="13">
        <f>SUM(E110:T110)</f>
        <v>0</v>
      </c>
      <c r="V110" s="19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7.399999999999999" x14ac:dyDescent="0.3">
      <c r="A111" s="29">
        <v>1006947353</v>
      </c>
      <c r="B111" s="29" t="s">
        <v>736</v>
      </c>
      <c r="C111" s="30" t="s">
        <v>737</v>
      </c>
      <c r="D111" s="32"/>
      <c r="E111" s="2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1"/>
      <c r="U111" s="13">
        <f>SUM(E111:T111)</f>
        <v>0</v>
      </c>
      <c r="V111" s="19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7.399999999999999" x14ac:dyDescent="0.3">
      <c r="A112" s="27">
        <v>1001618302</v>
      </c>
      <c r="B112" s="27" t="s">
        <v>150</v>
      </c>
      <c r="C112" s="28" t="s">
        <v>151</v>
      </c>
      <c r="D112" s="32"/>
      <c r="E112" s="2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0"/>
      <c r="U112" s="13">
        <f>SUM(E112:T112)</f>
        <v>0</v>
      </c>
      <c r="V112" s="19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s="21" customFormat="1" ht="18" x14ac:dyDescent="0.3">
      <c r="A113" s="27">
        <v>1005690655</v>
      </c>
      <c r="B113" s="27" t="s">
        <v>152</v>
      </c>
      <c r="C113" s="28" t="s">
        <v>153</v>
      </c>
      <c r="D113" s="32">
        <v>37537</v>
      </c>
      <c r="E113" s="2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0"/>
      <c r="U113" s="13">
        <v>0</v>
      </c>
      <c r="V113" s="19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</row>
    <row r="114" spans="1:38" ht="17.399999999999999" x14ac:dyDescent="0.3">
      <c r="A114" s="27">
        <v>1005458201</v>
      </c>
      <c r="B114" s="27" t="s">
        <v>154</v>
      </c>
      <c r="C114" s="28" t="s">
        <v>155</v>
      </c>
      <c r="D114" s="32"/>
      <c r="E114" s="2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0"/>
      <c r="U114" s="13">
        <f>SUM(E114:T114)</f>
        <v>0</v>
      </c>
      <c r="V114" s="19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7.399999999999999" x14ac:dyDescent="0.3">
      <c r="A115" s="27">
        <v>1000874145</v>
      </c>
      <c r="B115" s="27" t="s">
        <v>156</v>
      </c>
      <c r="C115" s="28" t="s">
        <v>157</v>
      </c>
      <c r="D115" s="32"/>
      <c r="E115" s="2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0"/>
      <c r="U115" s="13">
        <f>SUM(E115:T115)</f>
        <v>0</v>
      </c>
      <c r="V115" s="19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7.399999999999999" x14ac:dyDescent="0.3">
      <c r="A116" s="31">
        <v>1000100902</v>
      </c>
      <c r="B116" s="31" t="s">
        <v>780</v>
      </c>
      <c r="C116" s="30" t="s">
        <v>779</v>
      </c>
      <c r="D116" s="32">
        <v>37054</v>
      </c>
      <c r="E116" s="2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3"/>
      <c r="U116" s="13">
        <v>0</v>
      </c>
      <c r="V116" s="19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s="21" customFormat="1" ht="18" x14ac:dyDescent="0.3">
      <c r="A117" s="27">
        <v>1017240460</v>
      </c>
      <c r="B117" s="27" t="s">
        <v>158</v>
      </c>
      <c r="C117" s="28" t="s">
        <v>159</v>
      </c>
      <c r="D117" s="32"/>
      <c r="E117" s="2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0"/>
      <c r="U117" s="13">
        <f>SUM(E117:T117)</f>
        <v>0</v>
      </c>
      <c r="V117" s="19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</row>
    <row r="118" spans="1:38" ht="17.399999999999999" x14ac:dyDescent="0.3">
      <c r="A118" s="31">
        <v>1015072853</v>
      </c>
      <c r="B118" s="27" t="s">
        <v>636</v>
      </c>
      <c r="C118" s="28" t="s">
        <v>637</v>
      </c>
      <c r="D118" s="32">
        <v>39529</v>
      </c>
      <c r="E118" s="2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1"/>
      <c r="U118" s="13">
        <f>SUM(E118:T118)</f>
        <v>0</v>
      </c>
      <c r="V118" s="19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7.399999999999999" x14ac:dyDescent="0.3">
      <c r="A119" s="27">
        <v>1000748597</v>
      </c>
      <c r="B119" s="27" t="s">
        <v>160</v>
      </c>
      <c r="C119" s="28" t="s">
        <v>161</v>
      </c>
      <c r="D119" s="32"/>
      <c r="E119" s="2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0"/>
      <c r="U119" s="13">
        <f>SUM(E119:T119)</f>
        <v>0</v>
      </c>
      <c r="V119" s="19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7.399999999999999" x14ac:dyDescent="0.3">
      <c r="A120" s="31">
        <v>1045050638</v>
      </c>
      <c r="B120" s="31" t="s">
        <v>792</v>
      </c>
      <c r="C120" s="30" t="s">
        <v>791</v>
      </c>
      <c r="D120" s="32">
        <v>42348</v>
      </c>
      <c r="E120" s="2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3"/>
      <c r="U120" s="13">
        <v>0</v>
      </c>
      <c r="V120" s="19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7.399999999999999" x14ac:dyDescent="0.3">
      <c r="A121" s="27">
        <v>93131001</v>
      </c>
      <c r="B121" s="27" t="s">
        <v>162</v>
      </c>
      <c r="C121" s="28" t="s">
        <v>163</v>
      </c>
      <c r="D121" s="32"/>
      <c r="E121" s="23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0"/>
      <c r="U121" s="13">
        <f>SUM(E121:T121)</f>
        <v>0</v>
      </c>
      <c r="V121" s="19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7.399999999999999" x14ac:dyDescent="0.3">
      <c r="A122" s="27">
        <v>1017256068</v>
      </c>
      <c r="B122" s="27" t="s">
        <v>164</v>
      </c>
      <c r="C122" s="28" t="s">
        <v>165</v>
      </c>
      <c r="D122" s="32"/>
      <c r="E122" s="23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0"/>
      <c r="U122" s="13">
        <f>SUM(E122:T122)</f>
        <v>0</v>
      </c>
      <c r="V122" s="19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7.399999999999999" x14ac:dyDescent="0.3">
      <c r="A123" s="27">
        <v>1007624902</v>
      </c>
      <c r="B123" s="27" t="s">
        <v>166</v>
      </c>
      <c r="C123" s="28" t="s">
        <v>167</v>
      </c>
      <c r="D123" s="32"/>
      <c r="E123" s="23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0"/>
      <c r="U123" s="13">
        <f>SUM(E123:T123)</f>
        <v>0</v>
      </c>
      <c r="V123" s="19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7.399999999999999" x14ac:dyDescent="0.3">
      <c r="A124" s="27">
        <v>71631378</v>
      </c>
      <c r="B124" s="27" t="s">
        <v>645</v>
      </c>
      <c r="C124" s="28" t="s">
        <v>168</v>
      </c>
      <c r="D124" s="32">
        <v>22709</v>
      </c>
      <c r="E124" s="23">
        <v>80000</v>
      </c>
      <c r="F124" s="14">
        <v>110000</v>
      </c>
      <c r="G124" s="14">
        <v>100000</v>
      </c>
      <c r="H124" s="14">
        <v>80000</v>
      </c>
      <c r="I124" s="14">
        <v>90000</v>
      </c>
      <c r="J124" s="14">
        <v>110000</v>
      </c>
      <c r="K124" s="14">
        <v>90000</v>
      </c>
      <c r="L124" s="14">
        <v>90000</v>
      </c>
      <c r="M124" s="14">
        <v>100000</v>
      </c>
      <c r="N124" s="14">
        <v>120000</v>
      </c>
      <c r="O124" s="14"/>
      <c r="P124" s="14"/>
      <c r="Q124" s="14"/>
      <c r="R124" s="14"/>
      <c r="S124" s="14"/>
      <c r="T124" s="10"/>
      <c r="U124" s="13">
        <f>SUM(E124:T124)</f>
        <v>970000</v>
      </c>
      <c r="V124" s="19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7.399999999999999" x14ac:dyDescent="0.3">
      <c r="A125" s="27">
        <v>1007143656</v>
      </c>
      <c r="B125" s="27" t="s">
        <v>169</v>
      </c>
      <c r="C125" s="28" t="s">
        <v>170</v>
      </c>
      <c r="D125" s="32">
        <v>36444</v>
      </c>
      <c r="E125" s="23"/>
      <c r="F125" s="14"/>
      <c r="G125" s="14"/>
      <c r="H125" s="14"/>
      <c r="I125" s="14" t="s">
        <v>762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0"/>
      <c r="U125" s="13">
        <v>0</v>
      </c>
      <c r="V125" s="19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7.399999999999999" x14ac:dyDescent="0.3">
      <c r="A126" s="31">
        <v>1017140456</v>
      </c>
      <c r="B126" s="31" t="s">
        <v>800</v>
      </c>
      <c r="C126" s="30" t="s">
        <v>799</v>
      </c>
      <c r="D126" s="32">
        <v>31636</v>
      </c>
      <c r="E126" s="2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3"/>
      <c r="U126" s="13">
        <v>0</v>
      </c>
      <c r="V126" s="19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7.399999999999999" x14ac:dyDescent="0.3">
      <c r="A127" s="29">
        <v>1124004179</v>
      </c>
      <c r="B127" s="29" t="s">
        <v>728</v>
      </c>
      <c r="C127" s="30" t="s">
        <v>729</v>
      </c>
      <c r="D127" s="32"/>
      <c r="E127" s="2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1"/>
      <c r="U127" s="13">
        <f>SUM(E127:T127)</f>
        <v>0</v>
      </c>
      <c r="V127" s="19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7.399999999999999" x14ac:dyDescent="0.3">
      <c r="A128" s="27">
        <v>1152218533</v>
      </c>
      <c r="B128" s="27" t="s">
        <v>171</v>
      </c>
      <c r="C128" s="28" t="s">
        <v>172</v>
      </c>
      <c r="D128" s="32"/>
      <c r="E128" s="2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0"/>
      <c r="U128" s="13">
        <f>SUM(E128:T128)</f>
        <v>0</v>
      </c>
      <c r="V128" s="19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7.399999999999999" x14ac:dyDescent="0.3">
      <c r="A129" s="31">
        <v>1013456398</v>
      </c>
      <c r="B129" s="27" t="s">
        <v>173</v>
      </c>
      <c r="C129" s="28" t="s">
        <v>174</v>
      </c>
      <c r="D129" s="32"/>
      <c r="E129" s="2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0"/>
      <c r="U129" s="13">
        <f>SUM(E129:T129)</f>
        <v>0</v>
      </c>
      <c r="V129" s="19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7.399999999999999" x14ac:dyDescent="0.3">
      <c r="A130" s="29">
        <v>1025881886</v>
      </c>
      <c r="B130" s="29" t="s">
        <v>665</v>
      </c>
      <c r="C130" s="30" t="s">
        <v>666</v>
      </c>
      <c r="D130" s="32"/>
      <c r="E130" s="2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1"/>
      <c r="U130" s="13">
        <f>SUM(E130:T130)</f>
        <v>0</v>
      </c>
      <c r="V130" s="19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7.399999999999999" x14ac:dyDescent="0.3">
      <c r="A131" s="27">
        <v>1047382343</v>
      </c>
      <c r="B131" s="27" t="s">
        <v>175</v>
      </c>
      <c r="C131" s="28" t="s">
        <v>176</v>
      </c>
      <c r="D131" s="32"/>
      <c r="E131" s="2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0"/>
      <c r="U131" s="13">
        <f>SUM(E131:T131)</f>
        <v>0</v>
      </c>
      <c r="V131" s="19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7.399999999999999" x14ac:dyDescent="0.3">
      <c r="A132" s="29">
        <v>1152202237</v>
      </c>
      <c r="B132" s="29" t="s">
        <v>657</v>
      </c>
      <c r="C132" s="30" t="s">
        <v>658</v>
      </c>
      <c r="D132" s="32">
        <v>34213</v>
      </c>
      <c r="E132" s="2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1"/>
      <c r="U132" s="13">
        <v>0</v>
      </c>
      <c r="V132" s="19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7.399999999999999" x14ac:dyDescent="0.3">
      <c r="A133" s="27">
        <v>1003786424</v>
      </c>
      <c r="B133" s="27" t="s">
        <v>177</v>
      </c>
      <c r="C133" s="28" t="s">
        <v>178</v>
      </c>
      <c r="D133" s="32" t="s">
        <v>811</v>
      </c>
      <c r="E133" s="23">
        <v>270000</v>
      </c>
      <c r="F133" s="14">
        <v>80000</v>
      </c>
      <c r="G133" s="14">
        <v>360000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0"/>
      <c r="U133" s="13">
        <f t="shared" ref="U133:U139" si="7">SUM(E133:T133)</f>
        <v>710000</v>
      </c>
      <c r="V133" s="19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7.399999999999999" x14ac:dyDescent="0.3">
      <c r="A134" s="27">
        <v>1001687163</v>
      </c>
      <c r="B134" s="27" t="s">
        <v>179</v>
      </c>
      <c r="C134" s="28" t="s">
        <v>180</v>
      </c>
      <c r="D134" s="32"/>
      <c r="E134" s="2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0"/>
      <c r="U134" s="13">
        <f t="shared" si="7"/>
        <v>0</v>
      </c>
      <c r="V134" s="19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7.399999999999999" x14ac:dyDescent="0.3">
      <c r="A135" s="27">
        <v>1128403070</v>
      </c>
      <c r="B135" s="27" t="s">
        <v>181</v>
      </c>
      <c r="C135" s="28" t="s">
        <v>631</v>
      </c>
      <c r="D135" s="32">
        <v>33264</v>
      </c>
      <c r="E135" s="23">
        <v>80000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0"/>
      <c r="U135" s="13">
        <f t="shared" si="7"/>
        <v>80000</v>
      </c>
      <c r="V135" s="19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7.399999999999999" x14ac:dyDescent="0.3">
      <c r="A136" s="27">
        <v>1192815965</v>
      </c>
      <c r="B136" s="27" t="s">
        <v>182</v>
      </c>
      <c r="C136" s="28" t="s">
        <v>183</v>
      </c>
      <c r="D136" s="32"/>
      <c r="E136" s="23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0"/>
      <c r="U136" s="13">
        <f t="shared" si="7"/>
        <v>0</v>
      </c>
      <c r="V136" s="19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7.399999999999999" x14ac:dyDescent="0.3">
      <c r="A137" s="27">
        <v>1001371340</v>
      </c>
      <c r="B137" s="27" t="s">
        <v>184</v>
      </c>
      <c r="C137" s="28" t="s">
        <v>186</v>
      </c>
      <c r="D137" s="32"/>
      <c r="E137" s="23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0"/>
      <c r="U137" s="13">
        <f t="shared" si="7"/>
        <v>0</v>
      </c>
      <c r="V137" s="19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7.399999999999999" x14ac:dyDescent="0.3">
      <c r="A138" s="31">
        <v>43269224</v>
      </c>
      <c r="B138" s="27" t="s">
        <v>184</v>
      </c>
      <c r="C138" s="28" t="s">
        <v>185</v>
      </c>
      <c r="D138" s="32">
        <v>46222</v>
      </c>
      <c r="E138" s="23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0"/>
      <c r="U138" s="13">
        <f t="shared" si="7"/>
        <v>0</v>
      </c>
      <c r="V138" s="19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7.399999999999999" x14ac:dyDescent="0.3">
      <c r="A139" s="29">
        <v>1025882894</v>
      </c>
      <c r="B139" s="29" t="s">
        <v>187</v>
      </c>
      <c r="C139" s="30" t="s">
        <v>701</v>
      </c>
      <c r="D139" s="32"/>
      <c r="E139" s="23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1"/>
      <c r="U139" s="13">
        <f t="shared" si="7"/>
        <v>0</v>
      </c>
      <c r="V139" s="19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7.399999999999999" x14ac:dyDescent="0.3">
      <c r="A140" s="27">
        <v>1023624442</v>
      </c>
      <c r="B140" s="27" t="s">
        <v>187</v>
      </c>
      <c r="C140" s="28" t="s">
        <v>188</v>
      </c>
      <c r="D140" s="32">
        <v>38243</v>
      </c>
      <c r="E140" s="23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0"/>
      <c r="U140" s="13">
        <v>0</v>
      </c>
      <c r="V140" s="19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7.399999999999999" x14ac:dyDescent="0.3">
      <c r="A141" s="27">
        <v>1036450666</v>
      </c>
      <c r="B141" s="27" t="s">
        <v>187</v>
      </c>
      <c r="C141" s="28" t="s">
        <v>189</v>
      </c>
      <c r="D141" s="32">
        <v>38988</v>
      </c>
      <c r="E141" s="23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0"/>
      <c r="U141" s="13">
        <v>0</v>
      </c>
      <c r="V141" s="19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7.399999999999999" x14ac:dyDescent="0.3">
      <c r="A142" s="27">
        <v>1025640578</v>
      </c>
      <c r="B142" s="27" t="s">
        <v>190</v>
      </c>
      <c r="C142" s="28" t="s">
        <v>191</v>
      </c>
      <c r="D142" s="32"/>
      <c r="E142" s="23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0"/>
      <c r="U142" s="13">
        <f>SUM(E142:T142)</f>
        <v>0</v>
      </c>
      <c r="V142" s="19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7.399999999999999" x14ac:dyDescent="0.3">
      <c r="A143" s="31">
        <v>1027660823</v>
      </c>
      <c r="B143" s="31" t="s">
        <v>190</v>
      </c>
      <c r="C143" s="30" t="s">
        <v>803</v>
      </c>
      <c r="D143" s="32">
        <v>38670</v>
      </c>
      <c r="E143" s="23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3"/>
      <c r="U143" s="13">
        <v>0</v>
      </c>
      <c r="V143" s="19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7.399999999999999" x14ac:dyDescent="0.3">
      <c r="A144" s="27">
        <v>1000899444</v>
      </c>
      <c r="B144" s="27" t="s">
        <v>192</v>
      </c>
      <c r="C144" s="28" t="s">
        <v>193</v>
      </c>
      <c r="D144" s="32"/>
      <c r="E144" s="23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0"/>
      <c r="U144" s="13">
        <f>SUM(E144:T144)</f>
        <v>0</v>
      </c>
      <c r="V144" s="19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7.399999999999999" x14ac:dyDescent="0.3">
      <c r="A145" s="27">
        <v>1088591916</v>
      </c>
      <c r="B145" s="27" t="s">
        <v>194</v>
      </c>
      <c r="C145" s="28" t="s">
        <v>195</v>
      </c>
      <c r="D145" s="32"/>
      <c r="E145" s="23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0"/>
      <c r="U145" s="13">
        <f>SUM(E145:T145)</f>
        <v>0</v>
      </c>
      <c r="V145" s="19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7.399999999999999" x14ac:dyDescent="0.3">
      <c r="A146" s="31">
        <v>43269083</v>
      </c>
      <c r="B146" s="27" t="s">
        <v>196</v>
      </c>
      <c r="C146" s="28" t="s">
        <v>197</v>
      </c>
      <c r="D146" s="32">
        <v>36360</v>
      </c>
      <c r="E146" s="23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0"/>
      <c r="U146" s="13">
        <f>SUM(E146:T146)</f>
        <v>0</v>
      </c>
      <c r="V146" s="19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7.399999999999999" x14ac:dyDescent="0.3">
      <c r="A147" s="27">
        <v>1033647890</v>
      </c>
      <c r="B147" s="27" t="s">
        <v>198</v>
      </c>
      <c r="C147" s="28" t="s">
        <v>199</v>
      </c>
      <c r="D147" s="32"/>
      <c r="E147" s="23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0"/>
      <c r="U147" s="13">
        <f>SUM(E147:T147)</f>
        <v>0</v>
      </c>
      <c r="V147" s="19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7.399999999999999" x14ac:dyDescent="0.3">
      <c r="A148" s="27">
        <v>1036643595</v>
      </c>
      <c r="B148" s="27" t="s">
        <v>200</v>
      </c>
      <c r="C148" s="28" t="s">
        <v>201</v>
      </c>
      <c r="D148" s="32"/>
      <c r="E148" s="23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0"/>
      <c r="U148" s="13">
        <f>SUM(E148:T148)</f>
        <v>0</v>
      </c>
      <c r="V148" s="19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7.399999999999999" x14ac:dyDescent="0.3">
      <c r="A149" s="29">
        <v>1128268110</v>
      </c>
      <c r="B149" s="29" t="s">
        <v>718</v>
      </c>
      <c r="C149" s="30" t="s">
        <v>719</v>
      </c>
      <c r="D149" s="32">
        <v>38411</v>
      </c>
      <c r="E149" s="23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1"/>
      <c r="U149" s="13">
        <v>0</v>
      </c>
      <c r="V149" s="19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7.399999999999999" x14ac:dyDescent="0.3">
      <c r="A150" s="27">
        <v>1152451864</v>
      </c>
      <c r="B150" s="27" t="s">
        <v>202</v>
      </c>
      <c r="C150" s="28" t="s">
        <v>203</v>
      </c>
      <c r="D150" s="32"/>
      <c r="E150" s="23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0"/>
      <c r="U150" s="13">
        <f>SUM(E150:T150)</f>
        <v>0</v>
      </c>
      <c r="V150" s="19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7.399999999999999" x14ac:dyDescent="0.3">
      <c r="A151" s="27">
        <v>1017158554</v>
      </c>
      <c r="B151" s="27" t="s">
        <v>204</v>
      </c>
      <c r="C151" s="28" t="s">
        <v>205</v>
      </c>
      <c r="D151" s="32">
        <v>32174</v>
      </c>
      <c r="E151" s="23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0"/>
      <c r="U151" s="13">
        <v>0</v>
      </c>
      <c r="V151" s="19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7.399999999999999" x14ac:dyDescent="0.3">
      <c r="A152" s="27">
        <v>1037268549</v>
      </c>
      <c r="B152" s="27" t="s">
        <v>206</v>
      </c>
      <c r="C152" s="28" t="s">
        <v>207</v>
      </c>
      <c r="D152" s="32"/>
      <c r="E152" s="23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0"/>
      <c r="U152" s="13">
        <f>SUM(E152:T152)</f>
        <v>0</v>
      </c>
      <c r="V152" s="19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s="21" customFormat="1" ht="18" x14ac:dyDescent="0.3">
      <c r="A153" s="29">
        <v>1036253065</v>
      </c>
      <c r="B153" s="29" t="s">
        <v>653</v>
      </c>
      <c r="C153" s="30" t="s">
        <v>654</v>
      </c>
      <c r="D153" s="32">
        <v>38763</v>
      </c>
      <c r="E153" s="23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1"/>
      <c r="U153" s="13">
        <v>0</v>
      </c>
      <c r="V153" s="19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</row>
    <row r="154" spans="1:38" s="21" customFormat="1" ht="18" x14ac:dyDescent="0.3">
      <c r="A154" s="27">
        <v>1036654729</v>
      </c>
      <c r="B154" s="27" t="s">
        <v>208</v>
      </c>
      <c r="C154" s="28" t="s">
        <v>209</v>
      </c>
      <c r="D154" s="32"/>
      <c r="E154" s="23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0"/>
      <c r="U154" s="13">
        <f t="shared" ref="U154:U179" si="8">SUM(E154:T154)</f>
        <v>0</v>
      </c>
      <c r="V154" s="19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</row>
    <row r="155" spans="1:38" ht="17.399999999999999" x14ac:dyDescent="0.3">
      <c r="A155" s="27">
        <v>1101385998</v>
      </c>
      <c r="B155" s="27" t="s">
        <v>210</v>
      </c>
      <c r="C155" s="28" t="s">
        <v>211</v>
      </c>
      <c r="D155" s="32"/>
      <c r="E155" s="23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0"/>
      <c r="U155" s="13">
        <f t="shared" si="8"/>
        <v>0</v>
      </c>
      <c r="V155" s="19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7.399999999999999" x14ac:dyDescent="0.3">
      <c r="A156" s="31">
        <v>1078577501</v>
      </c>
      <c r="B156" s="27" t="s">
        <v>212</v>
      </c>
      <c r="C156" s="28" t="s">
        <v>213</v>
      </c>
      <c r="D156" s="32"/>
      <c r="E156" s="23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0"/>
      <c r="U156" s="13">
        <f t="shared" si="8"/>
        <v>0</v>
      </c>
      <c r="V156" s="19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7.399999999999999" x14ac:dyDescent="0.3">
      <c r="A157" s="27">
        <v>98714960</v>
      </c>
      <c r="B157" s="27" t="s">
        <v>214</v>
      </c>
      <c r="C157" s="28" t="s">
        <v>215</v>
      </c>
      <c r="D157" s="32"/>
      <c r="E157" s="23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0"/>
      <c r="U157" s="13">
        <f t="shared" si="8"/>
        <v>0</v>
      </c>
      <c r="V157" s="19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7.399999999999999" x14ac:dyDescent="0.3">
      <c r="A158" s="27">
        <v>1111538646</v>
      </c>
      <c r="B158" s="27" t="s">
        <v>216</v>
      </c>
      <c r="C158" s="28" t="s">
        <v>217</v>
      </c>
      <c r="D158" s="32">
        <v>38011</v>
      </c>
      <c r="E158" s="23">
        <v>270000</v>
      </c>
      <c r="F158" s="14">
        <v>80000</v>
      </c>
      <c r="G158" s="14">
        <v>80000</v>
      </c>
      <c r="H158" s="14">
        <v>80000</v>
      </c>
      <c r="I158" s="14">
        <v>360000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0"/>
      <c r="U158" s="13">
        <f t="shared" si="8"/>
        <v>870000</v>
      </c>
      <c r="V158" s="19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7.399999999999999" x14ac:dyDescent="0.3">
      <c r="A159" s="27">
        <v>1192920112</v>
      </c>
      <c r="B159" s="27" t="s">
        <v>218</v>
      </c>
      <c r="C159" s="28" t="s">
        <v>219</v>
      </c>
      <c r="D159" s="32"/>
      <c r="E159" s="23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0"/>
      <c r="U159" s="13">
        <f t="shared" si="8"/>
        <v>0</v>
      </c>
      <c r="V159" s="19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7.399999999999999" x14ac:dyDescent="0.3">
      <c r="A160" s="27">
        <v>1035856209</v>
      </c>
      <c r="B160" s="27" t="s">
        <v>220</v>
      </c>
      <c r="C160" s="28" t="s">
        <v>221</v>
      </c>
      <c r="D160" s="32"/>
      <c r="E160" s="23">
        <v>150000</v>
      </c>
      <c r="F160" s="14">
        <v>150000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0"/>
      <c r="U160" s="13">
        <f t="shared" si="8"/>
        <v>300000</v>
      </c>
      <c r="V160" s="19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7.399999999999999" x14ac:dyDescent="0.3">
      <c r="A161" s="27">
        <v>98578664</v>
      </c>
      <c r="B161" s="27" t="s">
        <v>222</v>
      </c>
      <c r="C161" s="28" t="s">
        <v>223</v>
      </c>
      <c r="D161" s="32">
        <v>39024</v>
      </c>
      <c r="E161" s="23">
        <v>110000</v>
      </c>
      <c r="F161" s="14">
        <v>100000</v>
      </c>
      <c r="G161" s="14">
        <v>100000</v>
      </c>
      <c r="H161" s="14">
        <v>100000</v>
      </c>
      <c r="I161" s="14">
        <v>100000</v>
      </c>
      <c r="J161" s="14">
        <v>150000</v>
      </c>
      <c r="K161" s="14">
        <v>100000</v>
      </c>
      <c r="L161" s="14">
        <v>100000</v>
      </c>
      <c r="M161" s="14">
        <v>100000</v>
      </c>
      <c r="N161" s="14">
        <v>100000</v>
      </c>
      <c r="O161" s="14">
        <v>100000</v>
      </c>
      <c r="P161" s="14"/>
      <c r="Q161" s="14"/>
      <c r="R161" s="14"/>
      <c r="S161" s="14"/>
      <c r="T161" s="10"/>
      <c r="U161" s="13">
        <f t="shared" si="8"/>
        <v>1160000</v>
      </c>
      <c r="V161" s="19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7.399999999999999" x14ac:dyDescent="0.3">
      <c r="A162" s="27">
        <v>1193200803</v>
      </c>
      <c r="B162" s="27" t="s">
        <v>224</v>
      </c>
      <c r="C162" s="28" t="s">
        <v>225</v>
      </c>
      <c r="D162" s="32"/>
      <c r="E162" s="23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0"/>
      <c r="U162" s="13">
        <f t="shared" si="8"/>
        <v>0</v>
      </c>
      <c r="V162" s="19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7.399999999999999" x14ac:dyDescent="0.3">
      <c r="A163" s="27">
        <v>1072925956</v>
      </c>
      <c r="B163" s="27" t="s">
        <v>226</v>
      </c>
      <c r="C163" s="28" t="s">
        <v>227</v>
      </c>
      <c r="D163" s="32"/>
      <c r="E163" s="23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0"/>
      <c r="U163" s="13">
        <f t="shared" si="8"/>
        <v>0</v>
      </c>
      <c r="V163" s="19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7.399999999999999" x14ac:dyDescent="0.3">
      <c r="A164" s="29">
        <v>1013590840</v>
      </c>
      <c r="B164" s="29" t="s">
        <v>712</v>
      </c>
      <c r="C164" s="30" t="s">
        <v>713</v>
      </c>
      <c r="D164" s="32"/>
      <c r="E164" s="23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1"/>
      <c r="U164" s="13">
        <f t="shared" si="8"/>
        <v>0</v>
      </c>
      <c r="V164" s="19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7.399999999999999" x14ac:dyDescent="0.3">
      <c r="A165" s="27">
        <v>1000970493</v>
      </c>
      <c r="B165" s="27" t="s">
        <v>228</v>
      </c>
      <c r="C165" s="28" t="s">
        <v>229</v>
      </c>
      <c r="D165" s="32"/>
      <c r="E165" s="23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0"/>
      <c r="U165" s="13">
        <f t="shared" si="8"/>
        <v>0</v>
      </c>
      <c r="V165" s="19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7.399999999999999" x14ac:dyDescent="0.3">
      <c r="A166" s="27">
        <v>1017247216</v>
      </c>
      <c r="B166" s="27" t="s">
        <v>230</v>
      </c>
      <c r="C166" s="28" t="s">
        <v>231</v>
      </c>
      <c r="D166" s="32"/>
      <c r="E166" s="23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0"/>
      <c r="U166" s="13">
        <f t="shared" si="8"/>
        <v>0</v>
      </c>
      <c r="V166" s="19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7.399999999999999" x14ac:dyDescent="0.3">
      <c r="A167" s="27">
        <v>1022097476</v>
      </c>
      <c r="B167" s="27" t="s">
        <v>232</v>
      </c>
      <c r="C167" s="28" t="s">
        <v>233</v>
      </c>
      <c r="D167" s="32"/>
      <c r="E167" s="23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0"/>
      <c r="U167" s="13">
        <f t="shared" si="8"/>
        <v>0</v>
      </c>
      <c r="V167" s="19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7.399999999999999" x14ac:dyDescent="0.3">
      <c r="A168" s="27">
        <v>1001723999</v>
      </c>
      <c r="B168" s="27" t="s">
        <v>234</v>
      </c>
      <c r="C168" s="28" t="s">
        <v>235</v>
      </c>
      <c r="D168" s="32"/>
      <c r="E168" s="23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0"/>
      <c r="U168" s="13">
        <f t="shared" si="8"/>
        <v>0</v>
      </c>
      <c r="V168" s="19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7.399999999999999" x14ac:dyDescent="0.3">
      <c r="A169" s="27">
        <v>98712282</v>
      </c>
      <c r="B169" s="27" t="s">
        <v>236</v>
      </c>
      <c r="C169" s="28" t="s">
        <v>237</v>
      </c>
      <c r="D169" s="32"/>
      <c r="E169" s="23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0"/>
      <c r="U169" s="13">
        <f t="shared" si="8"/>
        <v>0</v>
      </c>
      <c r="V169" s="19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7.399999999999999" x14ac:dyDescent="0.3">
      <c r="A170" s="27">
        <v>1001498036</v>
      </c>
      <c r="B170" s="27" t="s">
        <v>238</v>
      </c>
      <c r="C170" s="28" t="s">
        <v>239</v>
      </c>
      <c r="D170" s="32" t="s">
        <v>810</v>
      </c>
      <c r="E170" s="23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0"/>
      <c r="U170" s="13">
        <f t="shared" si="8"/>
        <v>0</v>
      </c>
      <c r="V170" s="19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7.399999999999999" x14ac:dyDescent="0.3">
      <c r="A171" s="29">
        <v>1036338137</v>
      </c>
      <c r="B171" s="29" t="s">
        <v>742</v>
      </c>
      <c r="C171" s="30" t="s">
        <v>741</v>
      </c>
      <c r="D171" s="32"/>
      <c r="E171" s="23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1"/>
      <c r="U171" s="13">
        <f t="shared" si="8"/>
        <v>0</v>
      </c>
      <c r="V171" s="19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7.399999999999999" x14ac:dyDescent="0.3">
      <c r="A172" s="27">
        <v>1233903367</v>
      </c>
      <c r="B172" s="27" t="s">
        <v>240</v>
      </c>
      <c r="C172" s="28" t="s">
        <v>241</v>
      </c>
      <c r="D172" s="32"/>
      <c r="E172" s="23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0"/>
      <c r="U172" s="13">
        <f t="shared" si="8"/>
        <v>0</v>
      </c>
      <c r="V172" s="19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7.399999999999999" x14ac:dyDescent="0.3">
      <c r="A173" s="27">
        <v>71531476</v>
      </c>
      <c r="B173" s="27" t="s">
        <v>242</v>
      </c>
      <c r="C173" s="28" t="s">
        <v>243</v>
      </c>
      <c r="D173" s="32"/>
      <c r="E173" s="23">
        <v>80000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0"/>
      <c r="U173" s="13">
        <f t="shared" si="8"/>
        <v>80000</v>
      </c>
      <c r="V173" s="19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7.399999999999999" x14ac:dyDescent="0.3">
      <c r="A174" s="31">
        <v>98595642</v>
      </c>
      <c r="B174" s="27" t="s">
        <v>244</v>
      </c>
      <c r="C174" s="28" t="s">
        <v>245</v>
      </c>
      <c r="D174" s="32"/>
      <c r="E174" s="23">
        <v>80000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0"/>
      <c r="U174" s="13">
        <f t="shared" si="8"/>
        <v>80000</v>
      </c>
      <c r="V174" s="19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7.399999999999999" x14ac:dyDescent="0.3">
      <c r="A175" s="27">
        <v>1023623791</v>
      </c>
      <c r="B175" s="27" t="s">
        <v>246</v>
      </c>
      <c r="C175" s="28" t="s">
        <v>247</v>
      </c>
      <c r="D175" s="32"/>
      <c r="E175" s="23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0"/>
      <c r="U175" s="13">
        <f t="shared" si="8"/>
        <v>0</v>
      </c>
      <c r="V175" s="19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7.399999999999999" x14ac:dyDescent="0.3">
      <c r="A176" s="27">
        <v>4675021</v>
      </c>
      <c r="B176" s="27" t="s">
        <v>248</v>
      </c>
      <c r="C176" s="28" t="s">
        <v>249</v>
      </c>
      <c r="D176" s="32">
        <v>33130</v>
      </c>
      <c r="E176" s="23">
        <v>300000</v>
      </c>
      <c r="F176" s="14">
        <v>400000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0"/>
      <c r="U176" s="13">
        <f t="shared" si="8"/>
        <v>700000</v>
      </c>
      <c r="V176" s="19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7.399999999999999" x14ac:dyDescent="0.3">
      <c r="A177" s="31">
        <v>71777291</v>
      </c>
      <c r="B177" s="27" t="s">
        <v>250</v>
      </c>
      <c r="C177" s="28" t="s">
        <v>251</v>
      </c>
      <c r="D177" s="32" t="s">
        <v>812</v>
      </c>
      <c r="E177" s="23">
        <v>80000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0"/>
      <c r="U177" s="13">
        <f t="shared" si="8"/>
        <v>80000</v>
      </c>
      <c r="V177" s="19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7.399999999999999" x14ac:dyDescent="0.3">
      <c r="A178" s="27">
        <v>1110529239</v>
      </c>
      <c r="B178" s="27" t="s">
        <v>252</v>
      </c>
      <c r="C178" s="28" t="s">
        <v>253</v>
      </c>
      <c r="D178" s="32"/>
      <c r="E178" s="23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0"/>
      <c r="U178" s="13">
        <f t="shared" si="8"/>
        <v>0</v>
      </c>
      <c r="V178" s="19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7.399999999999999" x14ac:dyDescent="0.3">
      <c r="A179" s="29">
        <v>1013342942</v>
      </c>
      <c r="B179" s="29" t="s">
        <v>739</v>
      </c>
      <c r="C179" s="30" t="s">
        <v>740</v>
      </c>
      <c r="D179" s="32"/>
      <c r="E179" s="23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1"/>
      <c r="U179" s="13">
        <f t="shared" si="8"/>
        <v>0</v>
      </c>
      <c r="V179" s="19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7.399999999999999" x14ac:dyDescent="0.3">
      <c r="A180" s="27">
        <v>1039468823</v>
      </c>
      <c r="B180" s="27" t="s">
        <v>254</v>
      </c>
      <c r="C180" s="28" t="s">
        <v>185</v>
      </c>
      <c r="D180" s="32">
        <v>35425</v>
      </c>
      <c r="E180" s="23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0"/>
      <c r="U180" s="13">
        <v>0</v>
      </c>
      <c r="V180" s="19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7.399999999999999" x14ac:dyDescent="0.3">
      <c r="A181" s="29">
        <v>1152439934</v>
      </c>
      <c r="B181" s="29" t="s">
        <v>678</v>
      </c>
      <c r="C181" s="30" t="s">
        <v>679</v>
      </c>
      <c r="D181" s="32"/>
      <c r="E181" s="23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1"/>
      <c r="U181" s="13">
        <f>SUM(E181:T181)</f>
        <v>0</v>
      </c>
      <c r="V181" s="19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7.399999999999999" x14ac:dyDescent="0.3">
      <c r="A182" s="27">
        <v>1035918764</v>
      </c>
      <c r="B182" s="27" t="s">
        <v>255</v>
      </c>
      <c r="C182" s="28" t="s">
        <v>257</v>
      </c>
      <c r="D182" s="32"/>
      <c r="E182" s="23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0"/>
      <c r="U182" s="13">
        <f>SUM(E182:T182)</f>
        <v>0</v>
      </c>
      <c r="V182" s="19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7.399999999999999" x14ac:dyDescent="0.3">
      <c r="A183" s="27">
        <v>71220062</v>
      </c>
      <c r="B183" s="27" t="s">
        <v>255</v>
      </c>
      <c r="C183" s="28" t="s">
        <v>256</v>
      </c>
      <c r="D183" s="32">
        <v>35842</v>
      </c>
      <c r="E183" s="23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0"/>
      <c r="U183" s="13">
        <v>0</v>
      </c>
      <c r="V183" s="19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7.399999999999999" x14ac:dyDescent="0.3">
      <c r="A184" s="27">
        <v>1007903409</v>
      </c>
      <c r="B184" s="27" t="s">
        <v>258</v>
      </c>
      <c r="C184" s="28" t="s">
        <v>259</v>
      </c>
      <c r="D184" s="32">
        <v>37086</v>
      </c>
      <c r="E184" s="23">
        <v>270000</v>
      </c>
      <c r="F184" s="14">
        <v>80000</v>
      </c>
      <c r="G184" s="14">
        <v>80000</v>
      </c>
      <c r="H184" s="14">
        <v>360000</v>
      </c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0"/>
      <c r="U184" s="13">
        <f t="shared" ref="U184:U195" si="9">SUM(E184:T184)</f>
        <v>790000</v>
      </c>
      <c r="V184" s="19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7.399999999999999" x14ac:dyDescent="0.3">
      <c r="A185" s="29">
        <v>1023624226</v>
      </c>
      <c r="B185" s="29" t="s">
        <v>753</v>
      </c>
      <c r="C185" s="30" t="s">
        <v>754</v>
      </c>
      <c r="D185" s="32"/>
      <c r="E185" s="23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1"/>
      <c r="U185" s="13">
        <f t="shared" si="9"/>
        <v>0</v>
      </c>
      <c r="V185" s="19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7.399999999999999" x14ac:dyDescent="0.3">
      <c r="A186" s="27">
        <v>1020495465</v>
      </c>
      <c r="B186" s="27" t="s">
        <v>260</v>
      </c>
      <c r="C186" s="28" t="s">
        <v>261</v>
      </c>
      <c r="D186" s="32"/>
      <c r="E186" s="23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0"/>
      <c r="U186" s="13">
        <f t="shared" si="9"/>
        <v>0</v>
      </c>
      <c r="V186" s="19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7.399999999999999" x14ac:dyDescent="0.3">
      <c r="A187" s="31">
        <v>1036660014</v>
      </c>
      <c r="B187" s="27" t="s">
        <v>260</v>
      </c>
      <c r="C187" s="28" t="s">
        <v>262</v>
      </c>
      <c r="D187" s="32"/>
      <c r="E187" s="23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0"/>
      <c r="U187" s="13">
        <f t="shared" si="9"/>
        <v>0</v>
      </c>
      <c r="V187" s="19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7.399999999999999" x14ac:dyDescent="0.3">
      <c r="A188" s="27">
        <v>1017923438</v>
      </c>
      <c r="B188" s="27" t="s">
        <v>263</v>
      </c>
      <c r="C188" s="28" t="s">
        <v>264</v>
      </c>
      <c r="D188" s="32"/>
      <c r="E188" s="23">
        <v>120000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0"/>
      <c r="U188" s="13">
        <f t="shared" si="9"/>
        <v>120000</v>
      </c>
      <c r="V188" s="19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7.399999999999999" x14ac:dyDescent="0.3">
      <c r="A189" s="27">
        <v>1020108701</v>
      </c>
      <c r="B189" s="27" t="s">
        <v>263</v>
      </c>
      <c r="C189" s="28" t="s">
        <v>265</v>
      </c>
      <c r="D189" s="32"/>
      <c r="E189" s="23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0"/>
      <c r="U189" s="13">
        <f t="shared" si="9"/>
        <v>0</v>
      </c>
      <c r="V189" s="19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7.399999999999999" x14ac:dyDescent="0.3">
      <c r="A190" s="27">
        <v>1017275193</v>
      </c>
      <c r="B190" s="27" t="s">
        <v>266</v>
      </c>
      <c r="C190" s="28" t="s">
        <v>267</v>
      </c>
      <c r="D190" s="32"/>
      <c r="E190" s="23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0"/>
      <c r="U190" s="13">
        <f t="shared" si="9"/>
        <v>0</v>
      </c>
      <c r="V190" s="19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7.399999999999999" x14ac:dyDescent="0.3">
      <c r="A191" s="27">
        <v>1000089746</v>
      </c>
      <c r="B191" s="27" t="s">
        <v>268</v>
      </c>
      <c r="C191" s="28" t="s">
        <v>269</v>
      </c>
      <c r="D191" s="32"/>
      <c r="E191" s="23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0"/>
      <c r="U191" s="13">
        <f t="shared" si="9"/>
        <v>0</v>
      </c>
      <c r="V191" s="19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7.399999999999999" x14ac:dyDescent="0.3">
      <c r="A192" s="27">
        <v>1000902161</v>
      </c>
      <c r="B192" s="27" t="s">
        <v>268</v>
      </c>
      <c r="C192" s="28" t="s">
        <v>270</v>
      </c>
      <c r="D192" s="32"/>
      <c r="E192" s="23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0"/>
      <c r="U192" s="13">
        <f t="shared" si="9"/>
        <v>0</v>
      </c>
      <c r="V192" s="19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7.399999999999999" x14ac:dyDescent="0.3">
      <c r="A193" s="27">
        <v>1011511644</v>
      </c>
      <c r="B193" s="27" t="s">
        <v>268</v>
      </c>
      <c r="C193" s="28" t="s">
        <v>271</v>
      </c>
      <c r="D193" s="32"/>
      <c r="E193" s="23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0"/>
      <c r="U193" s="13">
        <f t="shared" si="9"/>
        <v>0</v>
      </c>
      <c r="V193" s="19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7.399999999999999" x14ac:dyDescent="0.3">
      <c r="A194" s="27">
        <v>1041176022</v>
      </c>
      <c r="B194" s="27" t="s">
        <v>268</v>
      </c>
      <c r="C194" s="28" t="s">
        <v>273</v>
      </c>
      <c r="D194" s="32"/>
      <c r="E194" s="23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0"/>
      <c r="U194" s="13">
        <f t="shared" si="9"/>
        <v>0</v>
      </c>
      <c r="V194" s="19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7.399999999999999" x14ac:dyDescent="0.3">
      <c r="A195" s="29">
        <v>1051955648</v>
      </c>
      <c r="B195" s="29" t="s">
        <v>268</v>
      </c>
      <c r="C195" s="30" t="s">
        <v>640</v>
      </c>
      <c r="D195" s="32"/>
      <c r="E195" s="23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1"/>
      <c r="U195" s="13">
        <f t="shared" si="9"/>
        <v>0</v>
      </c>
      <c r="V195" s="19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7.399999999999999" x14ac:dyDescent="0.3">
      <c r="A196" s="27">
        <v>1032010053</v>
      </c>
      <c r="B196" s="27" t="s">
        <v>268</v>
      </c>
      <c r="C196" s="28" t="s">
        <v>272</v>
      </c>
      <c r="D196" s="32">
        <v>37940</v>
      </c>
      <c r="E196" s="23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0"/>
      <c r="U196" s="13">
        <v>0</v>
      </c>
      <c r="V196" s="19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7.399999999999999" x14ac:dyDescent="0.3">
      <c r="A197" s="29">
        <v>1025890882</v>
      </c>
      <c r="B197" s="29" t="s">
        <v>695</v>
      </c>
      <c r="C197" s="30" t="s">
        <v>696</v>
      </c>
      <c r="D197" s="32"/>
      <c r="E197" s="23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1"/>
      <c r="U197" s="13">
        <f t="shared" ref="U197:U205" si="10">SUM(E197:T197)</f>
        <v>0</v>
      </c>
      <c r="V197" s="19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7.399999999999999" x14ac:dyDescent="0.3">
      <c r="A198" s="29">
        <v>1036449523</v>
      </c>
      <c r="B198" s="29" t="s">
        <v>667</v>
      </c>
      <c r="C198" s="30" t="s">
        <v>668</v>
      </c>
      <c r="D198" s="32"/>
      <c r="E198" s="23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1"/>
      <c r="U198" s="13">
        <f t="shared" si="10"/>
        <v>0</v>
      </c>
      <c r="V198" s="19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7.399999999999999" x14ac:dyDescent="0.3">
      <c r="A199" s="27">
        <v>1000393168</v>
      </c>
      <c r="B199" s="27" t="s">
        <v>274</v>
      </c>
      <c r="C199" s="28" t="s">
        <v>275</v>
      </c>
      <c r="D199" s="32"/>
      <c r="E199" s="23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0"/>
      <c r="U199" s="13">
        <f t="shared" si="10"/>
        <v>0</v>
      </c>
      <c r="V199" s="19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7.399999999999999" x14ac:dyDescent="0.3">
      <c r="A200" s="27">
        <v>1000570845</v>
      </c>
      <c r="B200" s="27" t="s">
        <v>274</v>
      </c>
      <c r="C200" s="28" t="s">
        <v>276</v>
      </c>
      <c r="D200" s="32"/>
      <c r="E200" s="23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0"/>
      <c r="U200" s="13">
        <f t="shared" si="10"/>
        <v>0</v>
      </c>
      <c r="V200" s="19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7.399999999999999" x14ac:dyDescent="0.3">
      <c r="A201" s="31">
        <v>1000662023</v>
      </c>
      <c r="B201" s="27" t="s">
        <v>274</v>
      </c>
      <c r="C201" s="28" t="s">
        <v>277</v>
      </c>
      <c r="D201" s="32"/>
      <c r="E201" s="23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0"/>
      <c r="U201" s="13">
        <f t="shared" si="10"/>
        <v>0</v>
      </c>
      <c r="V201" s="19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7.399999999999999" x14ac:dyDescent="0.3">
      <c r="A202" s="27">
        <v>1001748884</v>
      </c>
      <c r="B202" s="27" t="s">
        <v>274</v>
      </c>
      <c r="C202" s="28" t="s">
        <v>279</v>
      </c>
      <c r="D202" s="32"/>
      <c r="E202" s="23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0"/>
      <c r="U202" s="13">
        <f t="shared" si="10"/>
        <v>0</v>
      </c>
      <c r="V202" s="19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7.399999999999999" x14ac:dyDescent="0.3">
      <c r="A203" s="27">
        <v>1007338290</v>
      </c>
      <c r="B203" s="27" t="s">
        <v>274</v>
      </c>
      <c r="C203" s="28" t="s">
        <v>280</v>
      </c>
      <c r="D203" s="32"/>
      <c r="E203" s="2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0"/>
      <c r="U203" s="13">
        <f t="shared" si="10"/>
        <v>0</v>
      </c>
      <c r="V203" s="19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7.399999999999999" x14ac:dyDescent="0.3">
      <c r="A204" s="27">
        <v>1036785215</v>
      </c>
      <c r="B204" s="27" t="s">
        <v>274</v>
      </c>
      <c r="C204" s="28" t="s">
        <v>281</v>
      </c>
      <c r="D204" s="32"/>
      <c r="E204" s="2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0"/>
      <c r="U204" s="13">
        <f t="shared" si="10"/>
        <v>0</v>
      </c>
      <c r="V204" s="19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7.399999999999999" x14ac:dyDescent="0.3">
      <c r="A205" s="27">
        <v>1040327628</v>
      </c>
      <c r="B205" s="27" t="s">
        <v>274</v>
      </c>
      <c r="C205" s="28" t="s">
        <v>282</v>
      </c>
      <c r="D205" s="32"/>
      <c r="E205" s="23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0"/>
      <c r="U205" s="13">
        <f t="shared" si="10"/>
        <v>0</v>
      </c>
      <c r="V205" s="19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7.399999999999999" x14ac:dyDescent="0.3">
      <c r="A206" s="27">
        <v>1001366552</v>
      </c>
      <c r="B206" s="27" t="s">
        <v>274</v>
      </c>
      <c r="C206" s="28" t="s">
        <v>278</v>
      </c>
      <c r="D206" s="32">
        <v>36676</v>
      </c>
      <c r="E206" s="23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0"/>
      <c r="U206" s="13">
        <v>0</v>
      </c>
      <c r="V206" s="19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7.399999999999999" x14ac:dyDescent="0.3">
      <c r="A207" s="27">
        <v>1216724894</v>
      </c>
      <c r="B207" s="27" t="s">
        <v>283</v>
      </c>
      <c r="C207" s="28" t="s">
        <v>284</v>
      </c>
      <c r="D207" s="32"/>
      <c r="E207" s="23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0"/>
      <c r="U207" s="13">
        <f t="shared" ref="U207:U215" si="11">SUM(E207:T207)</f>
        <v>0</v>
      </c>
      <c r="V207" s="19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7.399999999999999" x14ac:dyDescent="0.3">
      <c r="A208" s="27">
        <v>1061820274</v>
      </c>
      <c r="B208" s="27" t="s">
        <v>285</v>
      </c>
      <c r="C208" s="28" t="s">
        <v>286</v>
      </c>
      <c r="D208" s="32"/>
      <c r="E208" s="23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0"/>
      <c r="U208" s="13">
        <f t="shared" si="11"/>
        <v>0</v>
      </c>
      <c r="V208" s="19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7.399999999999999" x14ac:dyDescent="0.3">
      <c r="A209" s="27">
        <v>1000409369</v>
      </c>
      <c r="B209" s="27" t="s">
        <v>287</v>
      </c>
      <c r="C209" s="28" t="s">
        <v>288</v>
      </c>
      <c r="D209" s="32"/>
      <c r="E209" s="23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0"/>
      <c r="U209" s="13">
        <f t="shared" si="11"/>
        <v>0</v>
      </c>
      <c r="V209" s="19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7.399999999999999" x14ac:dyDescent="0.3">
      <c r="A210" s="27">
        <v>1007222380</v>
      </c>
      <c r="B210" s="27" t="s">
        <v>287</v>
      </c>
      <c r="C210" s="28" t="s">
        <v>290</v>
      </c>
      <c r="D210" s="32"/>
      <c r="E210" s="23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0"/>
      <c r="U210" s="13">
        <f t="shared" si="11"/>
        <v>0</v>
      </c>
      <c r="V210" s="19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7.399999999999999" x14ac:dyDescent="0.3">
      <c r="A211" s="27">
        <v>1007321595</v>
      </c>
      <c r="B211" s="27" t="s">
        <v>287</v>
      </c>
      <c r="C211" s="28" t="s">
        <v>291</v>
      </c>
      <c r="D211" s="32"/>
      <c r="E211" s="23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0"/>
      <c r="U211" s="13">
        <f t="shared" si="11"/>
        <v>0</v>
      </c>
      <c r="V211" s="19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7.399999999999999" x14ac:dyDescent="0.3">
      <c r="A212" s="27">
        <v>1034987368</v>
      </c>
      <c r="B212" s="27" t="s">
        <v>287</v>
      </c>
      <c r="C212" s="28" t="s">
        <v>293</v>
      </c>
      <c r="D212" s="32"/>
      <c r="E212" s="2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0"/>
      <c r="U212" s="13">
        <f t="shared" si="11"/>
        <v>0</v>
      </c>
      <c r="V212" s="19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7.399999999999999" x14ac:dyDescent="0.3">
      <c r="A213" s="29">
        <v>1128434314</v>
      </c>
      <c r="B213" s="29" t="s">
        <v>287</v>
      </c>
      <c r="C213" s="30" t="s">
        <v>672</v>
      </c>
      <c r="D213" s="32"/>
      <c r="E213" s="2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1"/>
      <c r="U213" s="13">
        <f t="shared" si="11"/>
        <v>0</v>
      </c>
      <c r="V213" s="19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7.399999999999999" x14ac:dyDescent="0.3">
      <c r="A214" s="27">
        <v>1001235388</v>
      </c>
      <c r="B214" s="27" t="s">
        <v>287</v>
      </c>
      <c r="C214" s="28" t="s">
        <v>289</v>
      </c>
      <c r="D214" s="32">
        <v>45594</v>
      </c>
      <c r="E214" s="23">
        <v>90000</v>
      </c>
      <c r="F214" s="14">
        <v>110000</v>
      </c>
      <c r="G214" s="14">
        <v>100000</v>
      </c>
      <c r="H214" s="14">
        <v>100000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0"/>
      <c r="U214" s="13">
        <f t="shared" si="11"/>
        <v>400000</v>
      </c>
      <c r="V214" s="19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7.399999999999999" x14ac:dyDescent="0.3">
      <c r="A215" s="27">
        <v>1017239415</v>
      </c>
      <c r="B215" s="27" t="s">
        <v>287</v>
      </c>
      <c r="C215" s="28" t="s">
        <v>292</v>
      </c>
      <c r="D215" s="32">
        <v>42832</v>
      </c>
      <c r="E215" s="23">
        <v>90000</v>
      </c>
      <c r="F215" s="14">
        <v>100000</v>
      </c>
      <c r="G215" s="14">
        <v>120000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0"/>
      <c r="U215" s="13">
        <f t="shared" si="11"/>
        <v>310000</v>
      </c>
      <c r="V215" s="19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7.399999999999999" x14ac:dyDescent="0.3">
      <c r="A216" s="29">
        <v>1017182984</v>
      </c>
      <c r="B216" s="29" t="s">
        <v>287</v>
      </c>
      <c r="C216" s="30" t="s">
        <v>752</v>
      </c>
      <c r="D216" s="32">
        <v>39675</v>
      </c>
      <c r="E216" s="2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1"/>
      <c r="U216" s="13">
        <v>0</v>
      </c>
      <c r="V216" s="19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7.399999999999999" x14ac:dyDescent="0.3">
      <c r="A217" s="27">
        <v>1000654382</v>
      </c>
      <c r="B217" s="27" t="s">
        <v>294</v>
      </c>
      <c r="C217" s="28" t="s">
        <v>295</v>
      </c>
      <c r="D217" s="32"/>
      <c r="E217" s="2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0"/>
      <c r="U217" s="13">
        <f>SUM(E217:T217)</f>
        <v>0</v>
      </c>
      <c r="V217" s="19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7.399999999999999" x14ac:dyDescent="0.3">
      <c r="A218" s="31">
        <v>1045437950</v>
      </c>
      <c r="B218" s="27" t="s">
        <v>296</v>
      </c>
      <c r="C218" s="28" t="s">
        <v>297</v>
      </c>
      <c r="D218" s="32"/>
      <c r="E218" s="2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0"/>
      <c r="U218" s="13">
        <f>SUM(E218:T218)</f>
        <v>0</v>
      </c>
      <c r="V218" s="19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7.399999999999999" x14ac:dyDescent="0.3">
      <c r="A219" s="27">
        <v>1000752456</v>
      </c>
      <c r="B219" s="27" t="s">
        <v>298</v>
      </c>
      <c r="C219" s="28" t="s">
        <v>299</v>
      </c>
      <c r="D219" s="32"/>
      <c r="E219" s="2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0"/>
      <c r="U219" s="13">
        <f>SUM(E219:T219)</f>
        <v>0</v>
      </c>
      <c r="V219" s="19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7.399999999999999" x14ac:dyDescent="0.3">
      <c r="A220" s="29">
        <v>1000644416</v>
      </c>
      <c r="B220" s="29" t="s">
        <v>298</v>
      </c>
      <c r="C220" s="30" t="s">
        <v>765</v>
      </c>
      <c r="D220" s="32">
        <v>36912</v>
      </c>
      <c r="E220" s="2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1"/>
      <c r="U220" s="13">
        <v>0</v>
      </c>
      <c r="V220" s="19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7.399999999999999" x14ac:dyDescent="0.3">
      <c r="A221" s="29">
        <v>1077841835</v>
      </c>
      <c r="B221" s="29" t="s">
        <v>651</v>
      </c>
      <c r="C221" s="30" t="s">
        <v>652</v>
      </c>
      <c r="D221" s="32"/>
      <c r="E221" s="2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1"/>
      <c r="U221" s="13">
        <f t="shared" ref="U221:U233" si="12">SUM(E221:T221)</f>
        <v>0</v>
      </c>
      <c r="V221" s="19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7.399999999999999" x14ac:dyDescent="0.3">
      <c r="A222" s="31">
        <v>1006148577</v>
      </c>
      <c r="B222" s="27" t="s">
        <v>300</v>
      </c>
      <c r="C222" s="28" t="s">
        <v>301</v>
      </c>
      <c r="D222" s="32"/>
      <c r="E222" s="2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0"/>
      <c r="U222" s="13">
        <f t="shared" si="12"/>
        <v>0</v>
      </c>
      <c r="V222" s="19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7.399999999999999" x14ac:dyDescent="0.3">
      <c r="A223" s="27">
        <v>1121936567</v>
      </c>
      <c r="B223" s="27" t="s">
        <v>302</v>
      </c>
      <c r="C223" s="28" t="s">
        <v>303</v>
      </c>
      <c r="D223" s="32"/>
      <c r="E223" s="2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0"/>
      <c r="U223" s="13">
        <f t="shared" si="12"/>
        <v>0</v>
      </c>
      <c r="V223" s="19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7.399999999999999" x14ac:dyDescent="0.3">
      <c r="A224" s="27">
        <v>1000400004</v>
      </c>
      <c r="B224" s="27" t="s">
        <v>304</v>
      </c>
      <c r="C224" s="28" t="s">
        <v>305</v>
      </c>
      <c r="D224" s="32"/>
      <c r="E224" s="2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0"/>
      <c r="U224" s="13">
        <f t="shared" si="12"/>
        <v>0</v>
      </c>
      <c r="V224" s="19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7.399999999999999" x14ac:dyDescent="0.3">
      <c r="A225" s="27">
        <v>1025885312</v>
      </c>
      <c r="B225" s="27" t="s">
        <v>306</v>
      </c>
      <c r="C225" s="28" t="s">
        <v>307</v>
      </c>
      <c r="D225" s="32"/>
      <c r="E225" s="2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0"/>
      <c r="U225" s="13">
        <f t="shared" si="12"/>
        <v>0</v>
      </c>
      <c r="V225" s="19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7.399999999999999" x14ac:dyDescent="0.3">
      <c r="A226" s="27">
        <v>1005690654</v>
      </c>
      <c r="B226" s="27" t="s">
        <v>308</v>
      </c>
      <c r="C226" s="28" t="s">
        <v>153</v>
      </c>
      <c r="D226" s="32"/>
      <c r="E226" s="2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0"/>
      <c r="U226" s="13">
        <f t="shared" si="12"/>
        <v>0</v>
      </c>
      <c r="V226" s="19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7.399999999999999" x14ac:dyDescent="0.3">
      <c r="A227" s="27">
        <v>1000535955</v>
      </c>
      <c r="B227" s="27" t="s">
        <v>309</v>
      </c>
      <c r="C227" s="28" t="s">
        <v>310</v>
      </c>
      <c r="D227" s="32"/>
      <c r="E227" s="23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0"/>
      <c r="U227" s="13">
        <f t="shared" si="12"/>
        <v>0</v>
      </c>
      <c r="V227" s="19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7.399999999999999" x14ac:dyDescent="0.3">
      <c r="A228" s="29">
        <v>1193563070</v>
      </c>
      <c r="B228" s="29" t="s">
        <v>714</v>
      </c>
      <c r="C228" s="30" t="s">
        <v>715</v>
      </c>
      <c r="D228" s="32"/>
      <c r="E228" s="23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1"/>
      <c r="U228" s="13">
        <f t="shared" si="12"/>
        <v>0</v>
      </c>
      <c r="V228" s="19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7.399999999999999" x14ac:dyDescent="0.3">
      <c r="A229" s="27">
        <v>1126600886</v>
      </c>
      <c r="B229" s="27" t="s">
        <v>311</v>
      </c>
      <c r="C229" s="28" t="s">
        <v>312</v>
      </c>
      <c r="D229" s="32">
        <v>33766</v>
      </c>
      <c r="E229" s="23">
        <v>80000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0"/>
      <c r="U229" s="13">
        <f t="shared" si="12"/>
        <v>80000</v>
      </c>
      <c r="V229" s="19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7.399999999999999" x14ac:dyDescent="0.3">
      <c r="A230" s="29">
        <v>1039464712</v>
      </c>
      <c r="B230" s="29" t="s">
        <v>758</v>
      </c>
      <c r="C230" s="30" t="s">
        <v>759</v>
      </c>
      <c r="D230" s="32"/>
      <c r="E230" s="23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1"/>
      <c r="U230" s="13">
        <f t="shared" si="12"/>
        <v>0</v>
      </c>
      <c r="V230" s="19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7.399999999999999" x14ac:dyDescent="0.3">
      <c r="A231" s="31">
        <v>1006385576</v>
      </c>
      <c r="B231" s="27" t="s">
        <v>313</v>
      </c>
      <c r="C231" s="28" t="s">
        <v>314</v>
      </c>
      <c r="D231" s="32"/>
      <c r="E231" s="23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0"/>
      <c r="U231" s="13">
        <f t="shared" si="12"/>
        <v>0</v>
      </c>
      <c r="V231" s="19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7.399999999999999" x14ac:dyDescent="0.3">
      <c r="A232" s="27">
        <v>1000402259</v>
      </c>
      <c r="B232" s="27" t="s">
        <v>315</v>
      </c>
      <c r="C232" s="28" t="s">
        <v>316</v>
      </c>
      <c r="D232" s="32"/>
      <c r="E232" s="23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0"/>
      <c r="U232" s="13">
        <f t="shared" si="12"/>
        <v>0</v>
      </c>
      <c r="V232" s="19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7.399999999999999" x14ac:dyDescent="0.3">
      <c r="A233" s="27">
        <v>1000871491</v>
      </c>
      <c r="B233" s="27" t="s">
        <v>317</v>
      </c>
      <c r="C233" s="28" t="s">
        <v>318</v>
      </c>
      <c r="D233" s="32"/>
      <c r="E233" s="23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0"/>
      <c r="U233" s="13">
        <f t="shared" si="12"/>
        <v>0</v>
      </c>
      <c r="V233" s="19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7.399999999999999" x14ac:dyDescent="0.3">
      <c r="A234" s="31">
        <v>1013460589</v>
      </c>
      <c r="B234" s="31" t="s">
        <v>317</v>
      </c>
      <c r="C234" s="30" t="s">
        <v>794</v>
      </c>
      <c r="D234" s="32">
        <v>45866</v>
      </c>
      <c r="E234" s="23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3"/>
      <c r="U234" s="13">
        <v>0</v>
      </c>
      <c r="V234" s="19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7.399999999999999" x14ac:dyDescent="0.3">
      <c r="A235" s="27">
        <v>1113669720</v>
      </c>
      <c r="B235" s="27" t="s">
        <v>319</v>
      </c>
      <c r="C235" s="28" t="s">
        <v>320</v>
      </c>
      <c r="D235" s="32"/>
      <c r="E235" s="23">
        <v>80000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0"/>
      <c r="U235" s="13">
        <f>SUM(E235:T235)</f>
        <v>80000</v>
      </c>
      <c r="V235" s="19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7.399999999999999" x14ac:dyDescent="0.3">
      <c r="A236" s="29">
        <v>1023629982</v>
      </c>
      <c r="B236" s="29" t="s">
        <v>687</v>
      </c>
      <c r="C236" s="30" t="s">
        <v>688</v>
      </c>
      <c r="D236" s="32"/>
      <c r="E236" s="23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1"/>
      <c r="U236" s="13">
        <f>SUM(E236:T236)</f>
        <v>0</v>
      </c>
      <c r="V236" s="19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7.399999999999999" x14ac:dyDescent="0.3">
      <c r="A237" s="29">
        <v>1038646042</v>
      </c>
      <c r="B237" s="29" t="s">
        <v>704</v>
      </c>
      <c r="C237" s="30" t="s">
        <v>650</v>
      </c>
      <c r="D237" s="32">
        <v>37886</v>
      </c>
      <c r="E237" s="23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1"/>
      <c r="U237" s="13">
        <v>0</v>
      </c>
      <c r="V237" s="19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7.399999999999999" x14ac:dyDescent="0.3">
      <c r="A238" s="27">
        <v>1036448591</v>
      </c>
      <c r="B238" s="27" t="s">
        <v>22</v>
      </c>
      <c r="C238" s="28" t="s">
        <v>23</v>
      </c>
      <c r="D238" s="32"/>
      <c r="E238" s="2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0"/>
      <c r="U238" s="13">
        <f>SUM(E238:T238)</f>
        <v>0</v>
      </c>
      <c r="V238" s="19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7.399999999999999" x14ac:dyDescent="0.3">
      <c r="A239" s="31">
        <v>1000547492</v>
      </c>
      <c r="B239" s="27" t="s">
        <v>22</v>
      </c>
      <c r="C239" s="28" t="s">
        <v>321</v>
      </c>
      <c r="D239" s="32"/>
      <c r="E239" s="2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0"/>
      <c r="U239" s="13">
        <f>SUM(E239:T239)</f>
        <v>0</v>
      </c>
      <c r="V239" s="19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7.399999999999999" x14ac:dyDescent="0.3">
      <c r="A240" s="29">
        <v>1001359480</v>
      </c>
      <c r="B240" s="29" t="s">
        <v>22</v>
      </c>
      <c r="C240" s="30" t="s">
        <v>677</v>
      </c>
      <c r="D240" s="32"/>
      <c r="E240" s="2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1"/>
      <c r="U240" s="13">
        <f>SUM(E240:T240)</f>
        <v>0</v>
      </c>
      <c r="V240" s="19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7.399999999999999" x14ac:dyDescent="0.3">
      <c r="A241" s="27">
        <v>1011510860</v>
      </c>
      <c r="B241" s="27" t="s">
        <v>22</v>
      </c>
      <c r="C241" s="28" t="s">
        <v>322</v>
      </c>
      <c r="D241" s="32">
        <v>38311</v>
      </c>
      <c r="E241" s="23">
        <v>270000</v>
      </c>
      <c r="F241" s="14">
        <v>80000</v>
      </c>
      <c r="G241" s="14">
        <v>90000</v>
      </c>
      <c r="H241" s="14">
        <v>90000</v>
      </c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0"/>
      <c r="U241" s="13">
        <f>SUM(E241:T241)</f>
        <v>530000</v>
      </c>
      <c r="V241" s="19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7.399999999999999" x14ac:dyDescent="0.3">
      <c r="A242" s="27">
        <v>1018232559</v>
      </c>
      <c r="B242" s="27" t="s">
        <v>22</v>
      </c>
      <c r="C242" s="28" t="s">
        <v>323</v>
      </c>
      <c r="D242" s="32">
        <v>38778</v>
      </c>
      <c r="E242" s="2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0"/>
      <c r="U242" s="13">
        <v>0</v>
      </c>
      <c r="V242" s="19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7.399999999999999" x14ac:dyDescent="0.3">
      <c r="A243" s="27">
        <v>1000190302</v>
      </c>
      <c r="B243" s="27" t="s">
        <v>324</v>
      </c>
      <c r="C243" s="28" t="s">
        <v>325</v>
      </c>
      <c r="D243" s="32">
        <v>37299</v>
      </c>
      <c r="E243" s="2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0"/>
      <c r="U243" s="13">
        <v>0</v>
      </c>
      <c r="V243" s="19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7.399999999999999" x14ac:dyDescent="0.3">
      <c r="A244" s="29">
        <v>1000772163</v>
      </c>
      <c r="B244" s="29" t="s">
        <v>705</v>
      </c>
      <c r="C244" s="30" t="s">
        <v>706</v>
      </c>
      <c r="D244" s="32"/>
      <c r="E244" s="2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1"/>
      <c r="U244" s="13">
        <f>SUM(E244:T244)</f>
        <v>0</v>
      </c>
      <c r="V244" s="19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7.399999999999999" x14ac:dyDescent="0.3">
      <c r="A245" s="27">
        <v>1003005012</v>
      </c>
      <c r="B245" s="27" t="s">
        <v>326</v>
      </c>
      <c r="C245" s="28" t="s">
        <v>327</v>
      </c>
      <c r="D245" s="32">
        <v>36966</v>
      </c>
      <c r="E245" s="2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0"/>
      <c r="U245" s="13">
        <v>0</v>
      </c>
      <c r="V245" s="19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7.399999999999999" x14ac:dyDescent="0.3">
      <c r="A246" s="29">
        <v>1066874901</v>
      </c>
      <c r="B246" s="29" t="s">
        <v>663</v>
      </c>
      <c r="C246" s="30" t="s">
        <v>664</v>
      </c>
      <c r="D246" s="32">
        <v>38374</v>
      </c>
      <c r="E246" s="2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1"/>
      <c r="U246" s="13">
        <v>0</v>
      </c>
      <c r="V246" s="19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7.399999999999999" x14ac:dyDescent="0.3">
      <c r="A247" s="27">
        <v>1000602970</v>
      </c>
      <c r="B247" s="27" t="s">
        <v>328</v>
      </c>
      <c r="C247" s="28" t="s">
        <v>329</v>
      </c>
      <c r="D247" s="32"/>
      <c r="E247" s="2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0"/>
      <c r="U247" s="13">
        <f>SUM(E247:T247)</f>
        <v>0</v>
      </c>
      <c r="V247" s="19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7.399999999999999" x14ac:dyDescent="0.3">
      <c r="A248" s="29">
        <v>1000872630</v>
      </c>
      <c r="B248" s="29" t="s">
        <v>731</v>
      </c>
      <c r="C248" s="30" t="s">
        <v>732</v>
      </c>
      <c r="D248" s="32">
        <v>43901</v>
      </c>
      <c r="E248" s="2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1"/>
      <c r="U248" s="13">
        <v>0</v>
      </c>
      <c r="V248" s="19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7.399999999999999" x14ac:dyDescent="0.3">
      <c r="A249" s="31">
        <v>1001229476</v>
      </c>
      <c r="B249" s="27" t="s">
        <v>330</v>
      </c>
      <c r="C249" s="28" t="s">
        <v>331</v>
      </c>
      <c r="D249" s="32"/>
      <c r="E249" s="2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0"/>
      <c r="U249" s="13">
        <f>SUM(E249:T249)</f>
        <v>0</v>
      </c>
      <c r="V249" s="19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7.399999999999999" x14ac:dyDescent="0.3">
      <c r="A250" s="27">
        <v>1003556965</v>
      </c>
      <c r="B250" s="27" t="s">
        <v>332</v>
      </c>
      <c r="C250" s="28" t="s">
        <v>333</v>
      </c>
      <c r="D250" s="32"/>
      <c r="E250" s="2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0"/>
      <c r="U250" s="13">
        <f>SUM(E250:T250)</f>
        <v>0</v>
      </c>
      <c r="V250" s="19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7.399999999999999" x14ac:dyDescent="0.3">
      <c r="A251" s="27">
        <v>1029580106</v>
      </c>
      <c r="B251" s="27" t="s">
        <v>332</v>
      </c>
      <c r="C251" s="28" t="s">
        <v>334</v>
      </c>
      <c r="D251" s="32"/>
      <c r="E251" s="2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0"/>
      <c r="U251" s="13">
        <f>SUM(E251:T251)</f>
        <v>0</v>
      </c>
      <c r="V251" s="19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7.399999999999999" x14ac:dyDescent="0.3">
      <c r="A252" s="29">
        <v>1128434548</v>
      </c>
      <c r="B252" s="29" t="s">
        <v>734</v>
      </c>
      <c r="C252" s="30" t="s">
        <v>735</v>
      </c>
      <c r="D252" s="32">
        <v>33121</v>
      </c>
      <c r="E252" s="2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1"/>
      <c r="U252" s="13">
        <v>0</v>
      </c>
      <c r="V252" s="19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7.399999999999999" x14ac:dyDescent="0.3">
      <c r="A253" s="27">
        <v>1118571413</v>
      </c>
      <c r="B253" s="27" t="s">
        <v>335</v>
      </c>
      <c r="C253" s="28" t="s">
        <v>336</v>
      </c>
      <c r="D253" s="32"/>
      <c r="E253" s="2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0"/>
      <c r="U253" s="13">
        <f>SUM(E253:T253)</f>
        <v>0</v>
      </c>
      <c r="V253" s="19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7.399999999999999" x14ac:dyDescent="0.3">
      <c r="A254" s="27">
        <v>1045107358</v>
      </c>
      <c r="B254" s="27" t="s">
        <v>337</v>
      </c>
      <c r="C254" s="28" t="s">
        <v>338</v>
      </c>
      <c r="D254" s="32">
        <v>32292</v>
      </c>
      <c r="E254" s="2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0"/>
      <c r="U254" s="13">
        <v>0</v>
      </c>
      <c r="V254" s="19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7.399999999999999" x14ac:dyDescent="0.3">
      <c r="A255" s="27">
        <v>1032476055</v>
      </c>
      <c r="B255" s="27" t="s">
        <v>339</v>
      </c>
      <c r="C255" s="28" t="s">
        <v>340</v>
      </c>
      <c r="D255" s="32"/>
      <c r="E255" s="2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0"/>
      <c r="U255" s="13">
        <f>SUM(E255:T255)</f>
        <v>0</v>
      </c>
      <c r="V255" s="19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7.399999999999999" x14ac:dyDescent="0.3">
      <c r="A256" s="27">
        <v>1045113217</v>
      </c>
      <c r="B256" s="27" t="s">
        <v>341</v>
      </c>
      <c r="C256" s="28" t="s">
        <v>342</v>
      </c>
      <c r="D256" s="32">
        <v>31886</v>
      </c>
      <c r="E256" s="2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0"/>
      <c r="U256" s="13">
        <v>0</v>
      </c>
      <c r="V256" s="19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7.399999999999999" x14ac:dyDescent="0.3">
      <c r="A257" s="29">
        <v>4365718</v>
      </c>
      <c r="B257" s="29" t="s">
        <v>702</v>
      </c>
      <c r="C257" s="30" t="s">
        <v>703</v>
      </c>
      <c r="D257" s="32"/>
      <c r="E257" s="2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1"/>
      <c r="U257" s="13">
        <f>SUM(E257:T257)</f>
        <v>0</v>
      </c>
      <c r="V257" s="19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7.399999999999999" x14ac:dyDescent="0.3">
      <c r="A258" s="27">
        <v>1216728020</v>
      </c>
      <c r="B258" s="27" t="s">
        <v>343</v>
      </c>
      <c r="C258" s="28" t="s">
        <v>344</v>
      </c>
      <c r="D258" s="32">
        <v>36172</v>
      </c>
      <c r="E258" s="23">
        <v>300000</v>
      </c>
      <c r="F258" s="14">
        <v>360000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0"/>
      <c r="U258" s="13">
        <f>SUM(E258:T258)</f>
        <v>660000</v>
      </c>
      <c r="V258" s="19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7.399999999999999" x14ac:dyDescent="0.3">
      <c r="A259" s="27">
        <v>1046669597</v>
      </c>
      <c r="B259" s="27" t="s">
        <v>345</v>
      </c>
      <c r="C259" s="28" t="s">
        <v>346</v>
      </c>
      <c r="D259" s="32"/>
      <c r="E259" s="2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0"/>
      <c r="U259" s="13">
        <f>SUM(E259:T259)</f>
        <v>0</v>
      </c>
      <c r="V259" s="19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7.399999999999999" x14ac:dyDescent="0.3">
      <c r="A260" s="27">
        <v>1045050556</v>
      </c>
      <c r="B260" s="27" t="s">
        <v>347</v>
      </c>
      <c r="C260" s="28" t="s">
        <v>348</v>
      </c>
      <c r="D260" s="32"/>
      <c r="E260" s="2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0"/>
      <c r="U260" s="13">
        <f>SUM(E260:T260)</f>
        <v>0</v>
      </c>
      <c r="V260" s="19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7.399999999999999" x14ac:dyDescent="0.3">
      <c r="A261" s="27">
        <v>1036614144</v>
      </c>
      <c r="B261" s="27" t="s">
        <v>349</v>
      </c>
      <c r="C261" s="28" t="s">
        <v>350</v>
      </c>
      <c r="D261" s="32">
        <v>32155</v>
      </c>
      <c r="E261" s="2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0"/>
      <c r="U261" s="13">
        <v>0</v>
      </c>
      <c r="V261" s="19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7.399999999999999" x14ac:dyDescent="0.3">
      <c r="A262" s="31">
        <v>1017175985</v>
      </c>
      <c r="B262" s="31" t="s">
        <v>782</v>
      </c>
      <c r="C262" s="30" t="s">
        <v>781</v>
      </c>
      <c r="D262" s="32">
        <v>32736</v>
      </c>
      <c r="E262" s="2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3"/>
      <c r="U262" s="13">
        <v>0</v>
      </c>
      <c r="V262" s="19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7.399999999999999" x14ac:dyDescent="0.3">
      <c r="A263" s="31">
        <v>1000438549</v>
      </c>
      <c r="B263" s="31" t="s">
        <v>807</v>
      </c>
      <c r="C263" s="30" t="s">
        <v>804</v>
      </c>
      <c r="D263" s="32">
        <v>36573</v>
      </c>
      <c r="E263" s="2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3"/>
      <c r="U263" s="13">
        <v>0</v>
      </c>
      <c r="V263" s="19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7.399999999999999" x14ac:dyDescent="0.3">
      <c r="A264" s="27">
        <v>1000085342</v>
      </c>
      <c r="B264" s="27" t="s">
        <v>351</v>
      </c>
      <c r="C264" s="28" t="s">
        <v>352</v>
      </c>
      <c r="D264" s="32"/>
      <c r="E264" s="2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0"/>
      <c r="U264" s="13">
        <f t="shared" ref="U264:U272" si="13">SUM(E264:T264)</f>
        <v>0</v>
      </c>
      <c r="V264" s="19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7.399999999999999" x14ac:dyDescent="0.3">
      <c r="A265" s="29">
        <v>1110295818</v>
      </c>
      <c r="B265" s="29" t="s">
        <v>693</v>
      </c>
      <c r="C265" s="30" t="s">
        <v>694</v>
      </c>
      <c r="D265" s="32"/>
      <c r="E265" s="2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1"/>
      <c r="U265" s="13">
        <f t="shared" si="13"/>
        <v>0</v>
      </c>
      <c r="V265" s="19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7.399999999999999" x14ac:dyDescent="0.3">
      <c r="A266" s="29">
        <v>1036681575</v>
      </c>
      <c r="B266" s="29" t="s">
        <v>716</v>
      </c>
      <c r="C266" s="30" t="s">
        <v>717</v>
      </c>
      <c r="D266" s="32"/>
      <c r="E266" s="2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1"/>
      <c r="U266" s="13">
        <f t="shared" si="13"/>
        <v>0</v>
      </c>
      <c r="V266" s="19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7.399999999999999" x14ac:dyDescent="0.3">
      <c r="A267" s="27">
        <v>1020399600</v>
      </c>
      <c r="B267" s="27" t="s">
        <v>353</v>
      </c>
      <c r="C267" s="28" t="s">
        <v>354</v>
      </c>
      <c r="D267" s="32"/>
      <c r="E267" s="2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0"/>
      <c r="U267" s="13">
        <f t="shared" si="13"/>
        <v>0</v>
      </c>
      <c r="V267" s="19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7.399999999999999" x14ac:dyDescent="0.3">
      <c r="A268" s="29">
        <v>49789412</v>
      </c>
      <c r="B268" s="29" t="s">
        <v>635</v>
      </c>
      <c r="C268" s="30" t="s">
        <v>632</v>
      </c>
      <c r="D268" s="32"/>
      <c r="E268" s="2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1"/>
      <c r="U268" s="13">
        <f t="shared" si="13"/>
        <v>0</v>
      </c>
      <c r="V268" s="19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7.399999999999999" x14ac:dyDescent="0.3">
      <c r="A269" s="29">
        <v>1020499916</v>
      </c>
      <c r="B269" s="29" t="s">
        <v>744</v>
      </c>
      <c r="C269" s="30" t="s">
        <v>745</v>
      </c>
      <c r="D269" s="32"/>
      <c r="E269" s="2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1"/>
      <c r="U269" s="13">
        <f t="shared" si="13"/>
        <v>0</v>
      </c>
      <c r="V269" s="19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7.399999999999999" x14ac:dyDescent="0.3">
      <c r="A270" s="27">
        <v>1034986316</v>
      </c>
      <c r="B270" s="27" t="s">
        <v>355</v>
      </c>
      <c r="C270" s="28" t="s">
        <v>356</v>
      </c>
      <c r="D270" s="32"/>
      <c r="E270" s="2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0"/>
      <c r="U270" s="13">
        <f t="shared" si="13"/>
        <v>0</v>
      </c>
      <c r="V270" s="19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7.399999999999999" x14ac:dyDescent="0.3">
      <c r="A271" s="31">
        <v>43272593</v>
      </c>
      <c r="B271" s="27" t="s">
        <v>357</v>
      </c>
      <c r="C271" s="28" t="s">
        <v>358</v>
      </c>
      <c r="D271" s="32"/>
      <c r="E271" s="2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0"/>
      <c r="U271" s="13">
        <f t="shared" si="13"/>
        <v>0</v>
      </c>
      <c r="V271" s="19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7.399999999999999" x14ac:dyDescent="0.3">
      <c r="A272" s="27">
        <v>1036598655</v>
      </c>
      <c r="B272" s="27" t="s">
        <v>357</v>
      </c>
      <c r="C272" s="28" t="s">
        <v>359</v>
      </c>
      <c r="D272" s="32"/>
      <c r="E272" s="2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0"/>
      <c r="U272" s="13">
        <f t="shared" si="13"/>
        <v>0</v>
      </c>
      <c r="V272" s="19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7.399999999999999" x14ac:dyDescent="0.3">
      <c r="A273" s="27">
        <v>1152212652</v>
      </c>
      <c r="B273" s="27" t="s">
        <v>360</v>
      </c>
      <c r="C273" s="28" t="s">
        <v>361</v>
      </c>
      <c r="D273" s="32">
        <v>35169</v>
      </c>
      <c r="E273" s="2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0"/>
      <c r="U273" s="13">
        <v>0</v>
      </c>
      <c r="V273" s="19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7.399999999999999" x14ac:dyDescent="0.3">
      <c r="A274" s="27">
        <v>1000207920</v>
      </c>
      <c r="B274" s="27" t="s">
        <v>362</v>
      </c>
      <c r="C274" s="28" t="s">
        <v>363</v>
      </c>
      <c r="D274" s="32"/>
      <c r="E274" s="2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0"/>
      <c r="U274" s="13">
        <f t="shared" ref="U274:U279" si="14">SUM(E274:T274)</f>
        <v>0</v>
      </c>
      <c r="V274" s="19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7.399999999999999" x14ac:dyDescent="0.3">
      <c r="A275" s="27">
        <v>1017219589</v>
      </c>
      <c r="B275" s="27" t="s">
        <v>364</v>
      </c>
      <c r="C275" s="28" t="s">
        <v>365</v>
      </c>
      <c r="D275" s="32"/>
      <c r="E275" s="2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0"/>
      <c r="U275" s="13">
        <f t="shared" si="14"/>
        <v>0</v>
      </c>
      <c r="V275" s="19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7.399999999999999" x14ac:dyDescent="0.3">
      <c r="A276" s="27">
        <v>1193597565</v>
      </c>
      <c r="B276" s="27" t="s">
        <v>366</v>
      </c>
      <c r="C276" s="28" t="s">
        <v>367</v>
      </c>
      <c r="D276" s="32"/>
      <c r="E276" s="2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0"/>
      <c r="U276" s="13">
        <f t="shared" si="14"/>
        <v>0</v>
      </c>
      <c r="V276" s="19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7.399999999999999" x14ac:dyDescent="0.3">
      <c r="A277" s="27">
        <v>1152457708</v>
      </c>
      <c r="B277" s="27" t="s">
        <v>368</v>
      </c>
      <c r="C277" s="28" t="s">
        <v>369</v>
      </c>
      <c r="D277" s="32">
        <v>35061</v>
      </c>
      <c r="E277" s="23">
        <v>80000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0"/>
      <c r="U277" s="13">
        <f t="shared" si="14"/>
        <v>80000</v>
      </c>
      <c r="V277" s="19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7.399999999999999" x14ac:dyDescent="0.3">
      <c r="A278" s="31">
        <v>1017197109</v>
      </c>
      <c r="B278" s="27" t="s">
        <v>370</v>
      </c>
      <c r="C278" s="28" t="s">
        <v>371</v>
      </c>
      <c r="D278" s="32">
        <v>33534</v>
      </c>
      <c r="E278" s="2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0"/>
      <c r="U278" s="13">
        <f t="shared" si="14"/>
        <v>0</v>
      </c>
      <c r="V278" s="19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7.399999999999999" x14ac:dyDescent="0.3">
      <c r="A279" s="27">
        <v>1002061230</v>
      </c>
      <c r="B279" s="27" t="s">
        <v>372</v>
      </c>
      <c r="C279" s="28" t="s">
        <v>373</v>
      </c>
      <c r="D279" s="32"/>
      <c r="E279" s="2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0"/>
      <c r="U279" s="13">
        <f t="shared" si="14"/>
        <v>0</v>
      </c>
      <c r="V279" s="19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7.399999999999999" x14ac:dyDescent="0.3">
      <c r="A280" s="27">
        <v>15490976</v>
      </c>
      <c r="B280" s="27" t="s">
        <v>374</v>
      </c>
      <c r="C280" s="28" t="s">
        <v>375</v>
      </c>
      <c r="D280" s="32">
        <v>37656</v>
      </c>
      <c r="E280" s="2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0"/>
      <c r="U280" s="13">
        <v>0</v>
      </c>
      <c r="V280" s="19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7.399999999999999" x14ac:dyDescent="0.3">
      <c r="A281" s="29">
        <v>1152696492</v>
      </c>
      <c r="B281" s="29" t="s">
        <v>682</v>
      </c>
      <c r="C281" s="30" t="s">
        <v>338</v>
      </c>
      <c r="D281" s="32"/>
      <c r="E281" s="2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1"/>
      <c r="U281" s="13">
        <f>SUM(E281:T281)</f>
        <v>0</v>
      </c>
      <c r="V281" s="19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7.399999999999999" x14ac:dyDescent="0.3">
      <c r="A282" s="27">
        <v>1040730543</v>
      </c>
      <c r="B282" s="27" t="s">
        <v>376</v>
      </c>
      <c r="C282" s="28" t="s">
        <v>377</v>
      </c>
      <c r="D282" s="32"/>
      <c r="E282" s="2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0"/>
      <c r="U282" s="13">
        <f>SUM(E282:T282)</f>
        <v>0</v>
      </c>
      <c r="V282" s="19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7.399999999999999" x14ac:dyDescent="0.3">
      <c r="A283" s="29">
        <v>1037636088</v>
      </c>
      <c r="B283" s="29" t="s">
        <v>638</v>
      </c>
      <c r="C283" s="30" t="s">
        <v>639</v>
      </c>
      <c r="D283" s="32">
        <v>34556</v>
      </c>
      <c r="E283" s="2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1"/>
      <c r="U283" s="13">
        <v>0</v>
      </c>
      <c r="V283" s="19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7.399999999999999" x14ac:dyDescent="0.3">
      <c r="A284" s="27">
        <v>1007452010</v>
      </c>
      <c r="B284" s="27" t="s">
        <v>378</v>
      </c>
      <c r="C284" s="28" t="s">
        <v>379</v>
      </c>
      <c r="D284" s="32"/>
      <c r="E284" s="2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0"/>
      <c r="U284" s="13">
        <f>SUM(E284:T284)</f>
        <v>0</v>
      </c>
      <c r="V284" s="19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7.399999999999999" x14ac:dyDescent="0.3">
      <c r="A285" s="27">
        <v>1036640370</v>
      </c>
      <c r="B285" s="27" t="s">
        <v>378</v>
      </c>
      <c r="C285" s="28" t="s">
        <v>381</v>
      </c>
      <c r="D285" s="32"/>
      <c r="E285" s="2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0"/>
      <c r="U285" s="13">
        <f>SUM(E285:T285)</f>
        <v>0</v>
      </c>
      <c r="V285" s="19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7.399999999999999" x14ac:dyDescent="0.3">
      <c r="A286" s="29">
        <v>1000761314</v>
      </c>
      <c r="B286" s="29" t="s">
        <v>378</v>
      </c>
      <c r="C286" s="30" t="s">
        <v>629</v>
      </c>
      <c r="D286" s="32"/>
      <c r="E286" s="2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1"/>
      <c r="U286" s="13">
        <f>SUM(E286:T286)</f>
        <v>0</v>
      </c>
      <c r="V286" s="19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7.399999999999999" x14ac:dyDescent="0.3">
      <c r="A287" s="31">
        <v>1152466377</v>
      </c>
      <c r="B287" s="27" t="s">
        <v>378</v>
      </c>
      <c r="C287" s="28" t="s">
        <v>382</v>
      </c>
      <c r="D287" s="32">
        <v>35932</v>
      </c>
      <c r="E287" s="23">
        <v>90000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0"/>
      <c r="U287" s="13">
        <f>SUM(E287:T287)</f>
        <v>90000</v>
      </c>
      <c r="V287" s="19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7.399999999999999" x14ac:dyDescent="0.3">
      <c r="A288" s="27">
        <v>1035421934</v>
      </c>
      <c r="B288" s="27" t="s">
        <v>378</v>
      </c>
      <c r="C288" s="28" t="s">
        <v>380</v>
      </c>
      <c r="D288" s="32">
        <v>32667</v>
      </c>
      <c r="E288" s="2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0"/>
      <c r="U288" s="13">
        <v>0</v>
      </c>
      <c r="V288" s="19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7.399999999999999" x14ac:dyDescent="0.3">
      <c r="A289" s="27">
        <v>1001390465</v>
      </c>
      <c r="B289" s="27" t="s">
        <v>383</v>
      </c>
      <c r="C289" s="28" t="s">
        <v>384</v>
      </c>
      <c r="D289" s="32"/>
      <c r="E289" s="2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0"/>
      <c r="U289" s="13">
        <f>SUM(E289:T289)</f>
        <v>0</v>
      </c>
      <c r="V289" s="19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7.399999999999999" x14ac:dyDescent="0.3">
      <c r="A290" s="27">
        <v>1025641366</v>
      </c>
      <c r="B290" s="27" t="s">
        <v>383</v>
      </c>
      <c r="C290" s="28" t="s">
        <v>385</v>
      </c>
      <c r="D290" s="32"/>
      <c r="E290" s="2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0"/>
      <c r="U290" s="13">
        <f>SUM(E290:T290)</f>
        <v>0</v>
      </c>
      <c r="V290" s="19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7.399999999999999" x14ac:dyDescent="0.3">
      <c r="A291" s="27">
        <v>1092455217</v>
      </c>
      <c r="B291" s="27" t="s">
        <v>386</v>
      </c>
      <c r="C291" s="28" t="s">
        <v>387</v>
      </c>
      <c r="D291" s="32"/>
      <c r="E291" s="2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0"/>
      <c r="U291" s="13">
        <f>SUM(E291:T291)</f>
        <v>0</v>
      </c>
      <c r="V291" s="19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7.399999999999999" x14ac:dyDescent="0.3">
      <c r="A292" s="31">
        <v>1111342117</v>
      </c>
      <c r="B292" s="27" t="s">
        <v>388</v>
      </c>
      <c r="C292" s="28" t="s">
        <v>389</v>
      </c>
      <c r="D292" s="32">
        <v>36487</v>
      </c>
      <c r="E292" s="2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0"/>
      <c r="U292" s="13">
        <v>0</v>
      </c>
      <c r="V292" s="19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7.399999999999999" x14ac:dyDescent="0.3">
      <c r="A293" s="31">
        <v>1039462076</v>
      </c>
      <c r="B293" s="31" t="s">
        <v>809</v>
      </c>
      <c r="C293" s="30" t="s">
        <v>808</v>
      </c>
      <c r="D293" s="32">
        <v>34468</v>
      </c>
      <c r="E293" s="2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3"/>
      <c r="U293" s="13">
        <v>0</v>
      </c>
      <c r="V293" s="19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7.399999999999999" x14ac:dyDescent="0.3">
      <c r="A294" s="31">
        <v>1017224805</v>
      </c>
      <c r="B294" s="31" t="s">
        <v>796</v>
      </c>
      <c r="C294" s="30" t="s">
        <v>795</v>
      </c>
      <c r="D294" s="32">
        <v>43926</v>
      </c>
      <c r="E294" s="2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3"/>
      <c r="U294" s="13">
        <v>0</v>
      </c>
      <c r="V294" s="19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7.399999999999999" x14ac:dyDescent="0.3">
      <c r="A295" s="27">
        <v>1000088364</v>
      </c>
      <c r="B295" s="27" t="s">
        <v>390</v>
      </c>
      <c r="C295" s="28" t="s">
        <v>391</v>
      </c>
      <c r="D295" s="32"/>
      <c r="E295" s="2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0"/>
      <c r="U295" s="13">
        <f>SUM(E295:T295)</f>
        <v>0</v>
      </c>
      <c r="V295" s="19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7.399999999999999" x14ac:dyDescent="0.3">
      <c r="A296" s="27">
        <v>1015071133</v>
      </c>
      <c r="B296" s="27" t="s">
        <v>390</v>
      </c>
      <c r="C296" s="28" t="s">
        <v>393</v>
      </c>
      <c r="D296" s="32"/>
      <c r="E296" s="2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0"/>
      <c r="U296" s="13">
        <f>SUM(E296:T296)</f>
        <v>0</v>
      </c>
      <c r="V296" s="19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7.399999999999999" x14ac:dyDescent="0.3">
      <c r="A297" s="27">
        <v>1001139385</v>
      </c>
      <c r="B297" s="27" t="s">
        <v>390</v>
      </c>
      <c r="C297" s="28" t="s">
        <v>392</v>
      </c>
      <c r="D297" s="32">
        <v>37148</v>
      </c>
      <c r="E297" s="2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0"/>
      <c r="U297" s="13">
        <v>0</v>
      </c>
      <c r="V297" s="19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7.399999999999999" x14ac:dyDescent="0.3">
      <c r="A298" s="27">
        <v>1018225042</v>
      </c>
      <c r="B298" s="27" t="s">
        <v>390</v>
      </c>
      <c r="C298" s="28" t="s">
        <v>394</v>
      </c>
      <c r="D298" s="32">
        <v>22070</v>
      </c>
      <c r="E298" s="2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0"/>
      <c r="U298" s="13">
        <v>0</v>
      </c>
      <c r="V298" s="19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7.399999999999999" x14ac:dyDescent="0.3">
      <c r="A299" s="31">
        <v>1000639939</v>
      </c>
      <c r="B299" s="27" t="s">
        <v>390</v>
      </c>
      <c r="C299" s="28" t="s">
        <v>359</v>
      </c>
      <c r="D299" s="32">
        <v>37134</v>
      </c>
      <c r="E299" s="2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1"/>
      <c r="U299" s="13">
        <f>SUM(E299:T299)</f>
        <v>0</v>
      </c>
      <c r="V299" s="19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7.399999999999999" x14ac:dyDescent="0.3">
      <c r="A300" s="27">
        <v>43915171</v>
      </c>
      <c r="B300" s="27" t="s">
        <v>395</v>
      </c>
      <c r="C300" s="28" t="s">
        <v>396</v>
      </c>
      <c r="D300" s="32"/>
      <c r="E300" s="2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0"/>
      <c r="U300" s="13">
        <f>SUM(E300:T300)</f>
        <v>0</v>
      </c>
      <c r="V300" s="19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7.399999999999999" x14ac:dyDescent="0.3">
      <c r="A301" s="29">
        <v>1036962511</v>
      </c>
      <c r="B301" s="29" t="s">
        <v>659</v>
      </c>
      <c r="C301" s="30" t="s">
        <v>660</v>
      </c>
      <c r="D301" s="32"/>
      <c r="E301" s="2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1"/>
      <c r="U301" s="13">
        <f>SUM(E301:T301)</f>
        <v>0</v>
      </c>
      <c r="V301" s="19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7.399999999999999" x14ac:dyDescent="0.3">
      <c r="A302" s="27">
        <v>1015067234</v>
      </c>
      <c r="B302" s="27" t="s">
        <v>397</v>
      </c>
      <c r="C302" s="28" t="s">
        <v>399</v>
      </c>
      <c r="D302" s="32"/>
      <c r="E302" s="2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0"/>
      <c r="U302" s="13">
        <f>SUM(E302:T302)</f>
        <v>0</v>
      </c>
      <c r="V302" s="19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7.399999999999999" x14ac:dyDescent="0.3">
      <c r="A303" s="27">
        <v>1037622755</v>
      </c>
      <c r="B303" s="27" t="s">
        <v>397</v>
      </c>
      <c r="C303" s="28" t="s">
        <v>400</v>
      </c>
      <c r="D303" s="32"/>
      <c r="E303" s="2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0"/>
      <c r="U303" s="13">
        <f>SUM(E303:T303)</f>
        <v>0</v>
      </c>
      <c r="V303" s="19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7.399999999999999" x14ac:dyDescent="0.3">
      <c r="A304" s="27">
        <v>1004367322</v>
      </c>
      <c r="B304" s="27" t="s">
        <v>397</v>
      </c>
      <c r="C304" s="28" t="s">
        <v>398</v>
      </c>
      <c r="D304" s="32">
        <v>37772</v>
      </c>
      <c r="E304" s="2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0"/>
      <c r="U304" s="13">
        <v>0</v>
      </c>
      <c r="V304" s="19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7.399999999999999" x14ac:dyDescent="0.3">
      <c r="A305" s="27">
        <v>1000294675</v>
      </c>
      <c r="B305" s="27" t="s">
        <v>401</v>
      </c>
      <c r="C305" s="28" t="s">
        <v>402</v>
      </c>
      <c r="D305" s="32"/>
      <c r="E305" s="2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0"/>
      <c r="U305" s="13">
        <f t="shared" ref="U305:U310" si="15">SUM(E305:T305)</f>
        <v>0</v>
      </c>
      <c r="V305" s="19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7.399999999999999" x14ac:dyDescent="0.3">
      <c r="A306" s="27">
        <v>1000901892</v>
      </c>
      <c r="B306" s="27" t="s">
        <v>401</v>
      </c>
      <c r="C306" s="28" t="s">
        <v>404</v>
      </c>
      <c r="D306" s="32"/>
      <c r="E306" s="2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0"/>
      <c r="U306" s="13">
        <f t="shared" si="15"/>
        <v>0</v>
      </c>
      <c r="V306" s="19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7.399999999999999" x14ac:dyDescent="0.3">
      <c r="A307" s="27">
        <v>1017262529</v>
      </c>
      <c r="B307" s="27" t="s">
        <v>401</v>
      </c>
      <c r="C307" s="28" t="s">
        <v>406</v>
      </c>
      <c r="D307" s="32"/>
      <c r="E307" s="2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0"/>
      <c r="U307" s="13">
        <f t="shared" si="15"/>
        <v>0</v>
      </c>
      <c r="V307" s="19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7.399999999999999" x14ac:dyDescent="0.3">
      <c r="A308" s="27">
        <v>1020477069</v>
      </c>
      <c r="B308" s="27" t="s">
        <v>401</v>
      </c>
      <c r="C308" s="28" t="s">
        <v>408</v>
      </c>
      <c r="D308" s="32"/>
      <c r="E308" s="2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0"/>
      <c r="U308" s="13">
        <f t="shared" si="15"/>
        <v>0</v>
      </c>
      <c r="V308" s="19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7.399999999999999" x14ac:dyDescent="0.3">
      <c r="A309" s="27">
        <v>1000537543</v>
      </c>
      <c r="B309" s="27" t="s">
        <v>401</v>
      </c>
      <c r="C309" s="28" t="s">
        <v>403</v>
      </c>
      <c r="D309" s="32">
        <v>37863</v>
      </c>
      <c r="E309" s="23">
        <v>100000</v>
      </c>
      <c r="F309" s="14">
        <v>90000</v>
      </c>
      <c r="G309" s="14">
        <v>120000</v>
      </c>
      <c r="H309" s="14">
        <v>90000</v>
      </c>
      <c r="I309" s="14">
        <v>120000</v>
      </c>
      <c r="J309" s="14">
        <v>100000</v>
      </c>
      <c r="K309" s="14">
        <v>100000</v>
      </c>
      <c r="L309" s="14">
        <v>120000</v>
      </c>
      <c r="M309" s="14"/>
      <c r="N309" s="14"/>
      <c r="O309" s="14"/>
      <c r="P309" s="14"/>
      <c r="Q309" s="14"/>
      <c r="R309" s="14"/>
      <c r="S309" s="14"/>
      <c r="T309" s="10"/>
      <c r="U309" s="13">
        <f t="shared" si="15"/>
        <v>840000</v>
      </c>
      <c r="V309" s="19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7.399999999999999" x14ac:dyDescent="0.3">
      <c r="A310" s="27">
        <v>1017273119</v>
      </c>
      <c r="B310" s="27" t="s">
        <v>401</v>
      </c>
      <c r="C310" s="28" t="s">
        <v>407</v>
      </c>
      <c r="D310" s="32">
        <v>42969</v>
      </c>
      <c r="E310" s="23">
        <v>300000</v>
      </c>
      <c r="F310" s="14">
        <v>400000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0"/>
      <c r="U310" s="13">
        <f t="shared" si="15"/>
        <v>700000</v>
      </c>
      <c r="V310" s="19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7.399999999999999" x14ac:dyDescent="0.3">
      <c r="A311" s="27">
        <v>1011392507</v>
      </c>
      <c r="B311" s="27" t="s">
        <v>401</v>
      </c>
      <c r="C311" s="28" t="s">
        <v>405</v>
      </c>
      <c r="D311" s="32">
        <v>38440</v>
      </c>
      <c r="E311" s="2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0"/>
      <c r="U311" s="13">
        <v>0</v>
      </c>
      <c r="V311" s="19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7.399999999999999" x14ac:dyDescent="0.3">
      <c r="A312" s="31">
        <v>1017266289</v>
      </c>
      <c r="B312" s="27" t="s">
        <v>401</v>
      </c>
      <c r="C312" s="28" t="s">
        <v>769</v>
      </c>
      <c r="D312" s="32">
        <v>36184</v>
      </c>
      <c r="E312" s="33"/>
      <c r="F312" s="34"/>
      <c r="G312" s="35"/>
      <c r="H312" s="36"/>
      <c r="I312" s="37"/>
      <c r="J312" s="34"/>
      <c r="K312" s="35"/>
      <c r="L312" s="36"/>
      <c r="M312" s="37"/>
      <c r="N312" s="34"/>
      <c r="O312" s="35"/>
      <c r="P312" s="36"/>
      <c r="Q312" s="37"/>
      <c r="R312" s="34"/>
      <c r="S312" s="35"/>
      <c r="T312" s="36"/>
      <c r="U312" s="13">
        <f>SUM(E312:T312)</f>
        <v>0</v>
      </c>
      <c r="V312" s="19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7.399999999999999" x14ac:dyDescent="0.3">
      <c r="A313" s="27">
        <v>1025885614</v>
      </c>
      <c r="B313" s="27" t="s">
        <v>409</v>
      </c>
      <c r="C313" s="28" t="s">
        <v>270</v>
      </c>
      <c r="D313" s="32"/>
      <c r="E313" s="2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0"/>
      <c r="U313" s="13">
        <f>SUM(E313:T313)</f>
        <v>0</v>
      </c>
      <c r="V313" s="19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7.399999999999999" x14ac:dyDescent="0.3">
      <c r="A314" s="27">
        <v>1128429740</v>
      </c>
      <c r="B314" s="27" t="s">
        <v>410</v>
      </c>
      <c r="C314" s="28" t="s">
        <v>411</v>
      </c>
      <c r="D314" s="32"/>
      <c r="E314" s="2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0"/>
      <c r="U314" s="13">
        <f>SUM(E314:T314)</f>
        <v>0</v>
      </c>
      <c r="V314" s="19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7.399999999999999" x14ac:dyDescent="0.3">
      <c r="A315" s="29">
        <v>1000549072</v>
      </c>
      <c r="B315" s="29" t="s">
        <v>726</v>
      </c>
      <c r="C315" s="30" t="s">
        <v>727</v>
      </c>
      <c r="D315" s="32"/>
      <c r="E315" s="2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1"/>
      <c r="U315" s="13">
        <f>SUM(E315:T315)</f>
        <v>0</v>
      </c>
      <c r="V315" s="19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7.399999999999999" x14ac:dyDescent="0.3">
      <c r="A316" s="29">
        <v>1000364018</v>
      </c>
      <c r="B316" s="29" t="s">
        <v>726</v>
      </c>
      <c r="C316" s="30" t="s">
        <v>730</v>
      </c>
      <c r="D316" s="32">
        <v>37061</v>
      </c>
      <c r="E316" s="2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1"/>
      <c r="U316" s="13">
        <v>0</v>
      </c>
      <c r="V316" s="19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7.399999999999999" x14ac:dyDescent="0.3">
      <c r="A317" s="27">
        <v>1000294604</v>
      </c>
      <c r="B317" s="27" t="s">
        <v>412</v>
      </c>
      <c r="C317" s="28" t="s">
        <v>413</v>
      </c>
      <c r="D317" s="32">
        <v>37877</v>
      </c>
      <c r="E317" s="2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0"/>
      <c r="U317" s="13">
        <v>0</v>
      </c>
      <c r="V317" s="19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3">
      <c r="A318" s="27">
        <v>1037641294</v>
      </c>
      <c r="B318" s="27" t="s">
        <v>412</v>
      </c>
      <c r="C318" s="28" t="s">
        <v>414</v>
      </c>
      <c r="D318" s="32">
        <v>34799</v>
      </c>
      <c r="E318" s="2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0"/>
      <c r="U318" s="13">
        <v>0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3">
      <c r="A319" s="31">
        <v>1018223553</v>
      </c>
      <c r="B319" s="27" t="s">
        <v>415</v>
      </c>
      <c r="C319" s="28" t="s">
        <v>416</v>
      </c>
      <c r="D319" s="32"/>
      <c r="E319" s="2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0"/>
      <c r="U319" s="13">
        <f>SUM(E319:T319)</f>
        <v>0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3">
      <c r="A320" s="27">
        <v>1000662143</v>
      </c>
      <c r="B320" s="27" t="s">
        <v>417</v>
      </c>
      <c r="C320" s="28" t="s">
        <v>418</v>
      </c>
      <c r="D320" s="32"/>
      <c r="E320" s="2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0"/>
      <c r="U320" s="13">
        <f>SUM(E320:T320)</f>
        <v>0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3">
      <c r="A321" s="31">
        <v>1007523997</v>
      </c>
      <c r="B321" s="27" t="s">
        <v>419</v>
      </c>
      <c r="C321" s="28" t="s">
        <v>420</v>
      </c>
      <c r="D321" s="32"/>
      <c r="E321" s="2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0"/>
      <c r="U321" s="13">
        <f>SUM(E321:T321)</f>
        <v>0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3">
      <c r="A322" s="29">
        <v>1005297235</v>
      </c>
      <c r="B322" s="29" t="s">
        <v>648</v>
      </c>
      <c r="C322" s="30" t="s">
        <v>649</v>
      </c>
      <c r="D322" s="32">
        <v>37449</v>
      </c>
      <c r="E322" s="2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1"/>
      <c r="U322" s="13">
        <v>0</v>
      </c>
    </row>
    <row r="323" spans="1:38" x14ac:dyDescent="0.3">
      <c r="A323" s="27">
        <v>1020311451</v>
      </c>
      <c r="B323" s="27" t="s">
        <v>421</v>
      </c>
      <c r="C323" s="28" t="s">
        <v>422</v>
      </c>
      <c r="D323" s="32">
        <v>37997</v>
      </c>
      <c r="E323" s="2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0"/>
      <c r="U323" s="13">
        <v>0</v>
      </c>
    </row>
    <row r="324" spans="1:38" x14ac:dyDescent="0.3">
      <c r="A324" s="31">
        <v>43555911</v>
      </c>
      <c r="B324" s="27" t="s">
        <v>423</v>
      </c>
      <c r="C324" s="28" t="s">
        <v>424</v>
      </c>
      <c r="D324" s="32"/>
      <c r="E324" s="2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0"/>
      <c r="U324" s="13">
        <f t="shared" ref="U324:U335" si="16">SUM(E324:T324)</f>
        <v>0</v>
      </c>
    </row>
    <row r="325" spans="1:38" x14ac:dyDescent="0.3">
      <c r="A325" s="27">
        <v>1040327404</v>
      </c>
      <c r="B325" s="27" t="s">
        <v>425</v>
      </c>
      <c r="C325" s="28" t="s">
        <v>426</v>
      </c>
      <c r="D325" s="32"/>
      <c r="E325" s="2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0"/>
      <c r="U325" s="13">
        <f t="shared" si="16"/>
        <v>0</v>
      </c>
    </row>
    <row r="326" spans="1:38" ht="15.75" customHeight="1" x14ac:dyDescent="0.3">
      <c r="A326" s="27">
        <v>1025881280</v>
      </c>
      <c r="B326" s="27" t="s">
        <v>427</v>
      </c>
      <c r="C326" s="28" t="s">
        <v>428</v>
      </c>
      <c r="D326" s="32"/>
      <c r="E326" s="2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0"/>
      <c r="U326" s="13">
        <f t="shared" si="16"/>
        <v>0</v>
      </c>
    </row>
    <row r="327" spans="1:38" ht="15.75" customHeight="1" x14ac:dyDescent="0.3">
      <c r="A327" s="27">
        <v>1000191310</v>
      </c>
      <c r="B327" s="27" t="s">
        <v>429</v>
      </c>
      <c r="C327" s="28" t="s">
        <v>430</v>
      </c>
      <c r="D327" s="32"/>
      <c r="E327" s="2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0"/>
      <c r="U327" s="13">
        <f t="shared" si="16"/>
        <v>0</v>
      </c>
    </row>
    <row r="328" spans="1:38" ht="15.75" customHeight="1" x14ac:dyDescent="0.3">
      <c r="A328" s="27">
        <v>1000662269</v>
      </c>
      <c r="B328" s="27" t="s">
        <v>429</v>
      </c>
      <c r="C328" s="28" t="s">
        <v>431</v>
      </c>
      <c r="D328" s="32"/>
      <c r="E328" s="2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0"/>
      <c r="U328" s="13">
        <f t="shared" si="16"/>
        <v>0</v>
      </c>
    </row>
    <row r="329" spans="1:38" ht="15.75" customHeight="1" x14ac:dyDescent="0.3">
      <c r="A329" s="27">
        <v>1017925524</v>
      </c>
      <c r="B329" s="27" t="s">
        <v>429</v>
      </c>
      <c r="C329" s="28" t="s">
        <v>432</v>
      </c>
      <c r="D329" s="32"/>
      <c r="E329" s="2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0"/>
      <c r="U329" s="13">
        <f t="shared" si="16"/>
        <v>0</v>
      </c>
    </row>
    <row r="330" spans="1:38" ht="15.75" customHeight="1" x14ac:dyDescent="0.3">
      <c r="A330" s="27">
        <v>1025887107</v>
      </c>
      <c r="B330" s="27" t="s">
        <v>429</v>
      </c>
      <c r="C330" s="28" t="s">
        <v>433</v>
      </c>
      <c r="D330" s="32"/>
      <c r="E330" s="2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0"/>
      <c r="U330" s="13">
        <f t="shared" si="16"/>
        <v>0</v>
      </c>
    </row>
    <row r="331" spans="1:38" ht="15.75" customHeight="1" x14ac:dyDescent="0.3">
      <c r="A331" s="27">
        <v>1025890942</v>
      </c>
      <c r="B331" s="27" t="s">
        <v>429</v>
      </c>
      <c r="C331" s="28" t="s">
        <v>434</v>
      </c>
      <c r="D331" s="32"/>
      <c r="E331" s="2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0"/>
      <c r="U331" s="13">
        <f t="shared" si="16"/>
        <v>0</v>
      </c>
    </row>
    <row r="332" spans="1:38" ht="15.75" customHeight="1" x14ac:dyDescent="0.3">
      <c r="A332" s="31">
        <v>1193520287</v>
      </c>
      <c r="B332" s="27" t="s">
        <v>429</v>
      </c>
      <c r="C332" s="28" t="s">
        <v>435</v>
      </c>
      <c r="D332" s="32"/>
      <c r="E332" s="2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0"/>
      <c r="U332" s="13">
        <f t="shared" si="16"/>
        <v>0</v>
      </c>
    </row>
    <row r="333" spans="1:38" ht="15.75" customHeight="1" x14ac:dyDescent="0.3">
      <c r="A333" s="29">
        <v>1027803310</v>
      </c>
      <c r="B333" s="29" t="s">
        <v>429</v>
      </c>
      <c r="C333" s="30" t="s">
        <v>633</v>
      </c>
      <c r="D333" s="32"/>
      <c r="E333" s="2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1"/>
      <c r="U333" s="13">
        <f t="shared" si="16"/>
        <v>0</v>
      </c>
    </row>
    <row r="334" spans="1:38" ht="15.75" customHeight="1" x14ac:dyDescent="0.3">
      <c r="A334" s="29">
        <v>1031940424</v>
      </c>
      <c r="B334" s="29" t="s">
        <v>429</v>
      </c>
      <c r="C334" s="30" t="s">
        <v>323</v>
      </c>
      <c r="D334" s="32"/>
      <c r="E334" s="2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1"/>
      <c r="U334" s="13">
        <f t="shared" si="16"/>
        <v>0</v>
      </c>
    </row>
    <row r="335" spans="1:38" ht="15.75" customHeight="1" x14ac:dyDescent="0.3">
      <c r="A335" s="27">
        <v>1036601299</v>
      </c>
      <c r="B335" s="27" t="s">
        <v>436</v>
      </c>
      <c r="C335" s="28" t="s">
        <v>438</v>
      </c>
      <c r="D335" s="32"/>
      <c r="E335" s="2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0"/>
      <c r="U335" s="13">
        <f t="shared" si="16"/>
        <v>0</v>
      </c>
    </row>
    <row r="336" spans="1:38" ht="15.75" customHeight="1" x14ac:dyDescent="0.3">
      <c r="A336" s="27">
        <v>1010159183</v>
      </c>
      <c r="B336" s="27" t="s">
        <v>436</v>
      </c>
      <c r="C336" s="28" t="s">
        <v>437</v>
      </c>
      <c r="D336" s="32">
        <v>37194</v>
      </c>
      <c r="E336" s="2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0"/>
      <c r="U336" s="13">
        <v>0</v>
      </c>
    </row>
    <row r="337" spans="1:21" ht="15.75" customHeight="1" x14ac:dyDescent="0.3">
      <c r="A337" s="27">
        <v>1128439079</v>
      </c>
      <c r="B337" s="27" t="s">
        <v>439</v>
      </c>
      <c r="C337" s="28" t="s">
        <v>440</v>
      </c>
      <c r="D337" s="32"/>
      <c r="E337" s="2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0"/>
      <c r="U337" s="13">
        <f t="shared" ref="U337:U347" si="17">SUM(E337:T337)</f>
        <v>0</v>
      </c>
    </row>
    <row r="338" spans="1:21" ht="15.75" customHeight="1" x14ac:dyDescent="0.3">
      <c r="A338" s="27">
        <v>1035852748</v>
      </c>
      <c r="B338" s="27" t="s">
        <v>441</v>
      </c>
      <c r="C338" s="28" t="s">
        <v>442</v>
      </c>
      <c r="D338" s="32"/>
      <c r="E338" s="2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0"/>
      <c r="U338" s="13">
        <f t="shared" si="17"/>
        <v>0</v>
      </c>
    </row>
    <row r="339" spans="1:21" ht="15.75" customHeight="1" x14ac:dyDescent="0.3">
      <c r="A339" s="27">
        <v>1036674174</v>
      </c>
      <c r="B339" s="27" t="s">
        <v>443</v>
      </c>
      <c r="C339" s="28" t="s">
        <v>444</v>
      </c>
      <c r="D339" s="32"/>
      <c r="E339" s="2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0"/>
      <c r="U339" s="13">
        <f t="shared" si="17"/>
        <v>0</v>
      </c>
    </row>
    <row r="340" spans="1:21" ht="15.75" customHeight="1" x14ac:dyDescent="0.3">
      <c r="A340" s="27">
        <v>1039288693</v>
      </c>
      <c r="B340" s="27" t="s">
        <v>445</v>
      </c>
      <c r="C340" s="28" t="s">
        <v>446</v>
      </c>
      <c r="D340" s="32"/>
      <c r="E340" s="2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0"/>
      <c r="U340" s="13">
        <f t="shared" si="17"/>
        <v>0</v>
      </c>
    </row>
    <row r="341" spans="1:21" ht="15.75" customHeight="1" x14ac:dyDescent="0.3">
      <c r="A341" s="27">
        <v>1000084681</v>
      </c>
      <c r="B341" s="27" t="s">
        <v>447</v>
      </c>
      <c r="C341" s="28" t="s">
        <v>448</v>
      </c>
      <c r="D341" s="32"/>
      <c r="E341" s="23">
        <v>300000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0"/>
      <c r="U341" s="13">
        <f t="shared" si="17"/>
        <v>300000</v>
      </c>
    </row>
    <row r="342" spans="1:21" ht="15.75" customHeight="1" x14ac:dyDescent="0.3">
      <c r="A342" s="27">
        <v>1037651776</v>
      </c>
      <c r="B342" s="27" t="s">
        <v>447</v>
      </c>
      <c r="C342" s="28" t="s">
        <v>451</v>
      </c>
      <c r="D342" s="32"/>
      <c r="E342" s="2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0"/>
      <c r="U342" s="13">
        <f t="shared" si="17"/>
        <v>0</v>
      </c>
    </row>
    <row r="343" spans="1:21" ht="15.75" customHeight="1" x14ac:dyDescent="0.3">
      <c r="A343" s="27">
        <v>1001016088</v>
      </c>
      <c r="B343" s="27" t="s">
        <v>447</v>
      </c>
      <c r="C343" s="28" t="s">
        <v>449</v>
      </c>
      <c r="D343" s="32">
        <v>37667</v>
      </c>
      <c r="E343" s="23">
        <v>80000</v>
      </c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0"/>
      <c r="U343" s="13">
        <f t="shared" si="17"/>
        <v>80000</v>
      </c>
    </row>
    <row r="344" spans="1:21" ht="15.75" customHeight="1" x14ac:dyDescent="0.3">
      <c r="A344" s="27">
        <v>1001153638</v>
      </c>
      <c r="B344" s="27" t="s">
        <v>447</v>
      </c>
      <c r="C344" s="28" t="s">
        <v>450</v>
      </c>
      <c r="D344" s="32">
        <v>46217</v>
      </c>
      <c r="E344" s="23">
        <v>120000</v>
      </c>
      <c r="F344" s="14">
        <v>110000</v>
      </c>
      <c r="G344" s="14">
        <v>90000</v>
      </c>
      <c r="H344" s="14">
        <v>90000</v>
      </c>
      <c r="I344" s="14">
        <v>100000</v>
      </c>
      <c r="J344" s="14">
        <v>90000</v>
      </c>
      <c r="K344" s="14">
        <v>150000</v>
      </c>
      <c r="L344" s="14">
        <v>150000</v>
      </c>
      <c r="M344" s="14"/>
      <c r="N344" s="14"/>
      <c r="O344" s="14"/>
      <c r="P344" s="14"/>
      <c r="Q344" s="14"/>
      <c r="R344" s="14"/>
      <c r="S344" s="14"/>
      <c r="T344" s="10"/>
      <c r="U344" s="13">
        <f t="shared" si="17"/>
        <v>900000</v>
      </c>
    </row>
    <row r="345" spans="1:21" ht="15.75" customHeight="1" x14ac:dyDescent="0.3">
      <c r="A345" s="27">
        <v>1040051236</v>
      </c>
      <c r="B345" s="27" t="s">
        <v>452</v>
      </c>
      <c r="C345" s="28" t="s">
        <v>453</v>
      </c>
      <c r="D345" s="32"/>
      <c r="E345" s="2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0"/>
      <c r="U345" s="13">
        <f t="shared" si="17"/>
        <v>0</v>
      </c>
    </row>
    <row r="346" spans="1:21" ht="15.75" customHeight="1" x14ac:dyDescent="0.3">
      <c r="A346" s="31">
        <v>63492218</v>
      </c>
      <c r="B346" s="27" t="s">
        <v>454</v>
      </c>
      <c r="C346" s="28" t="s">
        <v>455</v>
      </c>
      <c r="D346" s="32"/>
      <c r="E346" s="2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0"/>
      <c r="U346" s="13">
        <f t="shared" si="17"/>
        <v>0</v>
      </c>
    </row>
    <row r="347" spans="1:21" ht="15.75" customHeight="1" x14ac:dyDescent="0.3">
      <c r="A347" s="27">
        <v>1011392508</v>
      </c>
      <c r="B347" s="27" t="s">
        <v>456</v>
      </c>
      <c r="C347" s="28" t="s">
        <v>405</v>
      </c>
      <c r="D347" s="32"/>
      <c r="E347" s="2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0"/>
      <c r="U347" s="13">
        <f t="shared" si="17"/>
        <v>0</v>
      </c>
    </row>
    <row r="348" spans="1:21" ht="15.75" customHeight="1" x14ac:dyDescent="0.3">
      <c r="A348" s="27">
        <v>1018232525</v>
      </c>
      <c r="B348" s="27" t="s">
        <v>456</v>
      </c>
      <c r="C348" s="28" t="s">
        <v>457</v>
      </c>
      <c r="D348" s="32">
        <v>38767</v>
      </c>
      <c r="E348" s="2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0"/>
      <c r="U348" s="13">
        <v>0</v>
      </c>
    </row>
    <row r="349" spans="1:21" ht="15.75" customHeight="1" x14ac:dyDescent="0.3">
      <c r="A349" s="27">
        <v>1146443718</v>
      </c>
      <c r="B349" s="27" t="s">
        <v>456</v>
      </c>
      <c r="C349" s="28" t="s">
        <v>458</v>
      </c>
      <c r="D349" s="32">
        <v>36522</v>
      </c>
      <c r="E349" s="2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0"/>
      <c r="U349" s="13">
        <v>0</v>
      </c>
    </row>
    <row r="350" spans="1:21" ht="15.75" customHeight="1" x14ac:dyDescent="0.3">
      <c r="A350" s="29">
        <v>1023525728</v>
      </c>
      <c r="B350" s="29" t="s">
        <v>641</v>
      </c>
      <c r="C350" s="30" t="s">
        <v>642</v>
      </c>
      <c r="D350" s="32">
        <v>39252</v>
      </c>
      <c r="E350" s="2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1"/>
      <c r="U350" s="13">
        <v>0</v>
      </c>
    </row>
    <row r="351" spans="1:21" ht="15.75" customHeight="1" x14ac:dyDescent="0.3">
      <c r="A351" s="27">
        <v>1028027177</v>
      </c>
      <c r="B351" s="27" t="s">
        <v>459</v>
      </c>
      <c r="C351" s="28" t="s">
        <v>461</v>
      </c>
      <c r="D351" s="32"/>
      <c r="E351" s="2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0"/>
      <c r="U351" s="13">
        <f>SUM(E351:T351)</f>
        <v>0</v>
      </c>
    </row>
    <row r="352" spans="1:21" ht="15.75" customHeight="1" x14ac:dyDescent="0.3">
      <c r="A352" s="27">
        <v>1007242992</v>
      </c>
      <c r="B352" s="27" t="s">
        <v>459</v>
      </c>
      <c r="C352" s="28" t="s">
        <v>460</v>
      </c>
      <c r="D352" s="32">
        <v>36788</v>
      </c>
      <c r="E352" s="2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0"/>
      <c r="U352" s="13">
        <v>0</v>
      </c>
    </row>
    <row r="353" spans="1:21" ht="15.75" customHeight="1" x14ac:dyDescent="0.3">
      <c r="A353" s="27">
        <v>1000902733</v>
      </c>
      <c r="B353" s="27" t="s">
        <v>462</v>
      </c>
      <c r="C353" s="28" t="s">
        <v>463</v>
      </c>
      <c r="D353" s="32"/>
      <c r="E353" s="2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0"/>
      <c r="U353" s="13">
        <f>SUM(E353:T353)</f>
        <v>0</v>
      </c>
    </row>
    <row r="354" spans="1:21" ht="15.75" customHeight="1" x14ac:dyDescent="0.3">
      <c r="A354" s="27">
        <v>1010092679</v>
      </c>
      <c r="B354" s="27" t="s">
        <v>464</v>
      </c>
      <c r="C354" s="28" t="s">
        <v>465</v>
      </c>
      <c r="D354" s="32"/>
      <c r="E354" s="2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0"/>
      <c r="U354" s="13">
        <f>SUM(E354:T354)</f>
        <v>0</v>
      </c>
    </row>
    <row r="355" spans="1:21" ht="15.75" customHeight="1" x14ac:dyDescent="0.3">
      <c r="A355" s="31">
        <v>1104257789</v>
      </c>
      <c r="B355" s="31" t="s">
        <v>798</v>
      </c>
      <c r="C355" s="30" t="s">
        <v>797</v>
      </c>
      <c r="D355" s="32">
        <v>38787</v>
      </c>
      <c r="E355" s="2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3"/>
      <c r="U355" s="13">
        <v>0</v>
      </c>
    </row>
    <row r="356" spans="1:21" ht="15.75" customHeight="1" x14ac:dyDescent="0.3">
      <c r="A356" s="27">
        <v>1021512838</v>
      </c>
      <c r="B356" s="27" t="s">
        <v>466</v>
      </c>
      <c r="C356" s="28" t="s">
        <v>467</v>
      </c>
      <c r="D356" s="32"/>
      <c r="E356" s="2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0"/>
      <c r="U356" s="13">
        <f>SUM(E356:T356)</f>
        <v>0</v>
      </c>
    </row>
    <row r="357" spans="1:21" ht="15.75" customHeight="1" x14ac:dyDescent="0.3">
      <c r="A357" s="27">
        <v>1040570619</v>
      </c>
      <c r="B357" s="27" t="s">
        <v>468</v>
      </c>
      <c r="C357" s="28" t="s">
        <v>470</v>
      </c>
      <c r="D357" s="32"/>
      <c r="E357" s="2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0"/>
      <c r="U357" s="13">
        <f>SUM(E357:T357)</f>
        <v>0</v>
      </c>
    </row>
    <row r="358" spans="1:21" ht="15.75" customHeight="1" x14ac:dyDescent="0.3">
      <c r="A358" s="27">
        <v>1000898470</v>
      </c>
      <c r="B358" s="27" t="s">
        <v>468</v>
      </c>
      <c r="C358" s="28" t="s">
        <v>469</v>
      </c>
      <c r="D358" s="32">
        <v>37835</v>
      </c>
      <c r="E358" s="2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0"/>
      <c r="U358" s="13">
        <v>0</v>
      </c>
    </row>
    <row r="359" spans="1:21" ht="15.75" customHeight="1" x14ac:dyDescent="0.3">
      <c r="A359" s="31">
        <v>1033258624</v>
      </c>
      <c r="B359" s="31" t="s">
        <v>777</v>
      </c>
      <c r="C359" s="30" t="s">
        <v>778</v>
      </c>
      <c r="D359" s="32">
        <v>38830</v>
      </c>
      <c r="E359" s="2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3"/>
      <c r="U359" s="13">
        <v>0</v>
      </c>
    </row>
    <row r="360" spans="1:21" ht="15.75" customHeight="1" x14ac:dyDescent="0.3">
      <c r="A360" s="27">
        <v>1002147037</v>
      </c>
      <c r="B360" s="27" t="s">
        <v>471</v>
      </c>
      <c r="C360" s="28" t="s">
        <v>472</v>
      </c>
      <c r="D360" s="32"/>
      <c r="E360" s="2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0"/>
      <c r="U360" s="13">
        <f>SUM(E360:T360)</f>
        <v>0</v>
      </c>
    </row>
    <row r="361" spans="1:21" ht="15.75" customHeight="1" x14ac:dyDescent="0.3">
      <c r="A361" s="27">
        <v>43623145</v>
      </c>
      <c r="B361" s="27" t="s">
        <v>473</v>
      </c>
      <c r="C361" s="28" t="s">
        <v>474</v>
      </c>
      <c r="D361" s="32">
        <v>34212</v>
      </c>
      <c r="E361" s="2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0"/>
      <c r="U361" s="13">
        <v>0</v>
      </c>
    </row>
    <row r="362" spans="1:21" ht="15.75" customHeight="1" x14ac:dyDescent="0.3">
      <c r="A362" s="27">
        <v>1006417562</v>
      </c>
      <c r="B362" s="27" t="s">
        <v>475</v>
      </c>
      <c r="C362" s="28" t="s">
        <v>476</v>
      </c>
      <c r="D362" s="32"/>
      <c r="E362" s="2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0"/>
      <c r="U362" s="13">
        <f>SUM(E362:T362)</f>
        <v>0</v>
      </c>
    </row>
    <row r="363" spans="1:21" ht="15.75" customHeight="1" x14ac:dyDescent="0.3">
      <c r="A363" s="27">
        <v>1037666129</v>
      </c>
      <c r="B363" s="27" t="s">
        <v>477</v>
      </c>
      <c r="C363" s="28" t="s">
        <v>478</v>
      </c>
      <c r="D363" s="32"/>
      <c r="E363" s="2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0"/>
      <c r="U363" s="13">
        <f>SUM(E363:T363)</f>
        <v>0</v>
      </c>
    </row>
    <row r="364" spans="1:21" ht="15.75" customHeight="1" x14ac:dyDescent="0.3">
      <c r="A364" s="29">
        <v>32258110</v>
      </c>
      <c r="B364" s="29" t="s">
        <v>655</v>
      </c>
      <c r="C364" s="30" t="s">
        <v>656</v>
      </c>
      <c r="D364" s="32">
        <v>30513</v>
      </c>
      <c r="E364" s="2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1"/>
      <c r="U364" s="13">
        <v>0</v>
      </c>
    </row>
    <row r="365" spans="1:21" ht="15.75" customHeight="1" x14ac:dyDescent="0.3">
      <c r="A365" s="27">
        <v>1036864630</v>
      </c>
      <c r="B365" s="27" t="s">
        <v>479</v>
      </c>
      <c r="C365" s="28" t="s">
        <v>480</v>
      </c>
      <c r="D365" s="32"/>
      <c r="E365" s="2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0"/>
      <c r="U365" s="13">
        <f t="shared" ref="U365:U371" si="18">SUM(E365:T365)</f>
        <v>0</v>
      </c>
    </row>
    <row r="366" spans="1:21" ht="15.75" customHeight="1" x14ac:dyDescent="0.3">
      <c r="A366" s="29">
        <v>1020463192</v>
      </c>
      <c r="B366" s="29" t="s">
        <v>709</v>
      </c>
      <c r="C366" s="30" t="s">
        <v>710</v>
      </c>
      <c r="D366" s="32"/>
      <c r="E366" s="2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1"/>
      <c r="U366" s="13">
        <f t="shared" si="18"/>
        <v>0</v>
      </c>
    </row>
    <row r="367" spans="1:21" ht="15.75" customHeight="1" x14ac:dyDescent="0.3">
      <c r="A367" s="27">
        <v>1021922085</v>
      </c>
      <c r="B367" s="27" t="s">
        <v>481</v>
      </c>
      <c r="C367" s="28" t="s">
        <v>482</v>
      </c>
      <c r="D367" s="32"/>
      <c r="E367" s="2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0"/>
      <c r="U367" s="13">
        <f t="shared" si="18"/>
        <v>0</v>
      </c>
    </row>
    <row r="368" spans="1:21" ht="15.75" customHeight="1" x14ac:dyDescent="0.3">
      <c r="A368" s="27">
        <v>30687786</v>
      </c>
      <c r="B368" s="27" t="s">
        <v>483</v>
      </c>
      <c r="C368" s="28" t="s">
        <v>484</v>
      </c>
      <c r="D368" s="32">
        <v>34009</v>
      </c>
      <c r="E368" s="23">
        <v>90000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0"/>
      <c r="U368" s="13">
        <f t="shared" si="18"/>
        <v>90000</v>
      </c>
    </row>
    <row r="369" spans="1:21" ht="15.75" customHeight="1" x14ac:dyDescent="0.3">
      <c r="A369" s="27">
        <v>1000289968</v>
      </c>
      <c r="B369" s="27" t="s">
        <v>485</v>
      </c>
      <c r="C369" s="28" t="s">
        <v>486</v>
      </c>
      <c r="D369" s="32"/>
      <c r="E369" s="2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0"/>
      <c r="U369" s="13">
        <f t="shared" si="18"/>
        <v>0</v>
      </c>
    </row>
    <row r="370" spans="1:21" ht="15.75" customHeight="1" x14ac:dyDescent="0.3">
      <c r="A370" s="27">
        <v>1040571473</v>
      </c>
      <c r="B370" s="27" t="s">
        <v>487</v>
      </c>
      <c r="C370" s="28" t="s">
        <v>489</v>
      </c>
      <c r="D370" s="32"/>
      <c r="E370" s="2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0"/>
      <c r="U370" s="13">
        <f t="shared" si="18"/>
        <v>0</v>
      </c>
    </row>
    <row r="371" spans="1:21" ht="15.75" customHeight="1" x14ac:dyDescent="0.3">
      <c r="A371" s="31">
        <v>1073252722</v>
      </c>
      <c r="B371" s="27" t="s">
        <v>487</v>
      </c>
      <c r="C371" s="28" t="s">
        <v>490</v>
      </c>
      <c r="D371" s="32"/>
      <c r="E371" s="2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0"/>
      <c r="U371" s="13">
        <f t="shared" si="18"/>
        <v>0</v>
      </c>
    </row>
    <row r="372" spans="1:21" ht="15.75" customHeight="1" x14ac:dyDescent="0.3">
      <c r="A372" s="27">
        <v>1001250524</v>
      </c>
      <c r="B372" s="27" t="s">
        <v>487</v>
      </c>
      <c r="C372" s="28" t="s">
        <v>488</v>
      </c>
      <c r="D372" s="32">
        <v>37731</v>
      </c>
      <c r="E372" s="2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0"/>
      <c r="U372" s="13">
        <v>0</v>
      </c>
    </row>
    <row r="373" spans="1:21" ht="15.75" customHeight="1" x14ac:dyDescent="0.3">
      <c r="A373" s="27">
        <v>1025888183</v>
      </c>
      <c r="B373" s="27" t="s">
        <v>491</v>
      </c>
      <c r="C373" s="28" t="s">
        <v>492</v>
      </c>
      <c r="D373" s="32"/>
      <c r="E373" s="2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0"/>
      <c r="U373" s="13">
        <f t="shared" ref="U373:U380" si="19">SUM(E373:T373)</f>
        <v>0</v>
      </c>
    </row>
    <row r="374" spans="1:21" ht="15.75" customHeight="1" x14ac:dyDescent="0.3">
      <c r="A374" s="27">
        <v>1025890453</v>
      </c>
      <c r="B374" s="27" t="s">
        <v>493</v>
      </c>
      <c r="C374" s="28" t="s">
        <v>494</v>
      </c>
      <c r="D374" s="32">
        <v>45433</v>
      </c>
      <c r="E374" s="23">
        <v>80000</v>
      </c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0"/>
      <c r="U374" s="13">
        <f t="shared" si="19"/>
        <v>80000</v>
      </c>
    </row>
    <row r="375" spans="1:21" ht="15.75" customHeight="1" x14ac:dyDescent="0.3">
      <c r="A375" s="29">
        <v>1035861721</v>
      </c>
      <c r="B375" s="29" t="s">
        <v>627</v>
      </c>
      <c r="C375" s="30" t="s">
        <v>628</v>
      </c>
      <c r="D375" s="32"/>
      <c r="E375" s="2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1"/>
      <c r="U375" s="13">
        <f t="shared" si="19"/>
        <v>0</v>
      </c>
    </row>
    <row r="376" spans="1:21" ht="15.75" customHeight="1" x14ac:dyDescent="0.3">
      <c r="A376" s="27">
        <v>98540523</v>
      </c>
      <c r="B376" s="27" t="s">
        <v>495</v>
      </c>
      <c r="C376" s="28" t="s">
        <v>496</v>
      </c>
      <c r="D376" s="32"/>
      <c r="E376" s="2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0"/>
      <c r="U376" s="13">
        <f t="shared" si="19"/>
        <v>0</v>
      </c>
    </row>
    <row r="377" spans="1:21" ht="15.75" customHeight="1" x14ac:dyDescent="0.3">
      <c r="A377" s="27">
        <v>1001082959</v>
      </c>
      <c r="B377" s="27" t="s">
        <v>497</v>
      </c>
      <c r="C377" s="28" t="s">
        <v>42</v>
      </c>
      <c r="D377" s="32"/>
      <c r="E377" s="2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0"/>
      <c r="U377" s="13">
        <f t="shared" si="19"/>
        <v>0</v>
      </c>
    </row>
    <row r="378" spans="1:21" ht="15.75" customHeight="1" x14ac:dyDescent="0.3">
      <c r="A378" s="27">
        <v>1038334858</v>
      </c>
      <c r="B378" s="27" t="s">
        <v>498</v>
      </c>
      <c r="C378" s="28" t="s">
        <v>499</v>
      </c>
      <c r="D378" s="32">
        <v>33331</v>
      </c>
      <c r="E378" s="23">
        <v>200000</v>
      </c>
      <c r="F378" s="14">
        <v>400000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0"/>
      <c r="U378" s="13">
        <f t="shared" si="19"/>
        <v>600000</v>
      </c>
    </row>
    <row r="379" spans="1:21" ht="15.75" customHeight="1" x14ac:dyDescent="0.3">
      <c r="A379" s="27">
        <v>71708637</v>
      </c>
      <c r="B379" s="27" t="s">
        <v>500</v>
      </c>
      <c r="C379" s="28" t="s">
        <v>501</v>
      </c>
      <c r="D379" s="32">
        <v>25356</v>
      </c>
      <c r="E379" s="23">
        <v>100000</v>
      </c>
      <c r="F379" s="14">
        <v>360000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0"/>
      <c r="U379" s="13">
        <f t="shared" si="19"/>
        <v>460000</v>
      </c>
    </row>
    <row r="380" spans="1:21" ht="15.75" customHeight="1" x14ac:dyDescent="0.3">
      <c r="A380" s="27">
        <v>1085113906</v>
      </c>
      <c r="B380" s="27" t="s">
        <v>502</v>
      </c>
      <c r="C380" s="28" t="s">
        <v>503</v>
      </c>
      <c r="D380" s="32"/>
      <c r="E380" s="2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0"/>
      <c r="U380" s="13">
        <f t="shared" si="19"/>
        <v>0</v>
      </c>
    </row>
    <row r="381" spans="1:21" ht="15.75" customHeight="1" x14ac:dyDescent="0.3">
      <c r="A381" s="29">
        <v>1214728203</v>
      </c>
      <c r="B381" s="29" t="s">
        <v>685</v>
      </c>
      <c r="C381" s="30" t="s">
        <v>686</v>
      </c>
      <c r="D381" s="32">
        <v>34735</v>
      </c>
      <c r="E381" s="2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1"/>
      <c r="U381" s="13">
        <v>0</v>
      </c>
    </row>
    <row r="382" spans="1:21" ht="15.75" customHeight="1" x14ac:dyDescent="0.3">
      <c r="A382" s="29">
        <v>79530545</v>
      </c>
      <c r="B382" s="29" t="s">
        <v>773</v>
      </c>
      <c r="C382" s="30" t="s">
        <v>774</v>
      </c>
      <c r="D382" s="32"/>
      <c r="E382" s="23">
        <v>80000</v>
      </c>
      <c r="F382" s="14">
        <v>90000</v>
      </c>
      <c r="G382" s="14">
        <v>80000</v>
      </c>
      <c r="H382" s="14">
        <v>150000</v>
      </c>
      <c r="I382" s="14">
        <v>150000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1"/>
      <c r="U382" s="13">
        <f>SUM(E382:T382)</f>
        <v>550000</v>
      </c>
    </row>
    <row r="383" spans="1:21" ht="15.75" customHeight="1" x14ac:dyDescent="0.3">
      <c r="A383" s="31">
        <v>1234567</v>
      </c>
      <c r="B383" s="31" t="s">
        <v>789</v>
      </c>
      <c r="C383" s="30" t="s">
        <v>790</v>
      </c>
      <c r="D383" s="32">
        <v>46220</v>
      </c>
      <c r="E383" s="23">
        <v>1000</v>
      </c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3"/>
      <c r="U383" s="13">
        <f>SUM(E383:T383)</f>
        <v>1000</v>
      </c>
    </row>
    <row r="384" spans="1:21" ht="15.75" customHeight="1" x14ac:dyDescent="0.3">
      <c r="A384" s="27">
        <v>1120839269</v>
      </c>
      <c r="B384" s="27" t="s">
        <v>504</v>
      </c>
      <c r="C384" s="28" t="s">
        <v>505</v>
      </c>
      <c r="D384" s="32"/>
      <c r="E384" s="2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0"/>
      <c r="U384" s="13">
        <f>SUM(E384:T384)</f>
        <v>0</v>
      </c>
    </row>
    <row r="385" spans="1:21" ht="15.75" customHeight="1" x14ac:dyDescent="0.3">
      <c r="A385" s="27">
        <v>1007536960</v>
      </c>
      <c r="B385" s="27" t="s">
        <v>506</v>
      </c>
      <c r="C385" s="28" t="s">
        <v>507</v>
      </c>
      <c r="D385" s="32">
        <v>37627</v>
      </c>
      <c r="E385" s="2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0"/>
      <c r="U385" s="13">
        <v>0</v>
      </c>
    </row>
    <row r="386" spans="1:21" ht="15.75" customHeight="1" x14ac:dyDescent="0.3">
      <c r="A386" s="27">
        <v>1115691541</v>
      </c>
      <c r="B386" s="27" t="s">
        <v>508</v>
      </c>
      <c r="C386" s="28" t="s">
        <v>509</v>
      </c>
      <c r="D386" s="32"/>
      <c r="E386" s="2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0"/>
      <c r="U386" s="13">
        <f t="shared" ref="U386:U391" si="20">SUM(E386:T386)</f>
        <v>0</v>
      </c>
    </row>
    <row r="387" spans="1:21" ht="15.75" customHeight="1" x14ac:dyDescent="0.3">
      <c r="A387" s="27">
        <v>1040362584</v>
      </c>
      <c r="B387" s="27" t="s">
        <v>510</v>
      </c>
      <c r="C387" s="28" t="s">
        <v>511</v>
      </c>
      <c r="D387" s="32"/>
      <c r="E387" s="2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0"/>
      <c r="U387" s="13">
        <f t="shared" si="20"/>
        <v>0</v>
      </c>
    </row>
    <row r="388" spans="1:21" ht="15.75" customHeight="1" x14ac:dyDescent="0.3">
      <c r="A388" s="27">
        <v>1214734374</v>
      </c>
      <c r="B388" s="27" t="s">
        <v>512</v>
      </c>
      <c r="C388" s="28" t="s">
        <v>513</v>
      </c>
      <c r="D388" s="32"/>
      <c r="E388" s="23">
        <v>300000</v>
      </c>
      <c r="F388" s="14">
        <v>400000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0"/>
      <c r="U388" s="13">
        <f t="shared" si="20"/>
        <v>700000</v>
      </c>
    </row>
    <row r="389" spans="1:21" ht="15.75" customHeight="1" x14ac:dyDescent="0.3">
      <c r="A389" s="27">
        <v>1011396122</v>
      </c>
      <c r="B389" s="27" t="s">
        <v>514</v>
      </c>
      <c r="C389" s="28" t="s">
        <v>515</v>
      </c>
      <c r="D389" s="32"/>
      <c r="E389" s="2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0"/>
      <c r="U389" s="13">
        <f t="shared" si="20"/>
        <v>0</v>
      </c>
    </row>
    <row r="390" spans="1:21" ht="15.75" customHeight="1" x14ac:dyDescent="0.3">
      <c r="A390" s="29">
        <v>1020113060</v>
      </c>
      <c r="B390" s="29" t="s">
        <v>514</v>
      </c>
      <c r="C390" s="30" t="s">
        <v>733</v>
      </c>
      <c r="D390" s="32"/>
      <c r="E390" s="2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1"/>
      <c r="U390" s="13">
        <f t="shared" si="20"/>
        <v>0</v>
      </c>
    </row>
    <row r="391" spans="1:21" ht="15.75" customHeight="1" x14ac:dyDescent="0.3">
      <c r="A391" s="27">
        <v>1075538001</v>
      </c>
      <c r="B391" s="27" t="s">
        <v>516</v>
      </c>
      <c r="C391" s="28" t="s">
        <v>517</v>
      </c>
      <c r="D391" s="32"/>
      <c r="E391" s="2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0"/>
      <c r="U391" s="13">
        <f t="shared" si="20"/>
        <v>0</v>
      </c>
    </row>
    <row r="392" spans="1:21" ht="15.75" customHeight="1" x14ac:dyDescent="0.3">
      <c r="A392" s="31">
        <v>7533411</v>
      </c>
      <c r="B392" s="31" t="s">
        <v>806</v>
      </c>
      <c r="C392" s="30" t="s">
        <v>805</v>
      </c>
      <c r="D392" s="32">
        <v>33134</v>
      </c>
      <c r="E392" s="2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3"/>
      <c r="U392" s="13">
        <v>0</v>
      </c>
    </row>
    <row r="393" spans="1:21" ht="15.75" customHeight="1" x14ac:dyDescent="0.3">
      <c r="A393" s="27">
        <v>43754698</v>
      </c>
      <c r="B393" s="27" t="s">
        <v>518</v>
      </c>
      <c r="C393" s="28" t="s">
        <v>519</v>
      </c>
      <c r="D393" s="32">
        <v>28302</v>
      </c>
      <c r="E393" s="2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0"/>
      <c r="U393" s="13">
        <v>0</v>
      </c>
    </row>
    <row r="394" spans="1:21" ht="15.75" customHeight="1" x14ac:dyDescent="0.3">
      <c r="A394" s="27">
        <v>1000306225</v>
      </c>
      <c r="B394" s="27" t="s">
        <v>520</v>
      </c>
      <c r="C394" s="28" t="s">
        <v>521</v>
      </c>
      <c r="D394" s="32"/>
      <c r="E394" s="2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0"/>
      <c r="U394" s="13">
        <f t="shared" ref="U394:U399" si="21">SUM(E394:T394)</f>
        <v>0</v>
      </c>
    </row>
    <row r="395" spans="1:21" ht="15.75" customHeight="1" x14ac:dyDescent="0.3">
      <c r="A395" s="29">
        <v>1025650306</v>
      </c>
      <c r="B395" s="29" t="s">
        <v>520</v>
      </c>
      <c r="C395" s="30" t="s">
        <v>743</v>
      </c>
      <c r="D395" s="32"/>
      <c r="E395" s="2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1"/>
      <c r="U395" s="13">
        <f t="shared" si="21"/>
        <v>0</v>
      </c>
    </row>
    <row r="396" spans="1:21" ht="15.75" customHeight="1" x14ac:dyDescent="0.3">
      <c r="A396" s="27">
        <v>1000207860</v>
      </c>
      <c r="B396" s="27" t="s">
        <v>522</v>
      </c>
      <c r="C396" s="28" t="s">
        <v>523</v>
      </c>
      <c r="D396" s="32"/>
      <c r="E396" s="2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0"/>
      <c r="U396" s="13">
        <f t="shared" si="21"/>
        <v>0</v>
      </c>
    </row>
    <row r="397" spans="1:21" ht="15.75" customHeight="1" x14ac:dyDescent="0.3">
      <c r="A397" s="27">
        <v>1000534222</v>
      </c>
      <c r="B397" s="27" t="s">
        <v>522</v>
      </c>
      <c r="C397" s="28" t="s">
        <v>524</v>
      </c>
      <c r="D397" s="32"/>
      <c r="E397" s="2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0"/>
      <c r="U397" s="13">
        <f t="shared" si="21"/>
        <v>0</v>
      </c>
    </row>
    <row r="398" spans="1:21" ht="15.75" customHeight="1" x14ac:dyDescent="0.3">
      <c r="A398" s="27">
        <v>1001233880</v>
      </c>
      <c r="B398" s="27" t="s">
        <v>522</v>
      </c>
      <c r="C398" s="28" t="s">
        <v>525</v>
      </c>
      <c r="D398" s="32"/>
      <c r="E398" s="2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0"/>
      <c r="U398" s="13">
        <f t="shared" si="21"/>
        <v>0</v>
      </c>
    </row>
    <row r="399" spans="1:21" ht="15.75" customHeight="1" x14ac:dyDescent="0.3">
      <c r="A399" s="27">
        <v>1033257169</v>
      </c>
      <c r="B399" s="27" t="s">
        <v>522</v>
      </c>
      <c r="C399" s="28" t="s">
        <v>526</v>
      </c>
      <c r="D399" s="32"/>
      <c r="E399" s="2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0"/>
      <c r="U399" s="13">
        <f t="shared" si="21"/>
        <v>0</v>
      </c>
    </row>
    <row r="400" spans="1:21" ht="15.75" customHeight="1" x14ac:dyDescent="0.3">
      <c r="A400" s="27">
        <v>1152700379</v>
      </c>
      <c r="B400" s="27" t="s">
        <v>522</v>
      </c>
      <c r="C400" s="28" t="s">
        <v>527</v>
      </c>
      <c r="D400" s="32">
        <v>34947</v>
      </c>
      <c r="E400" s="2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0"/>
      <c r="U400" s="13">
        <v>0</v>
      </c>
    </row>
    <row r="401" spans="1:21" ht="15.75" customHeight="1" x14ac:dyDescent="0.3">
      <c r="A401" s="27">
        <v>1017276021</v>
      </c>
      <c r="B401" s="27" t="s">
        <v>528</v>
      </c>
      <c r="C401" s="28" t="s">
        <v>529</v>
      </c>
      <c r="D401" s="32"/>
      <c r="E401" s="2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0"/>
      <c r="U401" s="13">
        <f>SUM(E401:T401)</f>
        <v>0</v>
      </c>
    </row>
    <row r="402" spans="1:21" ht="15.75" customHeight="1" x14ac:dyDescent="0.3">
      <c r="A402" s="27">
        <v>1058352308</v>
      </c>
      <c r="B402" s="27" t="s">
        <v>530</v>
      </c>
      <c r="C402" s="28" t="s">
        <v>531</v>
      </c>
      <c r="D402" s="32">
        <v>38483</v>
      </c>
      <c r="E402" s="2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0"/>
      <c r="U402" s="13">
        <v>0</v>
      </c>
    </row>
    <row r="403" spans="1:21" ht="15.75" customHeight="1" x14ac:dyDescent="0.3">
      <c r="A403" s="29">
        <v>1033098201</v>
      </c>
      <c r="B403" s="29" t="s">
        <v>673</v>
      </c>
      <c r="C403" s="30" t="s">
        <v>674</v>
      </c>
      <c r="D403" s="32"/>
      <c r="E403" s="2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1"/>
      <c r="U403" s="13">
        <f>SUM(E403:T403)</f>
        <v>0</v>
      </c>
    </row>
    <row r="404" spans="1:21" ht="15.75" customHeight="1" x14ac:dyDescent="0.3">
      <c r="A404" s="27">
        <v>1193344423</v>
      </c>
      <c r="B404" s="27" t="s">
        <v>532</v>
      </c>
      <c r="C404" s="28" t="s">
        <v>533</v>
      </c>
      <c r="D404" s="32">
        <v>37693</v>
      </c>
      <c r="E404" s="2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0"/>
      <c r="U404" s="13">
        <v>0</v>
      </c>
    </row>
    <row r="405" spans="1:21" ht="15.75" customHeight="1" x14ac:dyDescent="0.3">
      <c r="A405" s="27">
        <v>1000305851</v>
      </c>
      <c r="B405" s="27" t="s">
        <v>534</v>
      </c>
      <c r="C405" s="28" t="s">
        <v>535</v>
      </c>
      <c r="D405" s="32">
        <v>44085</v>
      </c>
      <c r="E405" s="23">
        <v>300000</v>
      </c>
      <c r="F405" s="14">
        <v>360000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0"/>
      <c r="U405" s="13">
        <f>SUM(E405:T405)</f>
        <v>660000</v>
      </c>
    </row>
    <row r="406" spans="1:21" ht="15.75" customHeight="1" x14ac:dyDescent="0.3">
      <c r="A406" s="27">
        <v>1017263270</v>
      </c>
      <c r="B406" s="27" t="s">
        <v>536</v>
      </c>
      <c r="C406" s="28" t="s">
        <v>537</v>
      </c>
      <c r="D406" s="32"/>
      <c r="E406" s="2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0"/>
      <c r="U406" s="13">
        <f>SUM(E406:T406)</f>
        <v>0</v>
      </c>
    </row>
    <row r="407" spans="1:21" ht="15.75" customHeight="1" x14ac:dyDescent="0.3">
      <c r="A407" s="29">
        <v>1026143036</v>
      </c>
      <c r="B407" s="29" t="s">
        <v>538</v>
      </c>
      <c r="C407" s="30" t="s">
        <v>711</v>
      </c>
      <c r="D407" s="32"/>
      <c r="E407" s="2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1"/>
      <c r="U407" s="13">
        <f>SUM(E407:T407)</f>
        <v>0</v>
      </c>
    </row>
    <row r="408" spans="1:21" ht="15.75" customHeight="1" x14ac:dyDescent="0.3">
      <c r="A408" s="27">
        <v>1000764249</v>
      </c>
      <c r="B408" s="27" t="s">
        <v>538</v>
      </c>
      <c r="C408" s="28" t="s">
        <v>539</v>
      </c>
      <c r="D408" s="32">
        <v>37058</v>
      </c>
      <c r="E408" s="2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0"/>
      <c r="U408" s="13">
        <v>0</v>
      </c>
    </row>
    <row r="409" spans="1:21" ht="15.75" customHeight="1" x14ac:dyDescent="0.3">
      <c r="A409" s="27">
        <v>1025644303</v>
      </c>
      <c r="B409" s="27" t="s">
        <v>538</v>
      </c>
      <c r="C409" s="28" t="s">
        <v>540</v>
      </c>
      <c r="D409" s="32">
        <v>29769</v>
      </c>
      <c r="E409" s="2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0"/>
      <c r="U409" s="13">
        <v>0</v>
      </c>
    </row>
    <row r="410" spans="1:21" ht="15.75" customHeight="1" x14ac:dyDescent="0.3">
      <c r="A410" s="27">
        <v>1037645885</v>
      </c>
      <c r="B410" s="27" t="s">
        <v>538</v>
      </c>
      <c r="C410" s="28" t="s">
        <v>541</v>
      </c>
      <c r="D410" s="32">
        <v>35018</v>
      </c>
      <c r="E410" s="2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0"/>
      <c r="U410" s="13">
        <v>0</v>
      </c>
    </row>
    <row r="411" spans="1:21" ht="15.75" customHeight="1" x14ac:dyDescent="0.3">
      <c r="A411" s="31">
        <v>1020472390</v>
      </c>
      <c r="B411" s="27" t="s">
        <v>542</v>
      </c>
      <c r="C411" s="28" t="s">
        <v>543</v>
      </c>
      <c r="D411" s="32">
        <v>34969</v>
      </c>
      <c r="E411" s="2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0"/>
      <c r="U411" s="13">
        <f>SUM(E411:T411)</f>
        <v>0</v>
      </c>
    </row>
    <row r="412" spans="1:21" ht="15.75" customHeight="1" x14ac:dyDescent="0.3">
      <c r="A412" s="29">
        <v>1083569307</v>
      </c>
      <c r="B412" s="29" t="s">
        <v>669</v>
      </c>
      <c r="C412" s="30" t="s">
        <v>670</v>
      </c>
      <c r="D412" s="32"/>
      <c r="E412" s="2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1"/>
      <c r="U412" s="13">
        <f>SUM(E412:T412)</f>
        <v>0</v>
      </c>
    </row>
    <row r="413" spans="1:21" ht="15.75" customHeight="1" x14ac:dyDescent="0.3">
      <c r="A413" s="29">
        <v>1014285773</v>
      </c>
      <c r="B413" s="29" t="s">
        <v>646</v>
      </c>
      <c r="C413" s="30" t="s">
        <v>647</v>
      </c>
      <c r="D413" s="32">
        <v>35284</v>
      </c>
      <c r="E413" s="2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1"/>
      <c r="U413" s="13">
        <v>0</v>
      </c>
    </row>
    <row r="414" spans="1:21" ht="15.75" customHeight="1" x14ac:dyDescent="0.3">
      <c r="A414" s="31">
        <v>1035877000</v>
      </c>
      <c r="B414" s="27" t="s">
        <v>544</v>
      </c>
      <c r="C414" s="28" t="s">
        <v>545</v>
      </c>
      <c r="D414" s="32">
        <v>35756</v>
      </c>
      <c r="E414" s="2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0"/>
      <c r="U414" s="13">
        <v>0</v>
      </c>
    </row>
    <row r="415" spans="1:21" ht="15.75" customHeight="1" x14ac:dyDescent="0.3">
      <c r="A415" s="27">
        <v>1214737319</v>
      </c>
      <c r="B415" s="27" t="s">
        <v>546</v>
      </c>
      <c r="C415" s="28" t="s">
        <v>547</v>
      </c>
      <c r="D415" s="32"/>
      <c r="E415" s="2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0"/>
      <c r="U415" s="13">
        <f>SUM(E415:T415)</f>
        <v>0</v>
      </c>
    </row>
    <row r="416" spans="1:21" ht="15.75" customHeight="1" x14ac:dyDescent="0.3">
      <c r="A416" s="31">
        <v>1037584551</v>
      </c>
      <c r="B416" s="27" t="s">
        <v>548</v>
      </c>
      <c r="C416" s="28" t="s">
        <v>549</v>
      </c>
      <c r="D416" s="32"/>
      <c r="E416" s="2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0"/>
      <c r="U416" s="13">
        <f>SUM(E416:T416)</f>
        <v>0</v>
      </c>
    </row>
    <row r="417" spans="1:21" ht="15.75" customHeight="1" x14ac:dyDescent="0.3">
      <c r="A417" s="27">
        <v>44004733</v>
      </c>
      <c r="B417" s="27" t="s">
        <v>550</v>
      </c>
      <c r="C417" s="28" t="s">
        <v>551</v>
      </c>
      <c r="D417" s="32"/>
      <c r="E417" s="2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0"/>
      <c r="U417" s="13">
        <f>SUM(E417:T417)</f>
        <v>0</v>
      </c>
    </row>
    <row r="418" spans="1:21" ht="15.75" customHeight="1" x14ac:dyDescent="0.3">
      <c r="A418" s="27">
        <v>43102696</v>
      </c>
      <c r="B418" s="27" t="s">
        <v>552</v>
      </c>
      <c r="C418" s="28" t="s">
        <v>553</v>
      </c>
      <c r="D418" s="32">
        <v>28594</v>
      </c>
      <c r="E418" s="2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0"/>
      <c r="U418" s="13">
        <v>0</v>
      </c>
    </row>
    <row r="419" spans="1:21" ht="15.75" customHeight="1" x14ac:dyDescent="0.3">
      <c r="A419" s="27">
        <v>1039469664</v>
      </c>
      <c r="B419" s="27" t="s">
        <v>554</v>
      </c>
      <c r="C419" s="28" t="s">
        <v>556</v>
      </c>
      <c r="D419" s="32"/>
      <c r="E419" s="2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0"/>
      <c r="U419" s="13">
        <f>SUM(E419:T419)</f>
        <v>0</v>
      </c>
    </row>
    <row r="420" spans="1:21" ht="15.75" customHeight="1" x14ac:dyDescent="0.3">
      <c r="A420" s="31">
        <v>1001539949</v>
      </c>
      <c r="B420" s="27" t="s">
        <v>554</v>
      </c>
      <c r="C420" s="28" t="s">
        <v>555</v>
      </c>
      <c r="D420" s="32">
        <v>37855</v>
      </c>
      <c r="E420" s="2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0"/>
      <c r="U420" s="13">
        <f>SUM(E420:T420)</f>
        <v>0</v>
      </c>
    </row>
    <row r="421" spans="1:21" ht="15.75" customHeight="1" x14ac:dyDescent="0.3">
      <c r="A421" s="29">
        <v>1035872006</v>
      </c>
      <c r="B421" s="29" t="s">
        <v>708</v>
      </c>
      <c r="C421" s="30" t="s">
        <v>707</v>
      </c>
      <c r="D421" s="32"/>
      <c r="E421" s="2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1"/>
      <c r="U421" s="13">
        <f>SUM(E421:T421)</f>
        <v>0</v>
      </c>
    </row>
    <row r="422" spans="1:21" ht="15.75" customHeight="1" x14ac:dyDescent="0.3">
      <c r="A422" s="27">
        <v>1001686236</v>
      </c>
      <c r="B422" s="27" t="s">
        <v>557</v>
      </c>
      <c r="C422" s="28" t="s">
        <v>558</v>
      </c>
      <c r="D422" s="32"/>
      <c r="E422" s="2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0"/>
      <c r="U422" s="13">
        <f>SUM(E422:T422)</f>
        <v>0</v>
      </c>
    </row>
    <row r="423" spans="1:21" ht="15.75" customHeight="1" x14ac:dyDescent="0.3">
      <c r="A423" s="27">
        <v>1035232799</v>
      </c>
      <c r="B423" s="27" t="s">
        <v>557</v>
      </c>
      <c r="C423" s="28" t="s">
        <v>559</v>
      </c>
      <c r="D423" s="32">
        <v>35231</v>
      </c>
      <c r="E423" s="2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0"/>
      <c r="U423" s="13">
        <v>0</v>
      </c>
    </row>
    <row r="424" spans="1:21" ht="15.75" customHeight="1" x14ac:dyDescent="0.3">
      <c r="A424" s="27">
        <v>1025651051</v>
      </c>
      <c r="B424" s="27" t="s">
        <v>560</v>
      </c>
      <c r="C424" s="28" t="s">
        <v>561</v>
      </c>
      <c r="D424" s="32"/>
      <c r="E424" s="2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0"/>
      <c r="U424" s="13">
        <f>SUM(E424:T424)</f>
        <v>0</v>
      </c>
    </row>
    <row r="425" spans="1:21" ht="15.75" customHeight="1" x14ac:dyDescent="0.3">
      <c r="A425" s="27">
        <v>1000874319</v>
      </c>
      <c r="B425" s="27" t="s">
        <v>562</v>
      </c>
      <c r="C425" s="28" t="s">
        <v>563</v>
      </c>
      <c r="D425" s="32"/>
      <c r="E425" s="2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0"/>
      <c r="U425" s="13">
        <f>SUM(E425:T425)</f>
        <v>0</v>
      </c>
    </row>
    <row r="426" spans="1:21" ht="15.75" customHeight="1" x14ac:dyDescent="0.3">
      <c r="A426" s="27">
        <v>1020485194</v>
      </c>
      <c r="B426" s="27" t="s">
        <v>562</v>
      </c>
      <c r="C426" s="28" t="s">
        <v>565</v>
      </c>
      <c r="D426" s="32"/>
      <c r="E426" s="2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0"/>
      <c r="U426" s="13">
        <f>SUM(E426:T426)</f>
        <v>0</v>
      </c>
    </row>
    <row r="427" spans="1:21" ht="15.75" customHeight="1" x14ac:dyDescent="0.3">
      <c r="A427" s="27">
        <v>1036682054</v>
      </c>
      <c r="B427" s="27" t="s">
        <v>562</v>
      </c>
      <c r="C427" s="28" t="s">
        <v>566</v>
      </c>
      <c r="D427" s="32"/>
      <c r="E427" s="2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0"/>
      <c r="U427" s="13">
        <f>SUM(E427:T427)</f>
        <v>0</v>
      </c>
    </row>
    <row r="428" spans="1:21" ht="15.75" customHeight="1" x14ac:dyDescent="0.3">
      <c r="A428" s="27">
        <v>1040571586</v>
      </c>
      <c r="B428" s="27" t="s">
        <v>562</v>
      </c>
      <c r="C428" s="28" t="s">
        <v>567</v>
      </c>
      <c r="D428" s="32"/>
      <c r="E428" s="23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0"/>
      <c r="U428" s="13">
        <f>SUM(E428:T428)</f>
        <v>0</v>
      </c>
    </row>
    <row r="429" spans="1:21" ht="15.75" customHeight="1" x14ac:dyDescent="0.3">
      <c r="A429" s="27">
        <v>1010087247</v>
      </c>
      <c r="B429" s="27" t="s">
        <v>562</v>
      </c>
      <c r="C429" s="28" t="s">
        <v>564</v>
      </c>
      <c r="D429" s="32">
        <v>36745</v>
      </c>
      <c r="E429" s="23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0"/>
      <c r="U429" s="13">
        <v>0</v>
      </c>
    </row>
    <row r="430" spans="1:21" ht="15.75" customHeight="1" x14ac:dyDescent="0.3">
      <c r="A430" s="31">
        <v>1039910026</v>
      </c>
      <c r="B430" s="31" t="s">
        <v>562</v>
      </c>
      <c r="C430" s="30" t="s">
        <v>793</v>
      </c>
      <c r="D430" s="32">
        <v>38080</v>
      </c>
      <c r="E430" s="23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3"/>
      <c r="U430" s="13">
        <v>0</v>
      </c>
    </row>
    <row r="431" spans="1:21" ht="15.75" customHeight="1" x14ac:dyDescent="0.3">
      <c r="A431" s="27">
        <v>1000084325</v>
      </c>
      <c r="B431" s="27" t="s">
        <v>568</v>
      </c>
      <c r="C431" s="28" t="s">
        <v>569</v>
      </c>
      <c r="D431" s="32"/>
      <c r="E431" s="23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0"/>
      <c r="U431" s="13">
        <f>SUM(E431:T431)</f>
        <v>0</v>
      </c>
    </row>
    <row r="432" spans="1:21" ht="15.75" customHeight="1" x14ac:dyDescent="0.3">
      <c r="A432" s="27">
        <v>1036658859</v>
      </c>
      <c r="B432" s="27" t="s">
        <v>568</v>
      </c>
      <c r="C432" s="28" t="s">
        <v>571</v>
      </c>
      <c r="D432" s="32"/>
      <c r="E432" s="23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0"/>
      <c r="U432" s="13">
        <f>SUM(E432:T432)</f>
        <v>0</v>
      </c>
    </row>
    <row r="433" spans="1:21" ht="15.75" customHeight="1" x14ac:dyDescent="0.3">
      <c r="A433" s="29">
        <v>1035970855</v>
      </c>
      <c r="B433" s="29" t="s">
        <v>568</v>
      </c>
      <c r="C433" s="30" t="s">
        <v>626</v>
      </c>
      <c r="D433" s="32"/>
      <c r="E433" s="23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1"/>
      <c r="U433" s="13">
        <f>SUM(E433:T433)</f>
        <v>0</v>
      </c>
    </row>
    <row r="434" spans="1:21" ht="15.75" customHeight="1" x14ac:dyDescent="0.3">
      <c r="A434" s="27">
        <v>1000644769</v>
      </c>
      <c r="B434" s="27" t="s">
        <v>568</v>
      </c>
      <c r="C434" s="28" t="s">
        <v>8</v>
      </c>
      <c r="D434" s="32">
        <v>37252</v>
      </c>
      <c r="E434" s="23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0"/>
      <c r="U434" s="13">
        <v>0</v>
      </c>
    </row>
    <row r="435" spans="1:21" ht="15.75" customHeight="1" x14ac:dyDescent="0.3">
      <c r="A435" s="27">
        <v>1002961826</v>
      </c>
      <c r="B435" s="27" t="s">
        <v>568</v>
      </c>
      <c r="C435" s="28" t="s">
        <v>570</v>
      </c>
      <c r="D435" s="32">
        <v>37098</v>
      </c>
      <c r="E435" s="23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0"/>
      <c r="U435" s="13">
        <v>0</v>
      </c>
    </row>
    <row r="436" spans="1:21" ht="15.75" customHeight="1" x14ac:dyDescent="0.3">
      <c r="A436" s="29">
        <v>1036518659</v>
      </c>
      <c r="B436" s="29" t="s">
        <v>699</v>
      </c>
      <c r="C436" s="30" t="s">
        <v>700</v>
      </c>
      <c r="D436" s="32"/>
      <c r="E436" s="23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1"/>
      <c r="U436" s="13">
        <f>SUM(E436:T436)</f>
        <v>0</v>
      </c>
    </row>
    <row r="437" spans="1:21" ht="15.75" customHeight="1" x14ac:dyDescent="0.3">
      <c r="A437" s="27">
        <v>1001228414</v>
      </c>
      <c r="B437" s="27" t="s">
        <v>572</v>
      </c>
      <c r="C437" s="28" t="s">
        <v>573</v>
      </c>
      <c r="D437" s="32">
        <v>37799</v>
      </c>
      <c r="E437" s="23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0"/>
      <c r="U437" s="13">
        <v>0</v>
      </c>
    </row>
    <row r="438" spans="1:21" ht="15.75" customHeight="1" x14ac:dyDescent="0.3">
      <c r="A438" s="27">
        <v>1040748789</v>
      </c>
      <c r="B438" s="27" t="s">
        <v>574</v>
      </c>
      <c r="C438" s="28" t="s">
        <v>575</v>
      </c>
      <c r="D438" s="32"/>
      <c r="E438" s="2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0"/>
      <c r="U438" s="13">
        <f>SUM(E438:T438)</f>
        <v>0</v>
      </c>
    </row>
    <row r="439" spans="1:21" ht="15.75" customHeight="1" x14ac:dyDescent="0.3">
      <c r="A439" s="27">
        <v>1000567127</v>
      </c>
      <c r="B439" s="27" t="s">
        <v>576</v>
      </c>
      <c r="C439" s="28" t="s">
        <v>577</v>
      </c>
      <c r="D439" s="32"/>
      <c r="E439" s="23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0"/>
      <c r="U439" s="13">
        <f>SUM(E439:T439)</f>
        <v>0</v>
      </c>
    </row>
    <row r="440" spans="1:21" ht="15.75" customHeight="1" x14ac:dyDescent="0.3">
      <c r="A440" s="27">
        <v>1006491759</v>
      </c>
      <c r="B440" s="27" t="s">
        <v>578</v>
      </c>
      <c r="C440" s="28" t="s">
        <v>579</v>
      </c>
      <c r="D440" s="32">
        <v>37698</v>
      </c>
      <c r="E440" s="23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0"/>
      <c r="U440" s="13">
        <v>0</v>
      </c>
    </row>
    <row r="441" spans="1:21" ht="15.75" customHeight="1" x14ac:dyDescent="0.3">
      <c r="A441" s="27">
        <v>1001508929</v>
      </c>
      <c r="B441" s="27" t="s">
        <v>580</v>
      </c>
      <c r="C441" s="28" t="s">
        <v>581</v>
      </c>
      <c r="D441" s="32"/>
      <c r="E441" s="2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0"/>
      <c r="U441" s="13">
        <f>SUM(E441:T441)</f>
        <v>0</v>
      </c>
    </row>
    <row r="442" spans="1:21" ht="15.75" customHeight="1" x14ac:dyDescent="0.3">
      <c r="A442" s="27">
        <v>1001235439</v>
      </c>
      <c r="B442" s="27" t="s">
        <v>582</v>
      </c>
      <c r="C442" s="28" t="s">
        <v>583</v>
      </c>
      <c r="D442" s="32"/>
      <c r="E442" s="2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0"/>
      <c r="U442" s="13">
        <f>SUM(E442:T442)</f>
        <v>0</v>
      </c>
    </row>
    <row r="443" spans="1:21" ht="15.75" customHeight="1" x14ac:dyDescent="0.3">
      <c r="A443" s="29">
        <v>1000566617</v>
      </c>
      <c r="B443" s="29" t="s">
        <v>582</v>
      </c>
      <c r="C443" s="30" t="s">
        <v>771</v>
      </c>
      <c r="D443" s="32"/>
      <c r="E443" s="2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1"/>
      <c r="U443" s="13">
        <f>SUM(E443:T443)</f>
        <v>0</v>
      </c>
    </row>
    <row r="444" spans="1:21" ht="15.75" customHeight="1" x14ac:dyDescent="0.3">
      <c r="A444" s="29">
        <v>1214722611</v>
      </c>
      <c r="B444" s="29" t="s">
        <v>763</v>
      </c>
      <c r="C444" s="30" t="s">
        <v>764</v>
      </c>
      <c r="D444" s="32"/>
      <c r="E444" s="2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1"/>
      <c r="U444" s="13">
        <f>SUM(E444:T444)</f>
        <v>0</v>
      </c>
    </row>
    <row r="445" spans="1:21" ht="15.75" customHeight="1" x14ac:dyDescent="0.3">
      <c r="A445" s="31">
        <v>1017222827</v>
      </c>
      <c r="B445" s="27" t="s">
        <v>813</v>
      </c>
      <c r="C445" s="28" t="s">
        <v>814</v>
      </c>
      <c r="D445" s="32">
        <v>41169</v>
      </c>
      <c r="E445" s="2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1"/>
      <c r="U445" s="13">
        <f>SUM(E445:T445)</f>
        <v>0</v>
      </c>
    </row>
    <row r="446" spans="1:21" ht="15.75" customHeight="1" x14ac:dyDescent="0.3">
      <c r="A446" s="27">
        <v>1040752129</v>
      </c>
      <c r="B446" s="27" t="s">
        <v>584</v>
      </c>
      <c r="C446" s="28" t="s">
        <v>585</v>
      </c>
      <c r="D446" s="32">
        <v>40452</v>
      </c>
      <c r="E446" s="2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0"/>
      <c r="U446" s="13">
        <v>0</v>
      </c>
    </row>
    <row r="447" spans="1:21" ht="15.75" customHeight="1" x14ac:dyDescent="0.3">
      <c r="A447" s="27">
        <v>1001653106</v>
      </c>
      <c r="B447" s="27" t="s">
        <v>586</v>
      </c>
      <c r="C447" s="28" t="s">
        <v>587</v>
      </c>
      <c r="D447" s="32"/>
      <c r="E447" s="2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0"/>
      <c r="U447" s="13">
        <f t="shared" ref="U447:U456" si="22">SUM(E447:T447)</f>
        <v>0</v>
      </c>
    </row>
    <row r="448" spans="1:21" ht="15.75" customHeight="1" x14ac:dyDescent="0.3">
      <c r="A448" s="27">
        <v>1020103790</v>
      </c>
      <c r="B448" s="27" t="s">
        <v>588</v>
      </c>
      <c r="C448" s="28" t="s">
        <v>589</v>
      </c>
      <c r="D448" s="32"/>
      <c r="E448" s="2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0"/>
      <c r="U448" s="13">
        <f t="shared" si="22"/>
        <v>0</v>
      </c>
    </row>
    <row r="449" spans="1:21" ht="15.75" customHeight="1" x14ac:dyDescent="0.3">
      <c r="A449" s="27">
        <v>1001813504</v>
      </c>
      <c r="B449" s="27" t="s">
        <v>590</v>
      </c>
      <c r="C449" s="28" t="s">
        <v>591</v>
      </c>
      <c r="D449" s="32"/>
      <c r="E449" s="2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0"/>
      <c r="U449" s="13">
        <f t="shared" si="22"/>
        <v>0</v>
      </c>
    </row>
    <row r="450" spans="1:21" ht="15.75" customHeight="1" x14ac:dyDescent="0.3">
      <c r="A450" s="27">
        <v>1007533621</v>
      </c>
      <c r="B450" s="27" t="s">
        <v>590</v>
      </c>
      <c r="C450" s="28" t="s">
        <v>592</v>
      </c>
      <c r="D450" s="32"/>
      <c r="E450" s="2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0"/>
      <c r="U450" s="13">
        <f t="shared" si="22"/>
        <v>0</v>
      </c>
    </row>
    <row r="451" spans="1:21" ht="15.75" customHeight="1" x14ac:dyDescent="0.3">
      <c r="A451" s="27">
        <v>1038094591</v>
      </c>
      <c r="B451" s="27" t="s">
        <v>590</v>
      </c>
      <c r="C451" s="28" t="s">
        <v>593</v>
      </c>
      <c r="D451" s="32">
        <v>38198</v>
      </c>
      <c r="E451" s="23">
        <v>80000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0"/>
      <c r="U451" s="13">
        <f t="shared" si="22"/>
        <v>80000</v>
      </c>
    </row>
    <row r="452" spans="1:21" ht="15.75" customHeight="1" x14ac:dyDescent="0.3">
      <c r="A452" s="27">
        <v>1001161389</v>
      </c>
      <c r="B452" s="27" t="s">
        <v>594</v>
      </c>
      <c r="C452" s="28" t="s">
        <v>595</v>
      </c>
      <c r="D452" s="32"/>
      <c r="E452" s="2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0"/>
      <c r="U452" s="13">
        <f t="shared" si="22"/>
        <v>0</v>
      </c>
    </row>
    <row r="453" spans="1:21" ht="15.75" customHeight="1" x14ac:dyDescent="0.3">
      <c r="A453" s="29">
        <v>1015186254</v>
      </c>
      <c r="B453" s="29" t="s">
        <v>755</v>
      </c>
      <c r="C453" s="30" t="s">
        <v>756</v>
      </c>
      <c r="D453" s="32"/>
      <c r="E453" s="2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1"/>
      <c r="U453" s="13">
        <f t="shared" si="22"/>
        <v>0</v>
      </c>
    </row>
    <row r="454" spans="1:21" ht="15.75" customHeight="1" x14ac:dyDescent="0.3">
      <c r="A454" s="27">
        <v>1037655861</v>
      </c>
      <c r="B454" s="27" t="s">
        <v>596</v>
      </c>
      <c r="C454" s="28" t="s">
        <v>597</v>
      </c>
      <c r="D454" s="32"/>
      <c r="E454" s="2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0"/>
      <c r="U454" s="13">
        <f t="shared" si="22"/>
        <v>0</v>
      </c>
    </row>
    <row r="455" spans="1:21" ht="15.75" customHeight="1" x14ac:dyDescent="0.3">
      <c r="A455" s="27">
        <v>1192717160</v>
      </c>
      <c r="B455" s="27" t="s">
        <v>598</v>
      </c>
      <c r="C455" s="28" t="s">
        <v>599</v>
      </c>
      <c r="D455" s="32"/>
      <c r="E455" s="2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0"/>
      <c r="U455" s="13">
        <f t="shared" si="22"/>
        <v>0</v>
      </c>
    </row>
    <row r="456" spans="1:21" ht="15.75" customHeight="1" x14ac:dyDescent="0.3">
      <c r="A456" s="31">
        <v>1007190983</v>
      </c>
      <c r="B456" s="27" t="s">
        <v>600</v>
      </c>
      <c r="C456" s="28" t="s">
        <v>601</v>
      </c>
      <c r="D456" s="32"/>
      <c r="E456" s="2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0"/>
      <c r="U456" s="13">
        <f t="shared" si="22"/>
        <v>0</v>
      </c>
    </row>
    <row r="457" spans="1:21" ht="15.75" customHeight="1" x14ac:dyDescent="0.3">
      <c r="A457" s="29">
        <v>1004903577</v>
      </c>
      <c r="B457" s="29" t="s">
        <v>691</v>
      </c>
      <c r="C457" s="30" t="s">
        <v>692</v>
      </c>
      <c r="D457" s="32">
        <v>35859</v>
      </c>
      <c r="E457" s="2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1"/>
      <c r="U457" s="13">
        <v>0</v>
      </c>
    </row>
    <row r="458" spans="1:21" ht="15.75" customHeight="1" x14ac:dyDescent="0.3">
      <c r="A458" s="27">
        <v>1193290385</v>
      </c>
      <c r="B458" s="27" t="s">
        <v>602</v>
      </c>
      <c r="C458" s="28" t="s">
        <v>603</v>
      </c>
      <c r="D458" s="32"/>
      <c r="E458" s="2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0"/>
      <c r="U458" s="13">
        <f>SUM(E458:T458)</f>
        <v>0</v>
      </c>
    </row>
    <row r="459" spans="1:21" ht="15.75" customHeight="1" x14ac:dyDescent="0.3">
      <c r="A459" s="27">
        <v>1040375333</v>
      </c>
      <c r="B459" s="27" t="s">
        <v>604</v>
      </c>
      <c r="C459" s="28" t="s">
        <v>605</v>
      </c>
      <c r="D459" s="32"/>
      <c r="E459" s="2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0"/>
      <c r="U459" s="13">
        <f>SUM(E459:T459)</f>
        <v>0</v>
      </c>
    </row>
    <row r="460" spans="1:21" ht="15.75" customHeight="1" x14ac:dyDescent="0.3">
      <c r="A460" s="27">
        <v>1000394312</v>
      </c>
      <c r="B460" s="27" t="s">
        <v>606</v>
      </c>
      <c r="C460" s="28" t="s">
        <v>607</v>
      </c>
      <c r="D460" s="32"/>
      <c r="E460" s="2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0"/>
      <c r="U460" s="13">
        <f>SUM(E460:T460)</f>
        <v>0</v>
      </c>
    </row>
    <row r="461" spans="1:21" ht="15.75" customHeight="1" x14ac:dyDescent="0.3">
      <c r="A461" s="27">
        <v>1000899076</v>
      </c>
      <c r="B461" s="27" t="s">
        <v>608</v>
      </c>
      <c r="C461" s="28" t="s">
        <v>609</v>
      </c>
      <c r="D461" s="32">
        <v>44219</v>
      </c>
      <c r="E461" s="2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0"/>
      <c r="U461" s="13">
        <v>0</v>
      </c>
    </row>
    <row r="462" spans="1:21" ht="15.75" customHeight="1" x14ac:dyDescent="0.3">
      <c r="A462" s="29">
        <v>1216724453</v>
      </c>
      <c r="B462" s="29" t="s">
        <v>720</v>
      </c>
      <c r="C462" s="30" t="s">
        <v>721</v>
      </c>
      <c r="D462" s="32"/>
      <c r="E462" s="2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1"/>
      <c r="U462" s="13">
        <f>SUM(E462:T462)</f>
        <v>0</v>
      </c>
    </row>
    <row r="463" spans="1:21" ht="15.75" customHeight="1" x14ac:dyDescent="0.3">
      <c r="A463" s="27">
        <v>1152435030</v>
      </c>
      <c r="B463" s="27" t="s">
        <v>610</v>
      </c>
      <c r="C463" s="28" t="s">
        <v>611</v>
      </c>
      <c r="D463" s="32"/>
      <c r="E463" s="2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0"/>
      <c r="U463" s="13">
        <f>SUM(E463:T463)</f>
        <v>0</v>
      </c>
    </row>
    <row r="464" spans="1:21" ht="15.75" customHeight="1" x14ac:dyDescent="0.3">
      <c r="A464" s="31">
        <v>1011390516</v>
      </c>
      <c r="B464" s="31" t="s">
        <v>802</v>
      </c>
      <c r="C464" s="30" t="s">
        <v>801</v>
      </c>
      <c r="D464" s="32">
        <v>38026</v>
      </c>
      <c r="E464" s="2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3"/>
      <c r="U464" s="13">
        <v>0</v>
      </c>
    </row>
    <row r="465" spans="1:21" ht="15.75" customHeight="1" x14ac:dyDescent="0.3">
      <c r="A465" s="27">
        <v>96124264</v>
      </c>
      <c r="B465" s="27" t="s">
        <v>612</v>
      </c>
      <c r="C465" s="28" t="s">
        <v>613</v>
      </c>
      <c r="D465" s="32"/>
      <c r="E465" s="2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0"/>
      <c r="U465" s="13">
        <f>SUM(E465:T465)</f>
        <v>0</v>
      </c>
    </row>
    <row r="466" spans="1:21" ht="15.75" customHeight="1" x14ac:dyDescent="0.3">
      <c r="A466" s="27">
        <v>1001371041</v>
      </c>
      <c r="B466" s="27" t="s">
        <v>614</v>
      </c>
      <c r="C466" s="28" t="s">
        <v>615</v>
      </c>
      <c r="D466" s="32"/>
      <c r="E466" s="23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0"/>
      <c r="U466" s="13">
        <f>SUM(E466:T466)</f>
        <v>0</v>
      </c>
    </row>
    <row r="467" spans="1:21" ht="15.75" customHeight="1" x14ac:dyDescent="0.3">
      <c r="A467" s="27">
        <v>1003590853</v>
      </c>
      <c r="B467" s="27" t="s">
        <v>614</v>
      </c>
      <c r="C467" s="28" t="s">
        <v>616</v>
      </c>
      <c r="D467" s="32"/>
      <c r="E467" s="2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0"/>
      <c r="U467" s="13">
        <f>SUM(E467:T467)</f>
        <v>0</v>
      </c>
    </row>
    <row r="468" spans="1:21" ht="15.75" customHeight="1" x14ac:dyDescent="0.3">
      <c r="A468" s="27">
        <v>1128397533</v>
      </c>
      <c r="B468" s="27" t="s">
        <v>614</v>
      </c>
      <c r="C468" s="28" t="s">
        <v>617</v>
      </c>
      <c r="D468" s="32"/>
      <c r="E468" s="2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0"/>
      <c r="U468" s="13">
        <f>SUM(E468:T468)</f>
        <v>0</v>
      </c>
    </row>
    <row r="469" spans="1:21" ht="15.75" customHeight="1" x14ac:dyDescent="0.3">
      <c r="A469" s="31">
        <v>1115946902</v>
      </c>
      <c r="B469" s="27" t="s">
        <v>618</v>
      </c>
      <c r="C469" s="28" t="s">
        <v>619</v>
      </c>
      <c r="D469" s="32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9"/>
      <c r="U469" s="13">
        <f>SUM(E469:T469)</f>
        <v>0</v>
      </c>
    </row>
    <row r="470" spans="1:21" ht="15.75" customHeight="1" x14ac:dyDescent="0.3">
      <c r="U470" s="13">
        <f t="shared" ref="U470:U482" si="23">SUM(E470:T470)</f>
        <v>0</v>
      </c>
    </row>
    <row r="471" spans="1:21" ht="15.75" customHeight="1" x14ac:dyDescent="0.3">
      <c r="U471" s="13">
        <f t="shared" si="23"/>
        <v>0</v>
      </c>
    </row>
    <row r="472" spans="1:21" ht="15.75" customHeight="1" x14ac:dyDescent="0.3">
      <c r="U472" s="13">
        <f t="shared" si="23"/>
        <v>0</v>
      </c>
    </row>
    <row r="473" spans="1:21" ht="15.75" customHeight="1" x14ac:dyDescent="0.3">
      <c r="U473" s="13">
        <f t="shared" si="23"/>
        <v>0</v>
      </c>
    </row>
    <row r="474" spans="1:21" ht="15.75" customHeight="1" x14ac:dyDescent="0.3">
      <c r="U474" s="13">
        <f t="shared" si="23"/>
        <v>0</v>
      </c>
    </row>
    <row r="475" spans="1:21" ht="15.75" customHeight="1" x14ac:dyDescent="0.3">
      <c r="U475" s="13">
        <f t="shared" si="23"/>
        <v>0</v>
      </c>
    </row>
    <row r="476" spans="1:21" ht="15.75" customHeight="1" x14ac:dyDescent="0.3">
      <c r="U476" s="13">
        <f t="shared" si="23"/>
        <v>0</v>
      </c>
    </row>
    <row r="477" spans="1:21" ht="15.75" customHeight="1" x14ac:dyDescent="0.3">
      <c r="U477" s="13">
        <f t="shared" si="23"/>
        <v>0</v>
      </c>
    </row>
    <row r="478" spans="1:21" ht="15.75" customHeight="1" x14ac:dyDescent="0.3">
      <c r="U478" s="13">
        <f t="shared" si="23"/>
        <v>0</v>
      </c>
    </row>
    <row r="479" spans="1:21" ht="15.75" customHeight="1" x14ac:dyDescent="0.3">
      <c r="U479" s="13">
        <f t="shared" si="23"/>
        <v>0</v>
      </c>
    </row>
    <row r="480" spans="1:21" ht="15.75" customHeight="1" x14ac:dyDescent="0.3">
      <c r="U480" s="13">
        <f t="shared" si="23"/>
        <v>0</v>
      </c>
    </row>
    <row r="481" spans="21:21" ht="15.75" customHeight="1" x14ac:dyDescent="0.3">
      <c r="U481" s="13">
        <f t="shared" si="23"/>
        <v>0</v>
      </c>
    </row>
    <row r="482" spans="21:21" ht="15.75" customHeight="1" x14ac:dyDescent="0.3">
      <c r="U482" s="13">
        <f t="shared" si="23"/>
        <v>0</v>
      </c>
    </row>
    <row r="483" spans="21:21" ht="15.75" customHeight="1" x14ac:dyDescent="0.3"/>
    <row r="484" spans="21:21" ht="15.75" customHeight="1" x14ac:dyDescent="0.3"/>
    <row r="485" spans="21:21" ht="15.75" customHeight="1" x14ac:dyDescent="0.3"/>
    <row r="486" spans="21:21" ht="15.75" customHeight="1" x14ac:dyDescent="0.3"/>
    <row r="487" spans="21:21" ht="15.75" customHeight="1" x14ac:dyDescent="0.3"/>
    <row r="488" spans="21:21" ht="15.75" customHeight="1" x14ac:dyDescent="0.3"/>
    <row r="489" spans="21:21" ht="15.75" customHeight="1" x14ac:dyDescent="0.3"/>
    <row r="490" spans="21:21" ht="15.75" customHeight="1" x14ac:dyDescent="0.3"/>
    <row r="491" spans="21:21" ht="15.75" customHeight="1" x14ac:dyDescent="0.3"/>
    <row r="492" spans="21:21" ht="15.75" customHeight="1" x14ac:dyDescent="0.3"/>
    <row r="493" spans="21:21" ht="15.75" customHeight="1" x14ac:dyDescent="0.3"/>
    <row r="494" spans="21:21" ht="15.75" customHeight="1" x14ac:dyDescent="0.3"/>
    <row r="495" spans="21:21" ht="15.75" customHeight="1" x14ac:dyDescent="0.3"/>
    <row r="496" spans="21:21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</sheetData>
  <autoFilter ref="A2:U306" xr:uid="{00000000-0009-0000-0000-000000000000}">
    <sortState xmlns:xlrd2="http://schemas.microsoft.com/office/spreadsheetml/2017/richdata2" ref="A3:U472">
      <sortCondition ref="B2:B306"/>
    </sortState>
  </autoFilter>
  <mergeCells count="2">
    <mergeCell ref="A1:D1"/>
    <mergeCell ref="E1:T1"/>
  </mergeCells>
  <conditionalFormatting sqref="A1:A1048576">
    <cfRule type="duplicateValues" dxfId="21" priority="1"/>
  </conditionalFormatting>
  <conditionalFormatting sqref="A322:A348">
    <cfRule type="duplicateValues" dxfId="20" priority="68"/>
    <cfRule type="duplicateValues" dxfId="19" priority="69"/>
  </conditionalFormatting>
  <conditionalFormatting sqref="A322:A349">
    <cfRule type="duplicateValues" dxfId="18" priority="66"/>
  </conditionalFormatting>
  <conditionalFormatting sqref="A350">
    <cfRule type="duplicateValues" dxfId="17" priority="14"/>
    <cfRule type="duplicateValues" dxfId="16" priority="15"/>
    <cfRule type="duplicateValues" dxfId="15" priority="16"/>
  </conditionalFormatting>
  <conditionalFormatting sqref="A351">
    <cfRule type="duplicateValues" dxfId="14" priority="11"/>
    <cfRule type="duplicateValues" dxfId="13" priority="12"/>
    <cfRule type="duplicateValues" dxfId="12" priority="13"/>
  </conditionalFormatting>
  <conditionalFormatting sqref="A352:A454">
    <cfRule type="duplicateValues" dxfId="11" priority="73"/>
    <cfRule type="duplicateValues" dxfId="10" priority="74"/>
  </conditionalFormatting>
  <conditionalFormatting sqref="A352:A457">
    <cfRule type="duplicateValues" dxfId="9" priority="77"/>
  </conditionalFormatting>
  <conditionalFormatting sqref="A458">
    <cfRule type="duplicateValues" dxfId="8" priority="5"/>
    <cfRule type="duplicateValues" dxfId="7" priority="6"/>
    <cfRule type="duplicateValues" dxfId="6" priority="7"/>
  </conditionalFormatting>
  <conditionalFormatting sqref="A459:A469 E469 I469 M469 Q469">
    <cfRule type="duplicateValues" dxfId="5" priority="2"/>
    <cfRule type="duplicateValues" dxfId="4" priority="3"/>
    <cfRule type="duplicateValues" dxfId="3" priority="4"/>
  </conditionalFormatting>
  <conditionalFormatting sqref="A470:A1048576 A1:A306">
    <cfRule type="duplicateValues" dxfId="2" priority="21"/>
    <cfRule type="duplicateValues" dxfId="1" priority="22"/>
  </conditionalFormatting>
  <conditionalFormatting sqref="A470:A1048576 A1:A321">
    <cfRule type="duplicateValues" dxfId="0" priority="40"/>
  </conditionalFormatting>
  <pageMargins left="0.70866141732283472" right="0.70866141732283472" top="0.74803149606299213" bottom="0.74803149606299213" header="0" footer="0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1.5546875" customWidth="1"/>
    <col min="2" max="2" width="70.33203125" customWidth="1"/>
    <col min="3" max="3" width="75.5546875" customWidth="1"/>
    <col min="4" max="4" width="27.6640625" customWidth="1"/>
    <col min="5" max="6" width="11.5546875" customWidth="1"/>
    <col min="7" max="23" width="10.6640625" customWidth="1"/>
  </cols>
  <sheetData>
    <row r="1" spans="1:26" ht="14.2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hidden="1" customHeight="1" x14ac:dyDescent="0.3">
      <c r="A3" s="4"/>
      <c r="B3" s="5" t="s">
        <v>620</v>
      </c>
      <c r="C3" s="5" t="s">
        <v>621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8.8" x14ac:dyDescent="0.3">
      <c r="A4" s="4"/>
      <c r="B4" s="6" t="s">
        <v>622</v>
      </c>
      <c r="C4" s="6">
        <v>98558130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8" x14ac:dyDescent="0.3">
      <c r="A5" s="4"/>
      <c r="B5" s="6" t="s">
        <v>623</v>
      </c>
      <c r="C5" s="6" t="s">
        <v>139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8.8" x14ac:dyDescent="0.3">
      <c r="A6" s="4"/>
      <c r="B6" s="6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6.2" x14ac:dyDescent="0.3">
      <c r="A7" s="4"/>
      <c r="B7" s="6" t="s">
        <v>624</v>
      </c>
      <c r="C7" s="7" t="e">
        <f t="array" aca="1" ref="C7" ca="1">_xludf.XLOOKUP(1, (Hoja1!A:A=C4) * (Hoja1!D:D=C5), Hoja1!B:B &amp; " " &amp; Hoja1!C:C, "Usuario no encontrado")</f>
        <v>#NAME?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6.2" x14ac:dyDescent="0.3">
      <c r="A8" s="4"/>
      <c r="B8" s="8" t="s">
        <v>625</v>
      </c>
      <c r="C8" s="9" t="e">
        <f t="array" aca="1" ref="C8" ca="1">_xludf.XLOOKUP(1, (Hoja1!A:A=C4) * (Hoja1!D:D=C5), Hoja1!U:U, 0)</f>
        <v>#NAME?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Valor Cuenta de Cobro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Diduayan Gomez Vasco</dc:creator>
  <cp:lastModifiedBy>DIDUAYAN GOMEZ VASCO</cp:lastModifiedBy>
  <cp:lastPrinted>2026-07-17T20:22:02Z</cp:lastPrinted>
  <dcterms:created xsi:type="dcterms:W3CDTF">2026-03-19T23:27:34Z</dcterms:created>
  <dcterms:modified xsi:type="dcterms:W3CDTF">2026-07-18T12:27:18Z</dcterms:modified>
</cp:coreProperties>
</file>