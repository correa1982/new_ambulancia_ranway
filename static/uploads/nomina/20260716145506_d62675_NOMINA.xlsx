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ni Mejia\Desktop\"/>
    </mc:Choice>
  </mc:AlternateContent>
  <xr:revisionPtr revIDLastSave="0" documentId="13_ncr:1_{6A65C02B-AD3F-4A8E-8671-10BBE7659F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Valor Cuenta de Cobro" sheetId="2" r:id="rId2"/>
  </sheets>
  <definedNames>
    <definedName name="_xlnm._FilterDatabase" localSheetId="0" hidden="1">Hoja1!$A$2:$U$2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 a="1"/>
  <c r="C8" i="2" s="1"/>
  <c r="C7" i="2" a="1"/>
  <c r="C7" i="2" s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tc={accc4d5a-04d0-4e65-a304-b37e0c132f89}</author>
  </authors>
  <commentList>
    <comment ref="F6" authorId="0" shapeId="0" xr:uid="{ACCC4D5A-04D0-4E65-A304-B37E0C132F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solo dia de pentecostal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tc={621aa492-825b-447e-a9b3-54fc270a91e7}</author>
    <author>tc={6e8c073f-b4b5-41eb-8795-8dafa21a0122}</author>
  </authors>
  <commentList>
    <comment ref="C6" authorId="0" shapeId="0" xr:uid="{621AA492-825B-447E-A9B3-54FC270A91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AMA1121</t>
      </text>
    </comment>
    <comment ref="B35" authorId="1" shapeId="0" xr:uid="{6E8C073F-B4B5-41EB-8795-8DAFA21A01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1017239415</t>
      </text>
    </comment>
  </commentList>
</comments>
</file>

<file path=xl/sharedStrings.xml><?xml version="1.0" encoding="utf-8"?>
<sst xmlns="http://schemas.openxmlformats.org/spreadsheetml/2006/main" count="1381" uniqueCount="1116">
  <si>
    <t>BONIFICACION EVENTOS</t>
  </si>
  <si>
    <t xml:space="preserve">NÚMERO DE IDENTIFICACIÓN      </t>
  </si>
  <si>
    <t>NOMBRES</t>
  </si>
  <si>
    <t>APELLIDOS</t>
  </si>
  <si>
    <t>CODIGO</t>
  </si>
  <si>
    <t>ALEJANDRA</t>
  </si>
  <si>
    <t>GALLEGO HERNANDEZ</t>
  </si>
  <si>
    <t>J4K9L2</t>
  </si>
  <si>
    <t>SALAZAR MURILLO</t>
  </si>
  <si>
    <t>ABC123</t>
  </si>
  <si>
    <t>ALEJANDRO</t>
  </si>
  <si>
    <t>ZAPATA ZABALA</t>
  </si>
  <si>
    <t>3H1G8F</t>
  </si>
  <si>
    <t>ALVAREZ AGUDELO</t>
  </si>
  <si>
    <t>M6N0P3</t>
  </si>
  <si>
    <t>RAMIREZ ORTEGA</t>
  </si>
  <si>
    <t>A1R0O2</t>
  </si>
  <si>
    <t>ALEXANDER</t>
  </si>
  <si>
    <t>ROJAS VILLAMIZAR</t>
  </si>
  <si>
    <t>ROJAS292</t>
  </si>
  <si>
    <t>ALISON DAHIAN</t>
  </si>
  <si>
    <t>CORRALES LEZCANO</t>
  </si>
  <si>
    <t>7Q2R9S</t>
  </si>
  <si>
    <t>ANA FERNANDA</t>
  </si>
  <si>
    <t>GALVAN BARRIOS</t>
  </si>
  <si>
    <t>5X3Y0Z</t>
  </si>
  <si>
    <t>ANA MARIA</t>
  </si>
  <si>
    <t>PEREZ NOREÑA</t>
  </si>
  <si>
    <t>B9C4D1</t>
  </si>
  <si>
    <t>ARENAS CAÑAS</t>
  </si>
  <si>
    <t>AMA082</t>
  </si>
  <si>
    <t>PALOMINO RIOS</t>
  </si>
  <si>
    <t>J0K3L6</t>
  </si>
  <si>
    <t>SOTO ALVAREZ</t>
  </si>
  <si>
    <t>4M1N8P</t>
  </si>
  <si>
    <t>SUAREZ RESTREPO</t>
  </si>
  <si>
    <t>9T0U3V</t>
  </si>
  <si>
    <t>BARRIENTOS ARAQUE</t>
  </si>
  <si>
    <t>W6X1Y8</t>
  </si>
  <si>
    <t>TOLOZA MENA</t>
  </si>
  <si>
    <t>A2M7T1</t>
  </si>
  <si>
    <t>BARON ARANGO</t>
  </si>
  <si>
    <t>ABC345</t>
  </si>
  <si>
    <t>CHAVERRA DAVID</t>
  </si>
  <si>
    <t>ANA819</t>
  </si>
  <si>
    <t>ANA SOFIA</t>
  </si>
  <si>
    <t>BOTERO GOMEZ</t>
  </si>
  <si>
    <t>C9D0E3</t>
  </si>
  <si>
    <t>BEDOYA RESTREPO</t>
  </si>
  <si>
    <t>7F2G5H</t>
  </si>
  <si>
    <t>ANDREA</t>
  </si>
  <si>
    <t>FONSECA FLOREZ</t>
  </si>
  <si>
    <t>K8L1M4</t>
  </si>
  <si>
    <t>ORTIZ PEREZ</t>
  </si>
  <si>
    <t>AMA1121</t>
  </si>
  <si>
    <t>ANDRES</t>
  </si>
  <si>
    <t>GARCES GUZMAN</t>
  </si>
  <si>
    <t>ANDR76</t>
  </si>
  <si>
    <t>ANDRES ALFONSO</t>
  </si>
  <si>
    <t>DURAN CASTRILLON</t>
  </si>
  <si>
    <t>ANDRES CAMILO</t>
  </si>
  <si>
    <t>ALVAREZ CADAVID</t>
  </si>
  <si>
    <t>Q5R2S7</t>
  </si>
  <si>
    <t>ANDRES DAVID</t>
  </si>
  <si>
    <t>FRAGOZO MORAN</t>
  </si>
  <si>
    <t>3N6P9Q</t>
  </si>
  <si>
    <t>ANDRES FELIPE</t>
  </si>
  <si>
    <t>YANCES VIEIRA</t>
  </si>
  <si>
    <t>T1V8W4</t>
  </si>
  <si>
    <t>OSORIO BUSTAMANTE</t>
  </si>
  <si>
    <t>R0S5T2</t>
  </si>
  <si>
    <t>GAVIRIA BUSTAMANTE</t>
  </si>
  <si>
    <t>GAG001</t>
  </si>
  <si>
    <t>AYALA AREIZA</t>
  </si>
  <si>
    <t>8A3B6C</t>
  </si>
  <si>
    <t>FRANCO CIRO</t>
  </si>
  <si>
    <t>X7Y2Z5</t>
  </si>
  <si>
    <t>CADAVID SANGUINO</t>
  </si>
  <si>
    <t>YGE51H</t>
  </si>
  <si>
    <t>ANDRES FERNANDO</t>
  </si>
  <si>
    <t>GOMEZ DORADO</t>
  </si>
  <si>
    <t>R3S6T9</t>
  </si>
  <si>
    <t>ANDRES JUAN</t>
  </si>
  <si>
    <t>CANO OQUENDO</t>
  </si>
  <si>
    <t>ACO226</t>
  </si>
  <si>
    <t>ANDRES OCTAVIO</t>
  </si>
  <si>
    <t>MACIAS MENESES</t>
  </si>
  <si>
    <t>ANGELA MARIA</t>
  </si>
  <si>
    <t>OLARTE SEPULVEDA</t>
  </si>
  <si>
    <t>5N2P7Q</t>
  </si>
  <si>
    <t>OBANDO REYES</t>
  </si>
  <si>
    <t>K1L8M0</t>
  </si>
  <si>
    <t>ANGELICA</t>
  </si>
  <si>
    <t>LOPEZ TABORDA</t>
  </si>
  <si>
    <t>9G2H4J</t>
  </si>
  <si>
    <t>ANGELIN</t>
  </si>
  <si>
    <t>GAVIRIA VANEGAS</t>
  </si>
  <si>
    <t>EG17G5</t>
  </si>
  <si>
    <t>ANGIE LAURA</t>
  </si>
  <si>
    <t>AYALA ARANGO</t>
  </si>
  <si>
    <t>6A1B7C</t>
  </si>
  <si>
    <t>ANGIE PAOLA</t>
  </si>
  <si>
    <t>GASPAR GONZALEZ</t>
  </si>
  <si>
    <t>AC1020</t>
  </si>
  <si>
    <t>ARIEL ANTONIO</t>
  </si>
  <si>
    <t>ZORRO VACCA</t>
  </si>
  <si>
    <t>1G8H3J</t>
  </si>
  <si>
    <t>ARVEY</t>
  </si>
  <si>
    <t>AGUIRRE GUTIERREZ</t>
  </si>
  <si>
    <t>D7E0F5</t>
  </si>
  <si>
    <t>AURA CAMILA</t>
  </si>
  <si>
    <t>BASTIDAS NARVAEZ</t>
  </si>
  <si>
    <t>9A4B2C</t>
  </si>
  <si>
    <t>BETSY ALEJANDRA</t>
  </si>
  <si>
    <t>MONOGA CASTRO</t>
  </si>
  <si>
    <t>BAM091</t>
  </si>
  <si>
    <t>BEYMAR ANDRES</t>
  </si>
  <si>
    <t>DELGADO HERNANDEZ</t>
  </si>
  <si>
    <t>0U5V8W</t>
  </si>
  <si>
    <t>BRANDON CAMILO</t>
  </si>
  <si>
    <t>MESA BENITEZ</t>
  </si>
  <si>
    <t>R2S7T4</t>
  </si>
  <si>
    <t>CAMILA</t>
  </si>
  <si>
    <t>SERNA VALLEJO</t>
  </si>
  <si>
    <t>6N1P9Q</t>
  </si>
  <si>
    <t>CARLOS ANDRES</t>
  </si>
  <si>
    <t>PEREZ GOMEZ</t>
  </si>
  <si>
    <t>K5L3M8</t>
  </si>
  <si>
    <t>CARLOS MANUEL</t>
  </si>
  <si>
    <t>ALARCON RODELO</t>
  </si>
  <si>
    <t>CAR100</t>
  </si>
  <si>
    <t>CAROLINA</t>
  </si>
  <si>
    <t>LONDOÑO QUINTERO</t>
  </si>
  <si>
    <t>D1E9F4</t>
  </si>
  <si>
    <t>FLOREZ ALVAREZ</t>
  </si>
  <si>
    <t>5N9P2Q</t>
  </si>
  <si>
    <t>ARBOLEDA CARDONA</t>
  </si>
  <si>
    <t>K3L1M6</t>
  </si>
  <si>
    <t>OCAMPO GONZALEZ</t>
  </si>
  <si>
    <t>SAK075</t>
  </si>
  <si>
    <t>CATALINA</t>
  </si>
  <si>
    <t>ORREGO PALACIO</t>
  </si>
  <si>
    <t>0G4H7J</t>
  </si>
  <si>
    <t>CLARA INES</t>
  </si>
  <si>
    <t>CARDONA ALVAREZ</t>
  </si>
  <si>
    <t>D8E2F9</t>
  </si>
  <si>
    <t>CLAUDIA MARCELA</t>
  </si>
  <si>
    <t>BARRIGA MALDONADO</t>
  </si>
  <si>
    <t>CLAUDIA NATALIA</t>
  </si>
  <si>
    <t>CALDERON HERNANDEZ</t>
  </si>
  <si>
    <t>CNCH1029</t>
  </si>
  <si>
    <t>CLAUDIA XIMENA</t>
  </si>
  <si>
    <t>CASTAÑO BARRADA</t>
  </si>
  <si>
    <t>CL2954</t>
  </si>
  <si>
    <t>CRISTIAN</t>
  </si>
  <si>
    <t>VALLEJO OSSA</t>
  </si>
  <si>
    <t>4U9V2W</t>
  </si>
  <si>
    <t>CRISTIAN ALEXIS</t>
  </si>
  <si>
    <t>ROJAS LOAIZA</t>
  </si>
  <si>
    <t>R1S8T3</t>
  </si>
  <si>
    <t>CRISTIAN CAMILO</t>
  </si>
  <si>
    <t>GONZALEZ GONZALEZ</t>
  </si>
  <si>
    <t>7N0P5Q</t>
  </si>
  <si>
    <t>CRISTIAN MAURICIO</t>
  </si>
  <si>
    <t>PEREZ FERREIRA</t>
  </si>
  <si>
    <t>K9L4M2</t>
  </si>
  <si>
    <t>DAHIANA</t>
  </si>
  <si>
    <t>OSPINA CASTAÑO</t>
  </si>
  <si>
    <t>DAMARIS</t>
  </si>
  <si>
    <t>DYD316</t>
  </si>
  <si>
    <t>DANIA SOFIA</t>
  </si>
  <si>
    <t>LOPEZ RODRIGUEZ</t>
  </si>
  <si>
    <t>R0S3T6</t>
  </si>
  <si>
    <t>DANIEL</t>
  </si>
  <si>
    <t>HINCAPIE LOPEZ</t>
  </si>
  <si>
    <t>2N5P8Q</t>
  </si>
  <si>
    <t>MORENO ROMERO</t>
  </si>
  <si>
    <t>K4L7M1</t>
  </si>
  <si>
    <t>DANIELA</t>
  </si>
  <si>
    <t>RENDON ESCUDERO</t>
  </si>
  <si>
    <t>DRE927</t>
  </si>
  <si>
    <t>CASTRO ESCOBAR</t>
  </si>
  <si>
    <t>D3E6F0</t>
  </si>
  <si>
    <t>BERRIO BERRIO</t>
  </si>
  <si>
    <t>1A7B4C</t>
  </si>
  <si>
    <t>URREGO ZAPATA</t>
  </si>
  <si>
    <t>X9Y5Z2</t>
  </si>
  <si>
    <t>ARISTIZABAL FRANCO</t>
  </si>
  <si>
    <t>6U0V3W</t>
  </si>
  <si>
    <t>GOMEZ MARIN</t>
  </si>
  <si>
    <t>R8S4T1</t>
  </si>
  <si>
    <t>DANNA</t>
  </si>
  <si>
    <t>SERNA LOPERA</t>
  </si>
  <si>
    <t>3A8B0C</t>
  </si>
  <si>
    <t>DANNA VERONICA</t>
  </si>
  <si>
    <t>GIRALDO GONZALEZ</t>
  </si>
  <si>
    <t>7G1H4J</t>
  </si>
  <si>
    <t>DARLIN YOMARA</t>
  </si>
  <si>
    <t>MARTINEZ GIRALDO</t>
  </si>
  <si>
    <t>0U7V3W</t>
  </si>
  <si>
    <t>DARLIX XILENA</t>
  </si>
  <si>
    <t>JIMENEZ FLOREZ</t>
  </si>
  <si>
    <t>DXJ143</t>
  </si>
  <si>
    <t>DAVID</t>
  </si>
  <si>
    <t>DURANGO RUIZ</t>
  </si>
  <si>
    <t>X2Y7Z9</t>
  </si>
  <si>
    <t>DAVID ESTEBAN</t>
  </si>
  <si>
    <t>GRACIANO DAVID</t>
  </si>
  <si>
    <t>DEGD86</t>
  </si>
  <si>
    <t>DAVID MAURICIO</t>
  </si>
  <si>
    <t>VARGAS ALZATE</t>
  </si>
  <si>
    <t>DAV123</t>
  </si>
  <si>
    <t>DAVID SANTIAGO</t>
  </si>
  <si>
    <t>BRAN RESTREPO</t>
  </si>
  <si>
    <t>D8E1F4</t>
  </si>
  <si>
    <t>DAVISON ANDRES</t>
  </si>
  <si>
    <t>RESTREPO GUISAO</t>
  </si>
  <si>
    <t>X3Y8Z4</t>
  </si>
  <si>
    <t>DAYANA</t>
  </si>
  <si>
    <t>GODOY TABORDA</t>
  </si>
  <si>
    <t>DAYA204</t>
  </si>
  <si>
    <t>MUÑOZ HERNANDEZ</t>
  </si>
  <si>
    <t>K8L5M2</t>
  </si>
  <si>
    <t>DAYELI</t>
  </si>
  <si>
    <t>PATERNINA MARTINEZ</t>
  </si>
  <si>
    <t>DPM123</t>
  </si>
  <si>
    <t>DEISY</t>
  </si>
  <si>
    <t>CUADRADO HERNANEZ</t>
  </si>
  <si>
    <t>2U8V3W</t>
  </si>
  <si>
    <t>DEISY VANESSA</t>
  </si>
  <si>
    <t>GALLON MAZO</t>
  </si>
  <si>
    <t>D9E5F2</t>
  </si>
  <si>
    <t>DHANNA ZORAYA</t>
  </si>
  <si>
    <t>BORJA MARTINEZ</t>
  </si>
  <si>
    <t>9U5V2W</t>
  </si>
  <si>
    <t>DIANA MARIA</t>
  </si>
  <si>
    <t>TABORDA RESTREPO</t>
  </si>
  <si>
    <t>3N8P0Q</t>
  </si>
  <si>
    <t>HERNANDEZ CARDENAS</t>
  </si>
  <si>
    <t>5A2B9C</t>
  </si>
  <si>
    <t>DIANA MELISSA</t>
  </si>
  <si>
    <t>VELEZ CARMONA</t>
  </si>
  <si>
    <t>DMVC21</t>
  </si>
  <si>
    <t>DIANA MILENA</t>
  </si>
  <si>
    <t>ZEA VELAZQUEZ</t>
  </si>
  <si>
    <t>Dianazea20.</t>
  </si>
  <si>
    <t>DIANA SOFIA</t>
  </si>
  <si>
    <t>URIBE CHAVARRIA</t>
  </si>
  <si>
    <t>5U0V7W</t>
  </si>
  <si>
    <t>DIDUAYAN</t>
  </si>
  <si>
    <t>GOMEZ VASCO</t>
  </si>
  <si>
    <t>DGV0616</t>
  </si>
  <si>
    <t>DIEGO ALEJANDRO</t>
  </si>
  <si>
    <t>ESTRADA CASTAÑEDA</t>
  </si>
  <si>
    <t>9N4P1Q</t>
  </si>
  <si>
    <t>GUIRALES TANGARIFE</t>
  </si>
  <si>
    <t>DUBARIEL DE JESUS</t>
  </si>
  <si>
    <t>SANCHEZ PARRA</t>
  </si>
  <si>
    <t>6G0H3J</t>
  </si>
  <si>
    <t>DUVAN ALFONSO</t>
  </si>
  <si>
    <t>ANGULO GONZALEZ</t>
  </si>
  <si>
    <t>9G5H2J</t>
  </si>
  <si>
    <t>EDWAR MAURICIO</t>
  </si>
  <si>
    <t>BORJA USUGA</t>
  </si>
  <si>
    <t>R2S6T9</t>
  </si>
  <si>
    <t>ELIANA</t>
  </si>
  <si>
    <t>ZAPATA TORRES</t>
  </si>
  <si>
    <t>4N1P6Q</t>
  </si>
  <si>
    <t>ELKIN DARIO</t>
  </si>
  <si>
    <t>CORREA HENAO</t>
  </si>
  <si>
    <t>K3L0M7</t>
  </si>
  <si>
    <t>EMANUEL</t>
  </si>
  <si>
    <t>GIRALDO MEJIA</t>
  </si>
  <si>
    <t>R8S3T0</t>
  </si>
  <si>
    <t>ENOS CALEB</t>
  </si>
  <si>
    <t>HOYOS DUMET</t>
  </si>
  <si>
    <t>1G6H3J</t>
  </si>
  <si>
    <t>ERIKA ANDREA</t>
  </si>
  <si>
    <t>FLOREZ MARIN</t>
  </si>
  <si>
    <t>EAFM22</t>
  </si>
  <si>
    <t>ERIKA DANIELA</t>
  </si>
  <si>
    <t>MUÑOZ MARTINEZ</t>
  </si>
  <si>
    <t>120EDM</t>
  </si>
  <si>
    <t>ESTEFANIA</t>
  </si>
  <si>
    <t>AMAYA GIRON</t>
  </si>
  <si>
    <t>5U1V4W</t>
  </si>
  <si>
    <t>ESTEFANY DAYANA</t>
  </si>
  <si>
    <t>LIEVANO GARCIA</t>
  </si>
  <si>
    <t>EF2002</t>
  </si>
  <si>
    <t>ESTEFANY LUCIA</t>
  </si>
  <si>
    <t>TOUS PRETELT</t>
  </si>
  <si>
    <t>2A6B9C</t>
  </si>
  <si>
    <t>EVELIN</t>
  </si>
  <si>
    <t>GIL RUIZ</t>
  </si>
  <si>
    <t>LIN772</t>
  </si>
  <si>
    <t>FERNANDO</t>
  </si>
  <si>
    <t>BOTERO MARTINEZ</t>
  </si>
  <si>
    <t>K0L5M3</t>
  </si>
  <si>
    <t>FERNEY ANDRES</t>
  </si>
  <si>
    <t>CARTAGENA SUCERQUIA</t>
  </si>
  <si>
    <t>FRANCK NIKOLAS</t>
  </si>
  <si>
    <t>RODRIGUEZ OLIVEROS</t>
  </si>
  <si>
    <t>X0Y7Z3</t>
  </si>
  <si>
    <t>FREDY HERNANDO</t>
  </si>
  <si>
    <t>ORTEGON BERMUDEZ</t>
  </si>
  <si>
    <t>X8Y4Z1</t>
  </si>
  <si>
    <t>GERMAN ALONSO</t>
  </si>
  <si>
    <t>GUAMAN MORALES</t>
  </si>
  <si>
    <t>D6E1F9</t>
  </si>
  <si>
    <t>GILBERTO ANTONIO</t>
  </si>
  <si>
    <t>ARCHIBOL RIVERA</t>
  </si>
  <si>
    <t>AA2703</t>
  </si>
  <si>
    <t>GIOVANNI ALBERTO</t>
  </si>
  <si>
    <t>CALLE PULGARIN</t>
  </si>
  <si>
    <t>K9L2M5</t>
  </si>
  <si>
    <t>GISEL</t>
  </si>
  <si>
    <t>ORTIZ CHILITO</t>
  </si>
  <si>
    <t>GEO123</t>
  </si>
  <si>
    <t>GUSTAVO</t>
  </si>
  <si>
    <t>CAMARGO ZOLANO</t>
  </si>
  <si>
    <t>GUS252</t>
  </si>
  <si>
    <t>HAROLD</t>
  </si>
  <si>
    <t>ESCALANTE RAMIREZ</t>
  </si>
  <si>
    <t>K7L4M1</t>
  </si>
  <si>
    <t>HEIDY PAOLA</t>
  </si>
  <si>
    <t>FIGUEROA CORONELL</t>
  </si>
  <si>
    <t>R5S9T2</t>
  </si>
  <si>
    <t>HEIDY VALERIA</t>
  </si>
  <si>
    <t>GARCES VALENCIA</t>
  </si>
  <si>
    <t>VAL321</t>
  </si>
  <si>
    <t>HEIDYS</t>
  </si>
  <si>
    <t>NARVAEZ FLOREZ</t>
  </si>
  <si>
    <t>4G7H2J</t>
  </si>
  <si>
    <t>HEIZLER ANDREA</t>
  </si>
  <si>
    <t>GARCIA ALVAREZ</t>
  </si>
  <si>
    <t>Haga1152</t>
  </si>
  <si>
    <t>HERNANDO</t>
  </si>
  <si>
    <t>MONTOYA GARCIA</t>
  </si>
  <si>
    <t>D5E0F3</t>
  </si>
  <si>
    <t>HEYNER DUVAN</t>
  </si>
  <si>
    <t>LONDOÑO GARZON</t>
  </si>
  <si>
    <t>8A2B7C</t>
  </si>
  <si>
    <t>ILSSY ESTEFANIA</t>
  </si>
  <si>
    <t>GUERRA VALENCIA</t>
  </si>
  <si>
    <t>ISAAC</t>
  </si>
  <si>
    <t>RAMIREZ AVILA</t>
  </si>
  <si>
    <t>1A6B3C</t>
  </si>
  <si>
    <t>ISABEL CRISTINA</t>
  </si>
  <si>
    <t>POSSO BALDOVINO</t>
  </si>
  <si>
    <t>8A0B4C</t>
  </si>
  <si>
    <t>ARTEAGA RAMIREZ</t>
  </si>
  <si>
    <t>1G7H3J</t>
  </si>
  <si>
    <t>ISABELA</t>
  </si>
  <si>
    <t>PELAEZ BEDOYA</t>
  </si>
  <si>
    <t>IPB013</t>
  </si>
  <si>
    <t>MOSQUERA TORRES</t>
  </si>
  <si>
    <t>1U6V3W</t>
  </si>
  <si>
    <t>CASTRILLON ACEVEDO</t>
  </si>
  <si>
    <t>ISAA97</t>
  </si>
  <si>
    <t>ISABELLA</t>
  </si>
  <si>
    <t>VARGAS CASTAÑEDA</t>
  </si>
  <si>
    <t>X4Y1Z6</t>
  </si>
  <si>
    <t>ISMAEL</t>
  </si>
  <si>
    <t>MONTOYA DURANGO</t>
  </si>
  <si>
    <t>R5S2T8</t>
  </si>
  <si>
    <t>IVAN DANILO</t>
  </si>
  <si>
    <t>ALPALA ALPALA</t>
  </si>
  <si>
    <t>8A5B2C</t>
  </si>
  <si>
    <t>IVAN DARIO</t>
  </si>
  <si>
    <t>VIEIRA PALACIO</t>
  </si>
  <si>
    <t>3N7P0Q</t>
  </si>
  <si>
    <t>IVONNE AYDEE</t>
  </si>
  <si>
    <t>DAVID RUIZ</t>
  </si>
  <si>
    <t>7N4P0Q</t>
  </si>
  <si>
    <t>JAIRO DE JESUS</t>
  </si>
  <si>
    <t>VARGAS RUEDA</t>
  </si>
  <si>
    <t>7A3B9C</t>
  </si>
  <si>
    <t>JAISSON ORLANDO</t>
  </si>
  <si>
    <t>VARGAS CARO</t>
  </si>
  <si>
    <t>X6Y0Z7</t>
  </si>
  <si>
    <t>JANETH MILENA</t>
  </si>
  <si>
    <t>MORENO ZARRAZOLA</t>
  </si>
  <si>
    <t>ABC2602</t>
  </si>
  <si>
    <t>JEFERSON</t>
  </si>
  <si>
    <t>GUTIERREZ GUTIERREZ</t>
  </si>
  <si>
    <t>JENNIFER VANNESA</t>
  </si>
  <si>
    <t>MARULANDA ALDANA</t>
  </si>
  <si>
    <t>JENNY PAOLA</t>
  </si>
  <si>
    <t>DURANGO JARAMILLO</t>
  </si>
  <si>
    <t>JERONIMO</t>
  </si>
  <si>
    <t>GIRALDO HINCAPIE</t>
  </si>
  <si>
    <t>JGH110</t>
  </si>
  <si>
    <t>JESSICA MARIA</t>
  </si>
  <si>
    <t>GARCIA VELEZ</t>
  </si>
  <si>
    <t>JESSY JULIETH</t>
  </si>
  <si>
    <t>VILLAREAL PONCE</t>
  </si>
  <si>
    <t>JESUS MANUEL</t>
  </si>
  <si>
    <t>CUADRADO FUENTES</t>
  </si>
  <si>
    <t>JEYKSON</t>
  </si>
  <si>
    <t>BETANCUR MARIN</t>
  </si>
  <si>
    <t>JHON ALEXANDER</t>
  </si>
  <si>
    <t>TUBERQUIA HENAO</t>
  </si>
  <si>
    <t>0U5V2W</t>
  </si>
  <si>
    <t>LEON LOPEZ</t>
  </si>
  <si>
    <t>Cielo33$$</t>
  </si>
  <si>
    <t>JHON ANDREY</t>
  </si>
  <si>
    <t>ACEVEDO SEPULVEDA</t>
  </si>
  <si>
    <t>JHON FREDY</t>
  </si>
  <si>
    <t>GUZMAN DAVID</t>
  </si>
  <si>
    <t>D8E0F4</t>
  </si>
  <si>
    <t>JHON JAIRO</t>
  </si>
  <si>
    <t>LONDOÑO ROJO</t>
  </si>
  <si>
    <t>K7L5M1</t>
  </si>
  <si>
    <t>JHON SEBASTIAN</t>
  </si>
  <si>
    <t>PRIETO SABOGAL</t>
  </si>
  <si>
    <t>8A2B6C</t>
  </si>
  <si>
    <t>JOHAN ANDRES</t>
  </si>
  <si>
    <t>PEÑA ORJUELA</t>
  </si>
  <si>
    <t>R9S2T5</t>
  </si>
  <si>
    <t>JOHAN DAVID</t>
  </si>
  <si>
    <t>MARTINEZ CORTEZ</t>
  </si>
  <si>
    <t>JDM127</t>
  </si>
  <si>
    <t>JOHAN ESNEIDER</t>
  </si>
  <si>
    <t>VALBUENA VIVAS</t>
  </si>
  <si>
    <t>8G2H5J</t>
  </si>
  <si>
    <t>JOHAN SANTIAGO</t>
  </si>
  <si>
    <t>DELGADO MUÑOZ</t>
  </si>
  <si>
    <t>JOHN AIBER</t>
  </si>
  <si>
    <t>LOPEZ PEREZ</t>
  </si>
  <si>
    <t>5N9P1Q</t>
  </si>
  <si>
    <t>JOHN ALEJANDRO</t>
  </si>
  <si>
    <t>GOMEZ GIRALDO</t>
  </si>
  <si>
    <t>6U0V7W</t>
  </si>
  <si>
    <t>JOHN EDISON</t>
  </si>
  <si>
    <t>ESPINAL CORREA</t>
  </si>
  <si>
    <t>EC2685</t>
  </si>
  <si>
    <t>JOHN JAIRO</t>
  </si>
  <si>
    <t>PEREZ MARIN</t>
  </si>
  <si>
    <t>4U1V3W</t>
  </si>
  <si>
    <t>JONATAN</t>
  </si>
  <si>
    <t>GIRALDO PULGARIN</t>
  </si>
  <si>
    <t>JGP914</t>
  </si>
  <si>
    <t>JORGE</t>
  </si>
  <si>
    <t>GALINDO BARRAGAN</t>
  </si>
  <si>
    <t>3G7H0J</t>
  </si>
  <si>
    <t>JORGE ABAD</t>
  </si>
  <si>
    <t>MARIN MARIN</t>
  </si>
  <si>
    <t>X7Y0Z5</t>
  </si>
  <si>
    <t>JOSE ANIBAL</t>
  </si>
  <si>
    <t>VILLADA MORALES</t>
  </si>
  <si>
    <t>X2Y9Z5</t>
  </si>
  <si>
    <t>JOSE DAVID</t>
  </si>
  <si>
    <t>PALACIOS GARCIA</t>
  </si>
  <si>
    <t>1A4B8C</t>
  </si>
  <si>
    <t>JOSE MIGUEL</t>
  </si>
  <si>
    <t>FERNANDEZ LANDAETA</t>
  </si>
  <si>
    <t>JM1490</t>
  </si>
  <si>
    <t>JOSE NOLBERTO</t>
  </si>
  <si>
    <t>GRAJALES CORREA</t>
  </si>
  <si>
    <t>0U2V5W</t>
  </si>
  <si>
    <t>JOSE REINEL</t>
  </si>
  <si>
    <t>PEÑA PALOMARES</t>
  </si>
  <si>
    <t>5N0P8Q</t>
  </si>
  <si>
    <t>JOSEFITH SMITH</t>
  </si>
  <si>
    <t>URIBE RENTERIA</t>
  </si>
  <si>
    <t>JSU186</t>
  </si>
  <si>
    <t>JUAN ALEJANDRO</t>
  </si>
  <si>
    <t>AP0550</t>
  </si>
  <si>
    <t>JUAN CAMILO</t>
  </si>
  <si>
    <t>ZEA GONZALEZ</t>
  </si>
  <si>
    <t>JUAN CARLOS</t>
  </si>
  <si>
    <t>CARO GIL</t>
  </si>
  <si>
    <t>K7L9M0</t>
  </si>
  <si>
    <t>ALZATE CASTAÑEDA</t>
  </si>
  <si>
    <t>R8S5T3</t>
  </si>
  <si>
    <t>JUAN DANIEL</t>
  </si>
  <si>
    <t>VIDES CASTAÑO</t>
  </si>
  <si>
    <t>K6L9M3</t>
  </si>
  <si>
    <t>JUAN DAVID</t>
  </si>
  <si>
    <t>DEANTONIO VASCO</t>
  </si>
  <si>
    <t>DANT07</t>
  </si>
  <si>
    <t>JUAN DIEGO</t>
  </si>
  <si>
    <t>SEPULVEDA RIOS</t>
  </si>
  <si>
    <t>R9S3T6</t>
  </si>
  <si>
    <t>ESTRADA GUTIERREZ</t>
  </si>
  <si>
    <t>7N4P1Q</t>
  </si>
  <si>
    <t>JUAN ESTEBAN</t>
  </si>
  <si>
    <t>RESTREPO GUZMAN</t>
  </si>
  <si>
    <t>X6Y2Z5</t>
  </si>
  <si>
    <t>GALLEGO BETANCUR</t>
  </si>
  <si>
    <t>0G4H1J</t>
  </si>
  <si>
    <t>JUAN FELIPE</t>
  </si>
  <si>
    <t>MUÑOZ ARGUELLES</t>
  </si>
  <si>
    <t>D2E8F5</t>
  </si>
  <si>
    <t>JUAN JOSE</t>
  </si>
  <si>
    <t>TUIRAN OSSA</t>
  </si>
  <si>
    <t>K2L8M5</t>
  </si>
  <si>
    <t>NARANJO CALDERON</t>
  </si>
  <si>
    <t>JUN902</t>
  </si>
  <si>
    <t>VALENCIA GAVIRIA</t>
  </si>
  <si>
    <t>5N8P2Q</t>
  </si>
  <si>
    <t>TAMAYO MESA</t>
  </si>
  <si>
    <t>3G6H0J</t>
  </si>
  <si>
    <t>HIGUITA USUGA</t>
  </si>
  <si>
    <t>D4E9F1</t>
  </si>
  <si>
    <t>BUITRAGO SUESCUN</t>
  </si>
  <si>
    <t>4N0P6Q</t>
  </si>
  <si>
    <t>JUAN MANUEL</t>
  </si>
  <si>
    <t>GARZON OCAMPO</t>
  </si>
  <si>
    <t>MSN109</t>
  </si>
  <si>
    <t>HERNANDEZ SANCHEZ</t>
  </si>
  <si>
    <t>J1NM4P</t>
  </si>
  <si>
    <t>JUAN PABLO</t>
  </si>
  <si>
    <t>MARTINEZ CARDONA</t>
  </si>
  <si>
    <t>R7S0T3</t>
  </si>
  <si>
    <t>OCAMPO QUIROZ</t>
  </si>
  <si>
    <t>4U1V9W</t>
  </si>
  <si>
    <t>GOMEZ ARANGO</t>
  </si>
  <si>
    <t>K4L1M6</t>
  </si>
  <si>
    <t>OCAMPO MEJÍA</t>
  </si>
  <si>
    <t>0U4V7W</t>
  </si>
  <si>
    <t>SUAZA RAMIREZ</t>
  </si>
  <si>
    <t>R5S2T9</t>
  </si>
  <si>
    <t>CEBALLOS CARDENAS</t>
  </si>
  <si>
    <t>D6E2F8</t>
  </si>
  <si>
    <t>GOMEZ BEDOYA</t>
  </si>
  <si>
    <t>5A9B1C</t>
  </si>
  <si>
    <t>MUÑOZ GOMEZ</t>
  </si>
  <si>
    <t>EG1105</t>
  </si>
  <si>
    <t>JUAN SEBASTIAN</t>
  </si>
  <si>
    <t>MOSQUERA CORDOBA</t>
  </si>
  <si>
    <t>2U6V9W</t>
  </si>
  <si>
    <t>JULIAN ALEJANDRO</t>
  </si>
  <si>
    <t>QUIÑONES RUIZ</t>
  </si>
  <si>
    <t>JAQR99</t>
  </si>
  <si>
    <t>JULIANA</t>
  </si>
  <si>
    <t>LOPEZ ZAPATA</t>
  </si>
  <si>
    <t>9U3V7W</t>
  </si>
  <si>
    <t>GOMEZ ZULUAGA</t>
  </si>
  <si>
    <t>JULI123</t>
  </si>
  <si>
    <t>CARDONA OVALLE</t>
  </si>
  <si>
    <t>K1L6M0</t>
  </si>
  <si>
    <t>ARCILA BUSTAMANTE</t>
  </si>
  <si>
    <t>D7E1F6</t>
  </si>
  <si>
    <t>ACEVEDO MUÑOZ</t>
  </si>
  <si>
    <t>LUCI1033</t>
  </si>
  <si>
    <t>MACHADO CAÑAS</t>
  </si>
  <si>
    <t>2N5P9Q</t>
  </si>
  <si>
    <t>MAYA PEREZ</t>
  </si>
  <si>
    <t>JULI720</t>
  </si>
  <si>
    <t>CADAVID OSSA</t>
  </si>
  <si>
    <t>JCO90</t>
  </si>
  <si>
    <t>JULIETTE ALEJANDRA</t>
  </si>
  <si>
    <t>FERNANDEZ LOPERA</t>
  </si>
  <si>
    <t>JULIO CESAR</t>
  </si>
  <si>
    <t>MISAS USUGA</t>
  </si>
  <si>
    <t>R2S8T5</t>
  </si>
  <si>
    <t>KAREN</t>
  </si>
  <si>
    <t>ESTRADA PULGARIN</t>
  </si>
  <si>
    <t>K2A3R2</t>
  </si>
  <si>
    <t>MOLINA BOLIVAR</t>
  </si>
  <si>
    <t>KAREN DAHIANA</t>
  </si>
  <si>
    <t>CANO GONZALEZ</t>
  </si>
  <si>
    <t>K176CG</t>
  </si>
  <si>
    <t>KAREN JULIETH</t>
  </si>
  <si>
    <t>ZABALA GUZMAN</t>
  </si>
  <si>
    <t>D3E7F0</t>
  </si>
  <si>
    <t>KAREN NATALIA</t>
  </si>
  <si>
    <t>RODRIGUEZ IMBUS</t>
  </si>
  <si>
    <t>KN2705</t>
  </si>
  <si>
    <t>KAREN TATIANA</t>
  </si>
  <si>
    <t>ARBOLEDA AGUDELO</t>
  </si>
  <si>
    <t>R4S1T6</t>
  </si>
  <si>
    <t>KAREN YAZMIN</t>
  </si>
  <si>
    <t>AGUDELO BUILES</t>
  </si>
  <si>
    <t>6A2B5C</t>
  </si>
  <si>
    <t>KAROL ALEXANDRA</t>
  </si>
  <si>
    <t>X0Y4Z2</t>
  </si>
  <si>
    <t>KATERINE</t>
  </si>
  <si>
    <t>MUÑOZ CORREA</t>
  </si>
  <si>
    <t>2G5H9J</t>
  </si>
  <si>
    <t>KELLY</t>
  </si>
  <si>
    <t>HENAO GAVIRIA</t>
  </si>
  <si>
    <t>AGK119</t>
  </si>
  <si>
    <t>KELLY JOHANA</t>
  </si>
  <si>
    <t>MUÑOZ SANCHEZ</t>
  </si>
  <si>
    <t>D4E0F7</t>
  </si>
  <si>
    <t>KELLYN JOHANA</t>
  </si>
  <si>
    <t>GIRALDO RESTREPO</t>
  </si>
  <si>
    <t>KELY JOHANA</t>
  </si>
  <si>
    <t>MARIN DUQUE</t>
  </si>
  <si>
    <t>R3S7T0</t>
  </si>
  <si>
    <t>KEVIN ALBERTO</t>
  </si>
  <si>
    <t>GUIRALES ARENAS</t>
  </si>
  <si>
    <t>KEVIN ALEXANDER</t>
  </si>
  <si>
    <t>BEDOYA CATAÑO</t>
  </si>
  <si>
    <t>KEVIN HARBEY</t>
  </si>
  <si>
    <t>PINO CARDONA</t>
  </si>
  <si>
    <t>X8Y4Z7</t>
  </si>
  <si>
    <t>KEVIN LEANDRO</t>
  </si>
  <si>
    <t>CAICEDO IJAJID</t>
  </si>
  <si>
    <t>KEV123</t>
  </si>
  <si>
    <t>KEVIN YESID</t>
  </si>
  <si>
    <t>VELILLA TRUJILLO</t>
  </si>
  <si>
    <t>KIARA SAMANTHA</t>
  </si>
  <si>
    <t>RENDON SANCHEZ</t>
  </si>
  <si>
    <t>LAURA</t>
  </si>
  <si>
    <t>GIRALDO ZAPATA</t>
  </si>
  <si>
    <t>5N1P7Q</t>
  </si>
  <si>
    <t>RIVERA GOMEZ</t>
  </si>
  <si>
    <t>X1Y5Z0</t>
  </si>
  <si>
    <t>DIAZ FRANCO</t>
  </si>
  <si>
    <t>LDF204</t>
  </si>
  <si>
    <t>RESTREPO PALACIO</t>
  </si>
  <si>
    <t>9N2P8Q</t>
  </si>
  <si>
    <t>GIL GALEANO</t>
  </si>
  <si>
    <t>LAURA ANDREA</t>
  </si>
  <si>
    <t>LLANO CANO</t>
  </si>
  <si>
    <t>R8S1T5</t>
  </si>
  <si>
    <t>LAURA CAMILA</t>
  </si>
  <si>
    <t>CABRERA LEZCANO</t>
  </si>
  <si>
    <t>N012R1</t>
  </si>
  <si>
    <t>LAURA CATALINA</t>
  </si>
  <si>
    <t>SALDAÑA VELEZ</t>
  </si>
  <si>
    <t>R4S0T8</t>
  </si>
  <si>
    <t>LAURA CRISTINA</t>
  </si>
  <si>
    <t>TRILLOS REMOLINA</t>
  </si>
  <si>
    <t>LT2201</t>
  </si>
  <si>
    <t>LAURA MARIA</t>
  </si>
  <si>
    <t>PANTOJA MEJIA</t>
  </si>
  <si>
    <t>D7E3F1</t>
  </si>
  <si>
    <t>LAURA MELISSA</t>
  </si>
  <si>
    <t>VASQUEZ TOBON</t>
  </si>
  <si>
    <t>LMVT08</t>
  </si>
  <si>
    <t>LAURA TATIANA</t>
  </si>
  <si>
    <t>TABARES RAMIREZ</t>
  </si>
  <si>
    <t>LTR423</t>
  </si>
  <si>
    <t>LAURA VALENTINA</t>
  </si>
  <si>
    <t>OSORIO VILLAMIZAR</t>
  </si>
  <si>
    <t>6U2V5W</t>
  </si>
  <si>
    <t>AMAYA BUBU</t>
  </si>
  <si>
    <t>LAURA VICTORIA</t>
  </si>
  <si>
    <t>MUÑOZ GONZALEZ</t>
  </si>
  <si>
    <t>AAR209</t>
  </si>
  <si>
    <t>LEIDER MISAEL</t>
  </si>
  <si>
    <t>GUALDRON HERNANDEZ</t>
  </si>
  <si>
    <t>X3Y9Z1</t>
  </si>
  <si>
    <t>LEIDY CAROLINA</t>
  </si>
  <si>
    <t>MONSALVE JARAMILLO</t>
  </si>
  <si>
    <t>THO824</t>
  </si>
  <si>
    <t>LEIDY JOHANA</t>
  </si>
  <si>
    <t>MORENO GUERRA</t>
  </si>
  <si>
    <t>1A9B4C</t>
  </si>
  <si>
    <t>LEIDY MELISA</t>
  </si>
  <si>
    <t>RENDON MARIN</t>
  </si>
  <si>
    <t>K6L1M9</t>
  </si>
  <si>
    <t>LEIDY TATIANA</t>
  </si>
  <si>
    <t>SALDARRIAGA ZAPATA</t>
  </si>
  <si>
    <t>LEIDY YOHANA</t>
  </si>
  <si>
    <t>LYO120</t>
  </si>
  <si>
    <t>LEIDY YULIETH</t>
  </si>
  <si>
    <t>SIERRA BEDOYA</t>
  </si>
  <si>
    <t>7N3P8Q</t>
  </si>
  <si>
    <t>LEISY YOHANA</t>
  </si>
  <si>
    <t>MURILLO ARTEAGA</t>
  </si>
  <si>
    <t>K5L9M2</t>
  </si>
  <si>
    <t>LEYDY TATIANA</t>
  </si>
  <si>
    <t>SALDARRIAGA QUINTERO</t>
  </si>
  <si>
    <t>MATI14</t>
  </si>
  <si>
    <t>LICETH CAROLINA</t>
  </si>
  <si>
    <t>MATIZ VALENCIA</t>
  </si>
  <si>
    <t>4G0H3J</t>
  </si>
  <si>
    <t>LICETH LORENA</t>
  </si>
  <si>
    <t>LANDAZURI BONILLA</t>
  </si>
  <si>
    <t>LLB512</t>
  </si>
  <si>
    <t>LICETH XIMENA</t>
  </si>
  <si>
    <t>TIRADO VELAZQUEZ</t>
  </si>
  <si>
    <t>LILIANA</t>
  </si>
  <si>
    <t>RESTREPO GUARIN</t>
  </si>
  <si>
    <t>9G1H6J</t>
  </si>
  <si>
    <t>LILIANA LINETH</t>
  </si>
  <si>
    <t>RODRIGUEZ MARTINEZ</t>
  </si>
  <si>
    <t>LINA LICETH</t>
  </si>
  <si>
    <t>VERA VERGARA</t>
  </si>
  <si>
    <t>LM0716</t>
  </si>
  <si>
    <t>LINA LUCIA</t>
  </si>
  <si>
    <t>BARRETO HERNANDEZ</t>
  </si>
  <si>
    <t>0U4V1W</t>
  </si>
  <si>
    <t>LINA MARCELA</t>
  </si>
  <si>
    <t>RESTREPO MONTAÑO</t>
  </si>
  <si>
    <t>3G1H4J</t>
  </si>
  <si>
    <t>LOPEZ GONZALEZ</t>
  </si>
  <si>
    <t>X1Y4Z0</t>
  </si>
  <si>
    <t>LINDA VANESSA</t>
  </si>
  <si>
    <t>PEREZ ESTRADA</t>
  </si>
  <si>
    <t>6A8B0C</t>
  </si>
  <si>
    <t>LISSETH ANDREA</t>
  </si>
  <si>
    <t>HOLGUIN BARRIENTOS</t>
  </si>
  <si>
    <t>LIZ MARISOL</t>
  </si>
  <si>
    <t>LOPEZ MENA</t>
  </si>
  <si>
    <t>7A0B2C</t>
  </si>
  <si>
    <t>LORENA</t>
  </si>
  <si>
    <t>VARGAS VALENCIA</t>
  </si>
  <si>
    <t>D5E8F3</t>
  </si>
  <si>
    <t>LUIS DAN SIRILO</t>
  </si>
  <si>
    <t>GONZALEZ SANDOVAL</t>
  </si>
  <si>
    <t>OU7V3W</t>
  </si>
  <si>
    <t>LUIS DANIEL</t>
  </si>
  <si>
    <t>SERNA SUESCUN</t>
  </si>
  <si>
    <t>K9L5M2</t>
  </si>
  <si>
    <t>LUIS DAVID</t>
  </si>
  <si>
    <t>PEREZ ROJAS</t>
  </si>
  <si>
    <t>LUIS EDUARDO</t>
  </si>
  <si>
    <t>RUEDA MURILLO</t>
  </si>
  <si>
    <t>4U0V6W</t>
  </si>
  <si>
    <t>LUIS ESTEBAN</t>
  </si>
  <si>
    <t>LPI50G</t>
  </si>
  <si>
    <t>LUIS FERNANDO</t>
  </si>
  <si>
    <t>MORALES FLOREZ</t>
  </si>
  <si>
    <t>R8S3T1</t>
  </si>
  <si>
    <t>LUISA</t>
  </si>
  <si>
    <t>BARRENECHE CASTAÑEDA</t>
  </si>
  <si>
    <t>LMB0810</t>
  </si>
  <si>
    <t>LUISA FERNANDA</t>
  </si>
  <si>
    <t>MARIN VASQUEZ</t>
  </si>
  <si>
    <t>TORO ALVAREZ</t>
  </si>
  <si>
    <t>6N0P4Q</t>
  </si>
  <si>
    <t>ALVAREZ BRAN</t>
  </si>
  <si>
    <t>2G9H3J</t>
  </si>
  <si>
    <t>PEREZ GALLEGO</t>
  </si>
  <si>
    <t>KP3110</t>
  </si>
  <si>
    <t>RIVERA PAZ</t>
  </si>
  <si>
    <t>D0E6F2</t>
  </si>
  <si>
    <t>LUISA MARIA</t>
  </si>
  <si>
    <t>ACEVEDO MONTOYA</t>
  </si>
  <si>
    <t>5A1B7C</t>
  </si>
  <si>
    <t>HOYOS LONDOÑO</t>
  </si>
  <si>
    <t>X9Y6Z2</t>
  </si>
  <si>
    <t>LUNA ISABELA</t>
  </si>
  <si>
    <t>PÁRAMO TÉLLEZ</t>
  </si>
  <si>
    <t>X9Y1Z4</t>
  </si>
  <si>
    <t>MAICOL ENRRIQUE</t>
  </si>
  <si>
    <t>PALOMA TORRES</t>
  </si>
  <si>
    <t>MANUELA</t>
  </si>
  <si>
    <t>QUINTERO GONZALEZ</t>
  </si>
  <si>
    <t>R7S3T6</t>
  </si>
  <si>
    <t>CARRASQUILLA TORRES</t>
  </si>
  <si>
    <t>MCT149</t>
  </si>
  <si>
    <t>VANEGAS CASTRO</t>
  </si>
  <si>
    <t>K4L2M8</t>
  </si>
  <si>
    <t>RAVE PULGARIN</t>
  </si>
  <si>
    <t>R4V3MP</t>
  </si>
  <si>
    <t>X1Y9Z4</t>
  </si>
  <si>
    <t>MARGARITA MARIA</t>
  </si>
  <si>
    <t>PALACIO BERRIO</t>
  </si>
  <si>
    <t>D7E9F3</t>
  </si>
  <si>
    <t>MARI LUZ</t>
  </si>
  <si>
    <t>MORALES JIMENEZ</t>
  </si>
  <si>
    <t>X8Y4Z0</t>
  </si>
  <si>
    <t>MARIA ALEJANDRA</t>
  </si>
  <si>
    <t>RINCON LOPEZ</t>
  </si>
  <si>
    <t>GAB222</t>
  </si>
  <si>
    <t>ZAPATA VANEGAS</t>
  </si>
  <si>
    <t>VEGA POSADA</t>
  </si>
  <si>
    <t>MARIA CAMILA</t>
  </si>
  <si>
    <t>MOLINA MUÑETON</t>
  </si>
  <si>
    <t>K5L2M8</t>
  </si>
  <si>
    <t>CASTAÑO FLOREZ</t>
  </si>
  <si>
    <t>DC1128</t>
  </si>
  <si>
    <t>ORTEGA PARRA</t>
  </si>
  <si>
    <t>CANO OBREGON</t>
  </si>
  <si>
    <t>RUA ARBOLEDA</t>
  </si>
  <si>
    <t>SANCHEZ SANCHEZ</t>
  </si>
  <si>
    <t>TORO MUÑOZ</t>
  </si>
  <si>
    <t>MARIA DE LOS ANGELES</t>
  </si>
  <si>
    <t>M3N0C8</t>
  </si>
  <si>
    <t>MARIA EUGENIA</t>
  </si>
  <si>
    <t>OLIVEROS</t>
  </si>
  <si>
    <t>MARIA FERNANDA</t>
  </si>
  <si>
    <t>MONTAÑEZ GIRALDO</t>
  </si>
  <si>
    <t>MFM113</t>
  </si>
  <si>
    <t>VARGAS PENAGOS</t>
  </si>
  <si>
    <t>MAFE19</t>
  </si>
  <si>
    <t>MARIA ISABEL</t>
  </si>
  <si>
    <t>PEREZ PATIÑO</t>
  </si>
  <si>
    <t>M1I2P3</t>
  </si>
  <si>
    <t>GALLO TOBON</t>
  </si>
  <si>
    <t>MARIA JOSE</t>
  </si>
  <si>
    <t>RUA BARRERA</t>
  </si>
  <si>
    <t>2N9P5Q</t>
  </si>
  <si>
    <t>MARIA LIZETH</t>
  </si>
  <si>
    <t>AGUIRRE GOMEZ</t>
  </si>
  <si>
    <t>MARIA LUISA</t>
  </si>
  <si>
    <t>AGUDELO MELENDEZ</t>
  </si>
  <si>
    <t>MARIA PAULA</t>
  </si>
  <si>
    <t>MORA LUNA</t>
  </si>
  <si>
    <t>MARIA PAULINA</t>
  </si>
  <si>
    <t>CARDONA VALENCIA</t>
  </si>
  <si>
    <t>M1P2C4</t>
  </si>
  <si>
    <t>MARIA SALOME</t>
  </si>
  <si>
    <t>VALENCIA LUNA</t>
  </si>
  <si>
    <t>MARIA VALENTINA</t>
  </si>
  <si>
    <t>RUIZ VILLA</t>
  </si>
  <si>
    <t>MARIAN ALEJANDRA</t>
  </si>
  <si>
    <t>SALINAS CATAÑO</t>
  </si>
  <si>
    <t>MARIANA</t>
  </si>
  <si>
    <t>PATIÑO BEDOYA</t>
  </si>
  <si>
    <t>K3L8M1</t>
  </si>
  <si>
    <t>ACEVEDO NARANJO</t>
  </si>
  <si>
    <t>8N1P4Q</t>
  </si>
  <si>
    <t>GARCÍA LONDOÑO</t>
  </si>
  <si>
    <t>BSS225</t>
  </si>
  <si>
    <t>MORENO GALEANO</t>
  </si>
  <si>
    <t>1G6H0J</t>
  </si>
  <si>
    <t>MAYA CASTAÑO</t>
  </si>
  <si>
    <t>ALVAREZ OBANDO</t>
  </si>
  <si>
    <t>K1L7M4</t>
  </si>
  <si>
    <t>DUQUE QUIROZ</t>
  </si>
  <si>
    <t>2G9H5J</t>
  </si>
  <si>
    <t>MARIBEL</t>
  </si>
  <si>
    <t>ELORZA RODRIGUEZ</t>
  </si>
  <si>
    <t>ARDILA MARTINEZ</t>
  </si>
  <si>
    <t>MARIO ANDRES</t>
  </si>
  <si>
    <t>GRISALES CORREA</t>
  </si>
  <si>
    <t>MARIO ENRRIQUE</t>
  </si>
  <si>
    <t>SAYAS HERAZO</t>
  </si>
  <si>
    <t>R6S1T4</t>
  </si>
  <si>
    <t>MARISOL</t>
  </si>
  <si>
    <t>JIMENEZ ARIAS</t>
  </si>
  <si>
    <t>6A0B3C</t>
  </si>
  <si>
    <t>MARSHALL</t>
  </si>
  <si>
    <t>MOLINA RAMÍREZ</t>
  </si>
  <si>
    <t>D0E7F4</t>
  </si>
  <si>
    <t>MARYORI ALEJANDRA</t>
  </si>
  <si>
    <t>FRANCO RIOS</t>
  </si>
  <si>
    <t>MARYURI</t>
  </si>
  <si>
    <t>VARELAS DAVID</t>
  </si>
  <si>
    <t>MATEO</t>
  </si>
  <si>
    <t>ALZATE ZORA</t>
  </si>
  <si>
    <t>JARAMILLO DUQUE</t>
  </si>
  <si>
    <t>MJ1502</t>
  </si>
  <si>
    <t>HEREDIA VASQUEZ</t>
  </si>
  <si>
    <t>mateo9905</t>
  </si>
  <si>
    <t>ZAPATA RESTREPO</t>
  </si>
  <si>
    <t>MATEO1037@</t>
  </si>
  <si>
    <t>MAURICIO</t>
  </si>
  <si>
    <t>ROMAN VALENCIA</t>
  </si>
  <si>
    <t>MAYELBE</t>
  </si>
  <si>
    <t>GOMEZ PIAMONTE</t>
  </si>
  <si>
    <t>R7S0T5</t>
  </si>
  <si>
    <t>MELANY</t>
  </si>
  <si>
    <t>LOPERA CORREA</t>
  </si>
  <si>
    <t>BLANDON PUERTA</t>
  </si>
  <si>
    <t>MELINA</t>
  </si>
  <si>
    <t>CUARTAS BOTERO</t>
  </si>
  <si>
    <t>MLBJ19</t>
  </si>
  <si>
    <t>MELISA</t>
  </si>
  <si>
    <t>PARRA VALENCIA</t>
  </si>
  <si>
    <t>JARAMILLO MONTOYA</t>
  </si>
  <si>
    <t>MELISSA</t>
  </si>
  <si>
    <t>HIDALGO AVENDAÑO</t>
  </si>
  <si>
    <t>MELISSA ALEXANDRA</t>
  </si>
  <si>
    <t>VERGARA SEPULVEDA</t>
  </si>
  <si>
    <t>MELI18</t>
  </si>
  <si>
    <t>MIA VALERIA</t>
  </si>
  <si>
    <t>RODRIGUEZ GARZON</t>
  </si>
  <si>
    <t>MR8726</t>
  </si>
  <si>
    <t>MIGUEL ANGEL</t>
  </si>
  <si>
    <t>CAMPILLO ATEHORTUA</t>
  </si>
  <si>
    <t>OSPINA GUISAO</t>
  </si>
  <si>
    <t>9G3H5J</t>
  </si>
  <si>
    <t>NAILA BRITNEY</t>
  </si>
  <si>
    <t>MESA AGUDELO</t>
  </si>
  <si>
    <t>NANCY CRISTINA</t>
  </si>
  <si>
    <t>MONSALVE</t>
  </si>
  <si>
    <t>CMJ436</t>
  </si>
  <si>
    <t>NARLY PAOLA</t>
  </si>
  <si>
    <t>NARVAEZ CHALA</t>
  </si>
  <si>
    <t>8G2H9J</t>
  </si>
  <si>
    <t>NATALIA ANDREA</t>
  </si>
  <si>
    <t>GAVIRIA ACOSTA</t>
  </si>
  <si>
    <t>8N2P6Q</t>
  </si>
  <si>
    <t>NATALIA CAROLINA</t>
  </si>
  <si>
    <t>MEJIA</t>
  </si>
  <si>
    <t>NATALY</t>
  </si>
  <si>
    <t>MONTOYA GOMEZ</t>
  </si>
  <si>
    <t>NATALY ANDREA</t>
  </si>
  <si>
    <t>ECHEVERRY OSORIO</t>
  </si>
  <si>
    <t>NAE310</t>
  </si>
  <si>
    <t>NATHALY</t>
  </si>
  <si>
    <t>VANEGAS LÓPEZ</t>
  </si>
  <si>
    <t>NEDIS MARIA</t>
  </si>
  <si>
    <t>SANCHEZ PEREZ</t>
  </si>
  <si>
    <t>NHYKOLL</t>
  </si>
  <si>
    <t>ATEHORTUA CATAÑO</t>
  </si>
  <si>
    <t>NICOLAS</t>
  </si>
  <si>
    <t>RESTREPO OSORIO</t>
  </si>
  <si>
    <t>NRO166</t>
  </si>
  <si>
    <t>PEREZ VARGAS</t>
  </si>
  <si>
    <t>CONTRERAS DIAZ</t>
  </si>
  <si>
    <t>NICOLE</t>
  </si>
  <si>
    <t>VILLA GONZALEZ</t>
  </si>
  <si>
    <t>NICOLLE</t>
  </si>
  <si>
    <t>ORTIZ TORO</t>
  </si>
  <si>
    <t>NIC823</t>
  </si>
  <si>
    <t>NORELA</t>
  </si>
  <si>
    <t>MONSALVE BRAN</t>
  </si>
  <si>
    <t>NoreM1520</t>
  </si>
  <si>
    <t>OLMER ANTONIO</t>
  </si>
  <si>
    <t>TANGARIFE HIGUITA</t>
  </si>
  <si>
    <t>OMAR ALEXANDER</t>
  </si>
  <si>
    <t>ORIANA MARIA</t>
  </si>
  <si>
    <t>DAVID MARULANDA</t>
  </si>
  <si>
    <t>ODM1208</t>
  </si>
  <si>
    <t>OSCAR EMILIO</t>
  </si>
  <si>
    <t>CASTAÑO GOMEZ</t>
  </si>
  <si>
    <t>TPX541</t>
  </si>
  <si>
    <t>OSWALDO</t>
  </si>
  <si>
    <t>ARIZA ALVAREZ</t>
  </si>
  <si>
    <t>PAOLA</t>
  </si>
  <si>
    <t>CARTAGENA VARGAS</t>
  </si>
  <si>
    <t>V4RK75</t>
  </si>
  <si>
    <t>REYVEN</t>
  </si>
  <si>
    <t>AVILA BARRAGAN</t>
  </si>
  <si>
    <t>RICARDO ELIAS</t>
  </si>
  <si>
    <t>HERRERA GARCIA</t>
  </si>
  <si>
    <t>ROBERT ESMITH</t>
  </si>
  <si>
    <t>OSORIO MOLINA</t>
  </si>
  <si>
    <t>ROBERT SAMIR</t>
  </si>
  <si>
    <t>USUGA FLOREZ</t>
  </si>
  <si>
    <t>D4E8F0</t>
  </si>
  <si>
    <t>ROBINSON</t>
  </si>
  <si>
    <t>SANCHEZ LONDOÑO</t>
  </si>
  <si>
    <t>4A1B8C</t>
  </si>
  <si>
    <t>SAHRA NATHALY</t>
  </si>
  <si>
    <t>CASTAÑO LONDOÑO</t>
  </si>
  <si>
    <t>SALOME</t>
  </si>
  <si>
    <t>NANCLARES ORTIZ</t>
  </si>
  <si>
    <t>K7M2Q9</t>
  </si>
  <si>
    <t>GAVIRIA ZAPATA</t>
  </si>
  <si>
    <t>ACB123</t>
  </si>
  <si>
    <t>SAMMY LAURETH</t>
  </si>
  <si>
    <t>MOJOMBOY QUINTERO</t>
  </si>
  <si>
    <t>SAMUEL</t>
  </si>
  <si>
    <t>DIAZ CAMARGO</t>
  </si>
  <si>
    <t>SANDRA EUGENIA</t>
  </si>
  <si>
    <t>VIEIRA MONTOYA</t>
  </si>
  <si>
    <t>SANDRA MILENA</t>
  </si>
  <si>
    <t>FERNANDEZ CORTES</t>
  </si>
  <si>
    <t>SMFC26</t>
  </si>
  <si>
    <t>SANTIAGO</t>
  </si>
  <si>
    <t>LINARES HERNANDEZ</t>
  </si>
  <si>
    <t>RUIZ AVENDAÑO</t>
  </si>
  <si>
    <t>SRA004</t>
  </si>
  <si>
    <t>SARA</t>
  </si>
  <si>
    <t>HERNADEZ GRISALES</t>
  </si>
  <si>
    <t>CASTRO CARDONA</t>
  </si>
  <si>
    <t>9U1V4W</t>
  </si>
  <si>
    <t>CARVALAL GUTIERREZ</t>
  </si>
  <si>
    <t>DAVILA MUÑOZ</t>
  </si>
  <si>
    <t>MONSALVE CASTILLO</t>
  </si>
  <si>
    <t>SARA ALEJANDRA</t>
  </si>
  <si>
    <t>BETANCUR ACEVEDO</t>
  </si>
  <si>
    <t>SARA DANIELA</t>
  </si>
  <si>
    <t>PEREZ CHAPARRO</t>
  </si>
  <si>
    <t>SPC118</t>
  </si>
  <si>
    <t>SARA GABRIELA</t>
  </si>
  <si>
    <t>QUIÑONES CUEVAS</t>
  </si>
  <si>
    <t>SGQ237</t>
  </si>
  <si>
    <t>SARA LICETH</t>
  </si>
  <si>
    <t>DIN GULFO</t>
  </si>
  <si>
    <t>13AB03</t>
  </si>
  <si>
    <t>SARA PAOLA</t>
  </si>
  <si>
    <t>GIRALDO VALENCIA</t>
  </si>
  <si>
    <t>SPGV08</t>
  </si>
  <si>
    <t>SARA VALENTINA</t>
  </si>
  <si>
    <t>RUA MENDEZ</t>
  </si>
  <si>
    <t>SEBASTIAN</t>
  </si>
  <si>
    <t>PADILLA RESTREPO</t>
  </si>
  <si>
    <t>SPR160</t>
  </si>
  <si>
    <t>GUISAO IDARRAGA</t>
  </si>
  <si>
    <t>S0M2I7</t>
  </si>
  <si>
    <t>SUAREZ GUZMAN</t>
  </si>
  <si>
    <t>PUERTA URREGO</t>
  </si>
  <si>
    <t>NO VOLVIO</t>
  </si>
  <si>
    <t>SERGIO ANDRES</t>
  </si>
  <si>
    <t>RUIZ CUERVO</t>
  </si>
  <si>
    <t>Ser995</t>
  </si>
  <si>
    <t>SHARON JULIANA</t>
  </si>
  <si>
    <t>GUERRA RAMIREZ</t>
  </si>
  <si>
    <t>Samu26</t>
  </si>
  <si>
    <t>SHEYNER LORENA</t>
  </si>
  <si>
    <t>GUZMAN SANCHEZ</t>
  </si>
  <si>
    <t>ESY679</t>
  </si>
  <si>
    <t>SHIRLEY</t>
  </si>
  <si>
    <t>VIANA VALBUENA</t>
  </si>
  <si>
    <t>SINDY VANESSA</t>
  </si>
  <si>
    <t>TOBON RIVERA</t>
  </si>
  <si>
    <t>SONIA ANDREA</t>
  </si>
  <si>
    <t>GARCIA GUARIN</t>
  </si>
  <si>
    <t>SONIA INES</t>
  </si>
  <si>
    <t>LOPEZ MORALES</t>
  </si>
  <si>
    <t>SORANY MARIA</t>
  </si>
  <si>
    <t>CARDENAS GOMEZ</t>
  </si>
  <si>
    <t>Sora1978</t>
  </si>
  <si>
    <t>STIVEN</t>
  </si>
  <si>
    <t>CHICA SIERRA</t>
  </si>
  <si>
    <t>SCS220</t>
  </si>
  <si>
    <t>RAMOS CORTES</t>
  </si>
  <si>
    <t>STIVEN ALEXANDER</t>
  </si>
  <si>
    <t>ORREGO ZAPATA</t>
  </si>
  <si>
    <t>TATIANA</t>
  </si>
  <si>
    <t>JIMENEZ MUNERA</t>
  </si>
  <si>
    <t>BORJA LOPERA</t>
  </si>
  <si>
    <t>TOMAS</t>
  </si>
  <si>
    <t>RAMIREZ ARCILA</t>
  </si>
  <si>
    <t>T2R2A1</t>
  </si>
  <si>
    <t>VALENTINA</t>
  </si>
  <si>
    <t>BENITEZ BOTERO</t>
  </si>
  <si>
    <t>URIBE SILVA</t>
  </si>
  <si>
    <t>VAL24U</t>
  </si>
  <si>
    <t>MESA CADAVID</t>
  </si>
  <si>
    <t>ZULETA CHAVARRIA</t>
  </si>
  <si>
    <t>CANO CHAVARRIAGA</t>
  </si>
  <si>
    <t>VALERIA</t>
  </si>
  <si>
    <t>MEJIA BARRIWENTOS</t>
  </si>
  <si>
    <t>VZZ027</t>
  </si>
  <si>
    <t>CORREA AGUILAR</t>
  </si>
  <si>
    <t>VCA726</t>
  </si>
  <si>
    <t>FRANCO SANCHEZ</t>
  </si>
  <si>
    <t>ALVAREZ SANTAMARIA</t>
  </si>
  <si>
    <t>VAL123</t>
  </si>
  <si>
    <t>URIBE CUELLO</t>
  </si>
  <si>
    <t>VAL202</t>
  </si>
  <si>
    <t>VALERY</t>
  </si>
  <si>
    <t>CORTES SOSA</t>
  </si>
  <si>
    <t>VCS276</t>
  </si>
  <si>
    <t>VALERY JOHANA</t>
  </si>
  <si>
    <t>POSADA TORO</t>
  </si>
  <si>
    <t>VANESSA</t>
  </si>
  <si>
    <t>RAMIREZ SEPULVEDA</t>
  </si>
  <si>
    <t>VANESSA ALEJANDRA</t>
  </si>
  <si>
    <t>FRANCO PATIÑO</t>
  </si>
  <si>
    <t>Vf691313.</t>
  </si>
  <si>
    <t>VANESSA ALEXANDRA</t>
  </si>
  <si>
    <t>MISAS HOLGUIN</t>
  </si>
  <si>
    <t>V1A2N3</t>
  </si>
  <si>
    <t>VERONICA</t>
  </si>
  <si>
    <t>GUTIERREZ VASCO</t>
  </si>
  <si>
    <t>VERONICA ANDREA</t>
  </si>
  <si>
    <t>AGUDELO ROMERO</t>
  </si>
  <si>
    <t>WENDY ESTEFANY</t>
  </si>
  <si>
    <t>RUIZ CORREA</t>
  </si>
  <si>
    <t>WE1245</t>
  </si>
  <si>
    <t>WILLIAM ALEJANDRO</t>
  </si>
  <si>
    <t>TORRES HENAO</t>
  </si>
  <si>
    <t>WILSON ANDRES</t>
  </si>
  <si>
    <t>HIGUITA CARDONA</t>
  </si>
  <si>
    <t>XIMENA</t>
  </si>
  <si>
    <t>LOPEZ CEBALLOS</t>
  </si>
  <si>
    <t>MUÑOZ CARRASQUILLA</t>
  </si>
  <si>
    <t>XMC198</t>
  </si>
  <si>
    <t>IBARRA CORREA</t>
  </si>
  <si>
    <t>XIC16K</t>
  </si>
  <si>
    <t>XIMENA ESTEFANIA</t>
  </si>
  <si>
    <t>MISAS MONTOYA</t>
  </si>
  <si>
    <t>XIOMARA</t>
  </si>
  <si>
    <t>RESTREPO AGUDELO</t>
  </si>
  <si>
    <t>XRAX09</t>
  </si>
  <si>
    <t>YADERLY</t>
  </si>
  <si>
    <t>LONDOÑO AMAYA</t>
  </si>
  <si>
    <t>YAIRETH LORENA</t>
  </si>
  <si>
    <t>RAMOS TOBIAS</t>
  </si>
  <si>
    <t>YARILSA ALEXANDRA</t>
  </si>
  <si>
    <t>CRUZ TOLOZA</t>
  </si>
  <si>
    <t>9G2H7J</t>
  </si>
  <si>
    <t>YASMIN</t>
  </si>
  <si>
    <t>RANGEL RODRIGUEZ</t>
  </si>
  <si>
    <t>YRR0526</t>
  </si>
  <si>
    <t>YEFERSON</t>
  </si>
  <si>
    <t>SANTOS PEREZ</t>
  </si>
  <si>
    <t>YENIFER YULIETH</t>
  </si>
  <si>
    <t>ZAPATA ESCOBAR</t>
  </si>
  <si>
    <t>YENNY</t>
  </si>
  <si>
    <t>RODRIGUEZ PUPO</t>
  </si>
  <si>
    <t>YERLYN</t>
  </si>
  <si>
    <t>VELEZ DUQUE</t>
  </si>
  <si>
    <t>S1R2P3</t>
  </si>
  <si>
    <t>YESICA PAOLA</t>
  </si>
  <si>
    <t>TORRES DUQUE</t>
  </si>
  <si>
    <t>A2r9T10</t>
  </si>
  <si>
    <t>YESICA VIVIANA</t>
  </si>
  <si>
    <t>PEÑA GUTIERREZ</t>
  </si>
  <si>
    <t>2N4P1Q</t>
  </si>
  <si>
    <t>YOVANNI</t>
  </si>
  <si>
    <t>GONZALEZ CARVAJAL</t>
  </si>
  <si>
    <t>YULIANA</t>
  </si>
  <si>
    <t>MONTOYA PEREZ</t>
  </si>
  <si>
    <t>MONTERROSA LUNA</t>
  </si>
  <si>
    <t>RAMIREZ RODRIGUEZ</t>
  </si>
  <si>
    <t>YUNEIDY</t>
  </si>
  <si>
    <t>ANGULO ASCENCIO</t>
  </si>
  <si>
    <t>ZAYDA JOHANA</t>
  </si>
  <si>
    <t>RODRIGUEZ DE LUQUE</t>
  </si>
  <si>
    <t>VASCO SALAZAR</t>
  </si>
  <si>
    <t>AGUIRRE SERNA</t>
  </si>
  <si>
    <t>PINEDA ARENAS</t>
  </si>
  <si>
    <t>06CA09</t>
  </si>
  <si>
    <t>OSORNO CARDONA</t>
  </si>
  <si>
    <t>Columna1</t>
  </si>
  <si>
    <t>Columna2</t>
  </si>
  <si>
    <t>Número de Identificación:</t>
  </si>
  <si>
    <t>Código Unico:</t>
  </si>
  <si>
    <t>NOMBRE COMPLETO</t>
  </si>
  <si>
    <t>VALOR TOTAL PARA CUENTA DE COBRO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</si>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</sst>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\ #,##0"/>
    <numFmt numFmtId="165" formatCode="mmmmyyyy"/>
    <numFmt numFmtId="166" formatCode="&quot;$&quot;\ #,##0.00"/>
  </numFmts>
  <fonts count="19">
    <font>
      <sz val="11"/>
      <color theme="1"/>
      <name val="Calibri"/>
      <scheme val="minor"/>
    </font>
    <font>
      <b/>
      <sz val="16"/>
      <color rgb="FFFF0000"/>
      <name val="Calibri"/>
    </font>
    <font>
      <sz val="11"/>
      <name val="Calibri"/>
    </font>
    <font>
      <b/>
      <sz val="12"/>
      <color rgb="FFFF0000"/>
      <name val="Arial"/>
    </font>
    <font>
      <sz val="10"/>
      <color theme="1"/>
      <name val="Arial"/>
    </font>
    <font>
      <b/>
      <sz val="10"/>
      <color theme="1"/>
      <name val="Arial"/>
    </font>
    <font>
      <sz val="12"/>
      <color rgb="FF000000"/>
      <name val="Arial"/>
    </font>
    <font>
      <sz val="12"/>
      <color theme="1"/>
      <name val="Arial"/>
    </font>
    <font>
      <sz val="14"/>
      <color rgb="FF000000"/>
      <name val="Arial"/>
    </font>
    <font>
      <sz val="11"/>
      <color rgb="FF000000"/>
      <name val="Arial"/>
    </font>
    <font>
      <sz val="11"/>
      <color theme="1"/>
      <name val="Calibri"/>
    </font>
    <font>
      <sz val="14"/>
      <color rgb="FF000000"/>
      <name val="Calibri"/>
    </font>
    <font>
      <sz val="11"/>
      <color rgb="FF000000"/>
      <name val="Calibri"/>
    </font>
    <font>
      <sz val="11"/>
      <color rgb="FFFFFFFF"/>
      <name val="Calibri"/>
    </font>
    <font>
      <sz val="22"/>
      <color theme="1"/>
      <name val="Calibri"/>
    </font>
    <font>
      <sz val="14"/>
      <color rgb="FFD9EAD3"/>
      <name val="&quot;Century&quot;"/>
    </font>
    <font>
      <sz val="36"/>
      <color theme="1"/>
      <name val="Calibri"/>
    </font>
    <font>
      <sz val="22"/>
      <color rgb="FFFFFFFF"/>
      <name val="Calibri"/>
    </font>
    <font>
      <sz val="36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3" fontId="6" fillId="3" borderId="2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165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left"/>
    </xf>
    <xf numFmtId="1" fontId="6" fillId="0" borderId="2" xfId="0" applyNumberFormat="1" applyFont="1" applyBorder="1" applyAlignment="1">
      <alignment horizontal="left"/>
    </xf>
    <xf numFmtId="4" fontId="6" fillId="3" borderId="2" xfId="0" applyNumberFormat="1" applyFont="1" applyFill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4" fontId="9" fillId="0" borderId="2" xfId="0" applyNumberFormat="1" applyFont="1" applyBorder="1" applyAlignment="1">
      <alignment horizontal="center"/>
    </xf>
    <xf numFmtId="166" fontId="10" fillId="0" borderId="2" xfId="0" applyNumberFormat="1" applyFont="1" applyBorder="1"/>
    <xf numFmtId="1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10" fillId="0" borderId="0" xfId="0" applyFont="1"/>
    <xf numFmtId="4" fontId="10" fillId="0" borderId="0" xfId="0" applyNumberFormat="1" applyFont="1"/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4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4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Valor Cuenta de Cobro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ana acevedo" id="{0380B7E6-E981-4407-B3A5-CCC3703F10CD}" userId="" providerId="google-sheets"/>
  <person displayName="Andrea Ortiz Perez" id="{2AAEB6D4-D615-4C69-882A-E06B83881C9E}" userId="" providerId="google-sheets"/>
  <person displayName="Diduayan Gomez Vasco" id="{A5A1EA10-7D3F-4644-8B51-2482B465C432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C8" totalsRowCount="1">
  <tableColumns count="2">
    <tableColumn id="1" xr3:uid="{00000000-0010-0000-0000-000001000000}" name="Columna1" totalsRowLabel="VALOR TOTAL PARA CUENTA DE COBRO"/>
    <tableColumn id="2" xr3:uid="{00000000-0010-0000-0000-000002000000}" name="Columna2" totalsRowFunction="custom">
      <totalsRowFormula array="1">_xludf.XLOOKUP(1, (Hoja1!A:A=C4) * (Hoja1!D:D=C5), Hoja1!U:U, 0)</totalsRowFormula>
    </tableColumn>
  </tableColumns>
  <tableStyleInfo name="Valor Cuenta de Cobr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4-02T18:49:47.00" personId="{A5A1EA10-7D3F-4644-8B51-2482B465C432}" id="{ACCC4D5A-04D0-4E65-A304-B37E0C132F89}" done="1">
    <text>1 solo dia de pentecostal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" dT="2026-05-19T19:41:07.00" personId="{2AAEB6D4-D615-4C69-882A-E06B83881C9E}" id="{621AA492-825B-447E-A9B3-54FC270A91E7}" done="1">
    <text>AMA1121</text>
  </threadedComment>
  <threadedComment ref="B35" dT="2026-05-19T19:53:19.00" personId="{0380B7E6-E981-4407-B3A5-CCC3703F10CD}" id="{6E8C073F-B4B5-41EB-8795-8DAFA21A0122}" done="1">
    <text>1017239415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topLeftCell="B1" workbookViewId="0">
      <selection activeCell="U2" sqref="U2"/>
    </sheetView>
  </sheetViews>
  <sheetFormatPr baseColWidth="10" defaultColWidth="14.42578125" defaultRowHeight="15" customHeight="1"/>
  <cols>
    <col min="1" max="1" width="20" customWidth="1"/>
    <col min="2" max="2" width="28.85546875" customWidth="1"/>
    <col min="3" max="3" width="29" customWidth="1"/>
    <col min="4" max="4" width="12.85546875" customWidth="1"/>
    <col min="5" max="20" width="9.42578125" customWidth="1"/>
    <col min="21" max="21" width="29.42578125" customWidth="1"/>
    <col min="22" max="38" width="15.5703125" customWidth="1"/>
  </cols>
  <sheetData>
    <row r="1" spans="1:38" ht="21">
      <c r="A1" s="38" t="s">
        <v>0</v>
      </c>
      <c r="B1" s="39"/>
      <c r="C1" s="39"/>
      <c r="D1" s="3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25.5">
      <c r="A2" s="4" t="s">
        <v>1</v>
      </c>
      <c r="B2" s="5" t="s">
        <v>2</v>
      </c>
      <c r="C2" s="5" t="s">
        <v>3</v>
      </c>
      <c r="D2" s="5" t="s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 t="s">
        <v>1115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.75">
      <c r="A3" s="8">
        <v>1017256315</v>
      </c>
      <c r="B3" s="8" t="s">
        <v>5</v>
      </c>
      <c r="C3" s="8" t="s">
        <v>6</v>
      </c>
      <c r="D3" s="9" t="s">
        <v>7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>
        <f t="shared" ref="U3:U257" si="0">SUM(E3:T3)</f>
        <v>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.75">
      <c r="A4" s="12">
        <v>1036962850</v>
      </c>
      <c r="B4" s="12" t="s">
        <v>5</v>
      </c>
      <c r="C4" s="12" t="s">
        <v>8</v>
      </c>
      <c r="D4" s="13" t="s">
        <v>9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4"/>
      <c r="U4" s="11">
        <f t="shared" si="0"/>
        <v>0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.75">
      <c r="A5" s="8">
        <v>1000644768</v>
      </c>
      <c r="B5" s="8" t="s">
        <v>10</v>
      </c>
      <c r="C5" s="8" t="s">
        <v>11</v>
      </c>
      <c r="D5" s="9" t="s">
        <v>12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1">
        <f t="shared" si="0"/>
        <v>0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15.75">
      <c r="A6" s="8">
        <v>1152465130</v>
      </c>
      <c r="B6" s="8" t="s">
        <v>10</v>
      </c>
      <c r="C6" s="8" t="s">
        <v>13</v>
      </c>
      <c r="D6" s="9" t="s">
        <v>14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1">
        <f t="shared" si="0"/>
        <v>0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5.75">
      <c r="A7" s="12">
        <v>1020113157</v>
      </c>
      <c r="B7" s="12" t="s">
        <v>10</v>
      </c>
      <c r="C7" s="12" t="s">
        <v>15</v>
      </c>
      <c r="D7" s="9" t="s">
        <v>16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4"/>
      <c r="U7" s="11">
        <f t="shared" si="0"/>
        <v>0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.75">
      <c r="A8" s="12">
        <v>88230810</v>
      </c>
      <c r="B8" s="12" t="s">
        <v>17</v>
      </c>
      <c r="C8" s="12" t="s">
        <v>18</v>
      </c>
      <c r="D8" s="13" t="s">
        <v>19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4"/>
      <c r="U8" s="11">
        <f t="shared" si="0"/>
        <v>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5.75">
      <c r="A9" s="8">
        <v>1152219045</v>
      </c>
      <c r="B9" s="8" t="s">
        <v>20</v>
      </c>
      <c r="C9" s="8" t="s">
        <v>21</v>
      </c>
      <c r="D9" s="9" t="s">
        <v>22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>
        <f t="shared" si="0"/>
        <v>0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5.75">
      <c r="A10" s="8">
        <v>1001021489</v>
      </c>
      <c r="B10" s="8" t="s">
        <v>23</v>
      </c>
      <c r="C10" s="8" t="s">
        <v>24</v>
      </c>
      <c r="D10" s="9" t="s">
        <v>25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>
        <f t="shared" si="0"/>
        <v>0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5.75">
      <c r="A11" s="8">
        <v>1000444716</v>
      </c>
      <c r="B11" s="8" t="s">
        <v>26</v>
      </c>
      <c r="C11" s="8" t="s">
        <v>27</v>
      </c>
      <c r="D11" s="9" t="s">
        <v>28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1">
        <f t="shared" si="0"/>
        <v>0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15.75">
      <c r="A12" s="8">
        <v>1000756090</v>
      </c>
      <c r="B12" s="8" t="s">
        <v>26</v>
      </c>
      <c r="C12" s="8" t="s">
        <v>29</v>
      </c>
      <c r="D12" s="9" t="s">
        <v>30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1">
        <f t="shared" si="0"/>
        <v>0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5.75">
      <c r="A13" s="8">
        <v>1007240502</v>
      </c>
      <c r="B13" s="8" t="s">
        <v>26</v>
      </c>
      <c r="C13" s="8" t="s">
        <v>31</v>
      </c>
      <c r="D13" s="9" t="s">
        <v>32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1">
        <f t="shared" si="0"/>
        <v>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ht="15.75">
      <c r="A14" s="8">
        <v>1007242178</v>
      </c>
      <c r="B14" s="8" t="s">
        <v>26</v>
      </c>
      <c r="C14" s="8" t="s">
        <v>33</v>
      </c>
      <c r="D14" s="9" t="s">
        <v>34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1">
        <f t="shared" si="0"/>
        <v>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ht="15.75">
      <c r="A15" s="12">
        <v>1007341620</v>
      </c>
      <c r="B15" s="8" t="s">
        <v>26</v>
      </c>
      <c r="C15" s="8" t="s">
        <v>35</v>
      </c>
      <c r="D15" s="9" t="s">
        <v>36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1">
        <f t="shared" si="0"/>
        <v>0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15.75">
      <c r="A16" s="8">
        <v>1013456309</v>
      </c>
      <c r="B16" s="8" t="s">
        <v>26</v>
      </c>
      <c r="C16" s="8" t="s">
        <v>37</v>
      </c>
      <c r="D16" s="9" t="s">
        <v>38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1">
        <f t="shared" si="0"/>
        <v>0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.75">
      <c r="A17" s="8">
        <v>1039459208</v>
      </c>
      <c r="B17" s="8" t="s">
        <v>26</v>
      </c>
      <c r="C17" s="8" t="s">
        <v>39</v>
      </c>
      <c r="D17" s="9" t="s">
        <v>40</v>
      </c>
      <c r="E17" s="10">
        <v>90000</v>
      </c>
      <c r="F17" s="10">
        <v>180000</v>
      </c>
      <c r="G17" s="10">
        <v>150000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">
        <f t="shared" si="0"/>
        <v>420000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.75">
      <c r="A18" s="12">
        <v>1038866041</v>
      </c>
      <c r="B18" s="12" t="s">
        <v>26</v>
      </c>
      <c r="C18" s="12" t="s">
        <v>41</v>
      </c>
      <c r="D18" s="9" t="s">
        <v>42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4"/>
      <c r="U18" s="11">
        <f t="shared" si="0"/>
        <v>0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.75">
      <c r="A19" s="12">
        <v>1000098659</v>
      </c>
      <c r="B19" s="12" t="s">
        <v>26</v>
      </c>
      <c r="C19" s="12" t="s">
        <v>43</v>
      </c>
      <c r="D19" s="13" t="s">
        <v>44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4"/>
      <c r="U19" s="11">
        <f t="shared" si="0"/>
        <v>0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.75">
      <c r="A20" s="8">
        <v>1007271832</v>
      </c>
      <c r="B20" s="8" t="s">
        <v>45</v>
      </c>
      <c r="C20" s="8" t="s">
        <v>46</v>
      </c>
      <c r="D20" s="9" t="s">
        <v>47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1">
        <f t="shared" si="0"/>
        <v>0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.75" customHeight="1">
      <c r="A21" s="8">
        <v>1007441228</v>
      </c>
      <c r="B21" s="8" t="s">
        <v>45</v>
      </c>
      <c r="C21" s="8" t="s">
        <v>48</v>
      </c>
      <c r="D21" s="9" t="s">
        <v>49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1">
        <f t="shared" si="0"/>
        <v>0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.75" customHeight="1">
      <c r="A22" s="8">
        <v>52285356</v>
      </c>
      <c r="B22" s="8" t="s">
        <v>50</v>
      </c>
      <c r="C22" s="8" t="s">
        <v>51</v>
      </c>
      <c r="D22" s="9" t="s">
        <v>52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1">
        <f t="shared" si="0"/>
        <v>0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>
      <c r="A23" s="12">
        <v>1037622578</v>
      </c>
      <c r="B23" s="12" t="s">
        <v>50</v>
      </c>
      <c r="C23" s="12" t="s">
        <v>53</v>
      </c>
      <c r="D23" s="9" t="s">
        <v>54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4"/>
      <c r="U23" s="11">
        <f t="shared" si="0"/>
        <v>0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>
      <c r="A24" s="12">
        <v>1023627954</v>
      </c>
      <c r="B24" s="12" t="s">
        <v>55</v>
      </c>
      <c r="C24" s="12" t="s">
        <v>56</v>
      </c>
      <c r="D24" s="13" t="s">
        <v>57</v>
      </c>
      <c r="E24" s="10">
        <v>80000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4"/>
      <c r="U24" s="11">
        <f t="shared" si="0"/>
        <v>80000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5.75" customHeight="1">
      <c r="A25" s="12">
        <v>1017161127</v>
      </c>
      <c r="B25" s="12" t="s">
        <v>58</v>
      </c>
      <c r="C25" s="12" t="s">
        <v>59</v>
      </c>
      <c r="D25" s="13" t="s">
        <v>9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4"/>
      <c r="U25" s="11">
        <f t="shared" si="0"/>
        <v>0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.75" customHeight="1">
      <c r="A26" s="8">
        <v>1026153901</v>
      </c>
      <c r="B26" s="8" t="s">
        <v>60</v>
      </c>
      <c r="C26" s="8" t="s">
        <v>61</v>
      </c>
      <c r="D26" s="9" t="s">
        <v>62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1">
        <f t="shared" si="0"/>
        <v>0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.75" customHeight="1">
      <c r="A27" s="8">
        <v>1192905097</v>
      </c>
      <c r="B27" s="8" t="s">
        <v>63</v>
      </c>
      <c r="C27" s="8" t="s">
        <v>64</v>
      </c>
      <c r="D27" s="9" t="s">
        <v>65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1">
        <f t="shared" si="0"/>
        <v>0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5.75" customHeight="1">
      <c r="A28" s="8">
        <v>1137977441</v>
      </c>
      <c r="B28" s="8" t="s">
        <v>66</v>
      </c>
      <c r="C28" s="8" t="s">
        <v>67</v>
      </c>
      <c r="D28" s="9" t="s">
        <v>68</v>
      </c>
      <c r="E28" s="10">
        <v>80000</v>
      </c>
      <c r="F28" s="10">
        <v>80000</v>
      </c>
      <c r="G28" s="10">
        <v>80000</v>
      </c>
      <c r="H28" s="10">
        <v>80000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1">
        <f t="shared" si="0"/>
        <v>320000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.75" customHeight="1">
      <c r="A29" s="8">
        <v>3378920</v>
      </c>
      <c r="B29" s="8" t="s">
        <v>66</v>
      </c>
      <c r="C29" s="8" t="s">
        <v>69</v>
      </c>
      <c r="D29" s="9" t="s">
        <v>70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1">
        <f t="shared" si="0"/>
        <v>0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.75" customHeight="1">
      <c r="A30" s="8">
        <v>98762700</v>
      </c>
      <c r="B30" s="8" t="s">
        <v>66</v>
      </c>
      <c r="C30" s="8" t="s">
        <v>71</v>
      </c>
      <c r="D30" s="9" t="s">
        <v>72</v>
      </c>
      <c r="E30" s="10">
        <v>90000</v>
      </c>
      <c r="F30" s="10">
        <v>90000</v>
      </c>
      <c r="G30" s="10">
        <v>90000</v>
      </c>
      <c r="H30" s="10">
        <v>120000</v>
      </c>
      <c r="I30" s="10">
        <v>300000</v>
      </c>
      <c r="J30" s="10">
        <v>100000</v>
      </c>
      <c r="K30" s="10">
        <v>200000</v>
      </c>
      <c r="L30" s="10">
        <v>90000</v>
      </c>
      <c r="M30" s="10"/>
      <c r="N30" s="10"/>
      <c r="O30" s="10"/>
      <c r="P30" s="10"/>
      <c r="Q30" s="10"/>
      <c r="R30" s="10"/>
      <c r="S30" s="10"/>
      <c r="T30" s="10"/>
      <c r="U30" s="11">
        <f t="shared" si="0"/>
        <v>1080000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5.75" customHeight="1">
      <c r="A31" s="8">
        <v>1041630266</v>
      </c>
      <c r="B31" s="8" t="s">
        <v>66</v>
      </c>
      <c r="C31" s="8" t="s">
        <v>73</v>
      </c>
      <c r="D31" s="9" t="s">
        <v>74</v>
      </c>
      <c r="E31" s="10">
        <v>80000</v>
      </c>
      <c r="F31" s="10">
        <v>180000</v>
      </c>
      <c r="G31" s="10">
        <v>150000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1">
        <f t="shared" si="0"/>
        <v>410000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15.75" customHeight="1">
      <c r="A32" s="8">
        <v>1216725691</v>
      </c>
      <c r="B32" s="8" t="s">
        <v>66</v>
      </c>
      <c r="C32" s="8" t="s">
        <v>75</v>
      </c>
      <c r="D32" s="9" t="s">
        <v>76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1">
        <f t="shared" si="0"/>
        <v>0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15.75" customHeight="1">
      <c r="A33" s="8">
        <v>1025645156</v>
      </c>
      <c r="B33" s="8" t="s">
        <v>66</v>
      </c>
      <c r="C33" s="8" t="s">
        <v>77</v>
      </c>
      <c r="D33" s="9" t="s">
        <v>78</v>
      </c>
      <c r="E33" s="10">
        <v>90000</v>
      </c>
      <c r="F33" s="10">
        <v>80000</v>
      </c>
      <c r="G33" s="10">
        <v>80000</v>
      </c>
      <c r="H33" s="10">
        <v>80000</v>
      </c>
      <c r="I33" s="10">
        <v>180000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1">
        <f t="shared" si="0"/>
        <v>510000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5.75" customHeight="1">
      <c r="A34" s="8">
        <v>1017228145</v>
      </c>
      <c r="B34" s="8" t="s">
        <v>79</v>
      </c>
      <c r="C34" s="8" t="s">
        <v>80</v>
      </c>
      <c r="D34" s="9" t="s">
        <v>81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1">
        <f t="shared" si="0"/>
        <v>0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5.75" customHeight="1">
      <c r="A35" s="12">
        <v>1035975509</v>
      </c>
      <c r="B35" s="12" t="s">
        <v>82</v>
      </c>
      <c r="C35" s="12" t="s">
        <v>83</v>
      </c>
      <c r="D35" s="13" t="s">
        <v>84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4"/>
      <c r="U35" s="11">
        <f t="shared" si="0"/>
        <v>0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5.75" customHeight="1">
      <c r="A36" s="12">
        <v>1007367802</v>
      </c>
      <c r="B36" s="12" t="s">
        <v>85</v>
      </c>
      <c r="C36" s="12" t="s">
        <v>86</v>
      </c>
      <c r="D36" s="13" t="s">
        <v>9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4"/>
      <c r="U36" s="11">
        <f t="shared" si="0"/>
        <v>0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5.75" customHeight="1">
      <c r="A37" s="8">
        <v>43607099</v>
      </c>
      <c r="B37" s="8" t="s">
        <v>87</v>
      </c>
      <c r="C37" s="8" t="s">
        <v>88</v>
      </c>
      <c r="D37" s="9" t="s">
        <v>89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1">
        <f t="shared" si="0"/>
        <v>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5.75" customHeight="1">
      <c r="A38" s="8">
        <v>1080041257</v>
      </c>
      <c r="B38" s="8" t="s">
        <v>87</v>
      </c>
      <c r="C38" s="8" t="s">
        <v>90</v>
      </c>
      <c r="D38" s="9" t="s">
        <v>91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1">
        <f t="shared" si="0"/>
        <v>0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5.75" customHeight="1">
      <c r="A39" s="8">
        <v>1193529876</v>
      </c>
      <c r="B39" s="8" t="s">
        <v>92</v>
      </c>
      <c r="C39" s="8" t="s">
        <v>93</v>
      </c>
      <c r="D39" s="9" t="s">
        <v>94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1">
        <f t="shared" si="0"/>
        <v>0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customHeight="1">
      <c r="A40" s="8">
        <v>1000099681</v>
      </c>
      <c r="B40" s="8" t="s">
        <v>95</v>
      </c>
      <c r="C40" s="8" t="s">
        <v>96</v>
      </c>
      <c r="D40" s="9" t="s">
        <v>97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1">
        <f t="shared" si="0"/>
        <v>0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5.75" customHeight="1">
      <c r="A41" s="8">
        <v>1152709519</v>
      </c>
      <c r="B41" s="8" t="s">
        <v>98</v>
      </c>
      <c r="C41" s="8" t="s">
        <v>99</v>
      </c>
      <c r="D41" s="9" t="s">
        <v>100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1">
        <f t="shared" si="0"/>
        <v>0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5.75" customHeight="1">
      <c r="A42" s="12">
        <v>1020494236</v>
      </c>
      <c r="B42" s="8" t="s">
        <v>101</v>
      </c>
      <c r="C42" s="8" t="s">
        <v>102</v>
      </c>
      <c r="D42" s="9" t="s">
        <v>103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1">
        <f t="shared" si="0"/>
        <v>0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5.75" customHeight="1">
      <c r="A43" s="8">
        <v>1119181802</v>
      </c>
      <c r="B43" s="8" t="s">
        <v>104</v>
      </c>
      <c r="C43" s="8" t="s">
        <v>105</v>
      </c>
      <c r="D43" s="9" t="s">
        <v>106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1">
        <f t="shared" si="0"/>
        <v>0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5.75" customHeight="1">
      <c r="A44" s="8">
        <v>1096210900</v>
      </c>
      <c r="B44" s="8" t="s">
        <v>107</v>
      </c>
      <c r="C44" s="8" t="s">
        <v>108</v>
      </c>
      <c r="D44" s="9" t="s">
        <v>109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1">
        <f t="shared" si="0"/>
        <v>0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5.75" customHeight="1">
      <c r="A45" s="8">
        <v>1040508991</v>
      </c>
      <c r="B45" s="8" t="s">
        <v>110</v>
      </c>
      <c r="C45" s="8" t="s">
        <v>111</v>
      </c>
      <c r="D45" s="9" t="s">
        <v>112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1">
        <f t="shared" si="0"/>
        <v>0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.75" customHeight="1">
      <c r="A46" s="8">
        <v>1118559091</v>
      </c>
      <c r="B46" s="8" t="s">
        <v>113</v>
      </c>
      <c r="C46" s="8" t="s">
        <v>114</v>
      </c>
      <c r="D46" s="9" t="s">
        <v>115</v>
      </c>
      <c r="E46" s="10">
        <v>100000</v>
      </c>
      <c r="F46" s="10">
        <v>90000</v>
      </c>
      <c r="G46" s="10">
        <v>90000</v>
      </c>
      <c r="H46" s="10">
        <v>110000</v>
      </c>
      <c r="I46" s="10">
        <v>100000</v>
      </c>
      <c r="J46" s="10">
        <v>150000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1">
        <f t="shared" si="0"/>
        <v>640000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5.75" customHeight="1">
      <c r="A47" s="8">
        <v>1003232925</v>
      </c>
      <c r="B47" s="8" t="s">
        <v>116</v>
      </c>
      <c r="C47" s="8" t="s">
        <v>117</v>
      </c>
      <c r="D47" s="9" t="s">
        <v>118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1">
        <f t="shared" si="0"/>
        <v>0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5.75" customHeight="1">
      <c r="A48" s="8">
        <v>1001362462</v>
      </c>
      <c r="B48" s="8" t="s">
        <v>119</v>
      </c>
      <c r="C48" s="8" t="s">
        <v>120</v>
      </c>
      <c r="D48" s="9" t="s">
        <v>121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1">
        <f t="shared" si="0"/>
        <v>0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5.75" customHeight="1">
      <c r="A49" s="8">
        <v>1000634654</v>
      </c>
      <c r="B49" s="8" t="s">
        <v>122</v>
      </c>
      <c r="C49" s="8" t="s">
        <v>123</v>
      </c>
      <c r="D49" s="9" t="s">
        <v>124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1">
        <f t="shared" si="0"/>
        <v>0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5.75" customHeight="1">
      <c r="A50" s="8">
        <v>1017242907</v>
      </c>
      <c r="B50" s="8" t="s">
        <v>125</v>
      </c>
      <c r="C50" s="8" t="s">
        <v>126</v>
      </c>
      <c r="D50" s="9" t="s">
        <v>127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1">
        <f t="shared" si="0"/>
        <v>0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5.75" customHeight="1">
      <c r="A51" s="8">
        <v>1047498319</v>
      </c>
      <c r="B51" s="8" t="s">
        <v>128</v>
      </c>
      <c r="C51" s="8" t="s">
        <v>129</v>
      </c>
      <c r="D51" s="9" t="s">
        <v>130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1">
        <f t="shared" si="0"/>
        <v>0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5.75" customHeight="1">
      <c r="A52" s="8">
        <v>1017203962</v>
      </c>
      <c r="B52" s="8" t="s">
        <v>131</v>
      </c>
      <c r="C52" s="8" t="s">
        <v>132</v>
      </c>
      <c r="D52" s="9" t="s">
        <v>133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1">
        <f t="shared" si="0"/>
        <v>0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customHeight="1">
      <c r="A53" s="8">
        <v>1017217545</v>
      </c>
      <c r="B53" s="8" t="s">
        <v>131</v>
      </c>
      <c r="C53" s="8" t="s">
        <v>134</v>
      </c>
      <c r="D53" s="9" t="s">
        <v>135</v>
      </c>
      <c r="E53" s="10">
        <v>90000</v>
      </c>
      <c r="F53" s="10">
        <v>180000</v>
      </c>
      <c r="G53" s="10">
        <v>150000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1">
        <f t="shared" si="0"/>
        <v>420000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customHeight="1">
      <c r="A54" s="8">
        <v>1033177575</v>
      </c>
      <c r="B54" s="8" t="s">
        <v>131</v>
      </c>
      <c r="C54" s="8" t="s">
        <v>136</v>
      </c>
      <c r="D54" s="9" t="s">
        <v>137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1">
        <f t="shared" si="0"/>
        <v>0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5.75" customHeight="1">
      <c r="A55" s="12">
        <v>1000295495</v>
      </c>
      <c r="B55" s="12" t="s">
        <v>131</v>
      </c>
      <c r="C55" s="12" t="s">
        <v>138</v>
      </c>
      <c r="D55" s="9" t="s">
        <v>139</v>
      </c>
      <c r="E55" s="10">
        <v>90000</v>
      </c>
      <c r="F55" s="10">
        <v>150000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4"/>
      <c r="U55" s="11">
        <f t="shared" si="0"/>
        <v>240000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customHeight="1">
      <c r="A56" s="8">
        <v>1017184709</v>
      </c>
      <c r="B56" s="8" t="s">
        <v>140</v>
      </c>
      <c r="C56" s="8" t="s">
        <v>141</v>
      </c>
      <c r="D56" s="9" t="s">
        <v>142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1">
        <f t="shared" si="0"/>
        <v>0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5.75" customHeight="1">
      <c r="A57" s="8">
        <v>1020400543</v>
      </c>
      <c r="B57" s="8" t="s">
        <v>143</v>
      </c>
      <c r="C57" s="8" t="s">
        <v>144</v>
      </c>
      <c r="D57" s="9" t="s">
        <v>145</v>
      </c>
      <c r="E57" s="10">
        <v>90000</v>
      </c>
      <c r="F57" s="10">
        <v>100000</v>
      </c>
      <c r="G57" s="10">
        <v>90000</v>
      </c>
      <c r="H57" s="10">
        <v>90000</v>
      </c>
      <c r="I57" s="10">
        <v>150000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1">
        <f t="shared" si="0"/>
        <v>520000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5.75" customHeight="1">
      <c r="A58" s="12">
        <v>1037638101</v>
      </c>
      <c r="B58" s="12" t="s">
        <v>146</v>
      </c>
      <c r="C58" s="12" t="s">
        <v>147</v>
      </c>
      <c r="D58" s="13" t="s">
        <v>9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4"/>
      <c r="U58" s="11">
        <f t="shared" si="0"/>
        <v>0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5.75" customHeight="1">
      <c r="A59" s="8">
        <v>1073697668</v>
      </c>
      <c r="B59" s="8" t="s">
        <v>148</v>
      </c>
      <c r="C59" s="8" t="s">
        <v>149</v>
      </c>
      <c r="D59" s="9" t="s">
        <v>150</v>
      </c>
      <c r="E59" s="10">
        <v>80000</v>
      </c>
      <c r="F59" s="10">
        <v>90000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1">
        <f t="shared" si="0"/>
        <v>170000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5.75" customHeight="1">
      <c r="A60" s="8">
        <v>1115070893</v>
      </c>
      <c r="B60" s="8" t="s">
        <v>151</v>
      </c>
      <c r="C60" s="8" t="s">
        <v>152</v>
      </c>
      <c r="D60" s="9" t="s">
        <v>153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1">
        <f t="shared" si="0"/>
        <v>0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customHeight="1">
      <c r="A61" s="8">
        <v>1013457414</v>
      </c>
      <c r="B61" s="8" t="s">
        <v>154</v>
      </c>
      <c r="C61" s="8" t="s">
        <v>155</v>
      </c>
      <c r="D61" s="9" t="s">
        <v>156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1">
        <f t="shared" si="0"/>
        <v>0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customHeight="1">
      <c r="A62" s="12">
        <v>1020477470</v>
      </c>
      <c r="B62" s="8" t="s">
        <v>157</v>
      </c>
      <c r="C62" s="8" t="s">
        <v>158</v>
      </c>
      <c r="D62" s="9" t="s">
        <v>159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1">
        <f t="shared" si="0"/>
        <v>0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customHeight="1">
      <c r="A63" s="8">
        <v>1037631907</v>
      </c>
      <c r="B63" s="8" t="s">
        <v>160</v>
      </c>
      <c r="C63" s="8" t="s">
        <v>161</v>
      </c>
      <c r="D63" s="9" t="s">
        <v>162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1">
        <f t="shared" si="0"/>
        <v>0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customHeight="1">
      <c r="A64" s="12">
        <v>1015473837</v>
      </c>
      <c r="B64" s="8" t="s">
        <v>163</v>
      </c>
      <c r="C64" s="8" t="s">
        <v>164</v>
      </c>
      <c r="D64" s="9" t="s">
        <v>165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>
        <f t="shared" si="0"/>
        <v>0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.75" customHeight="1">
      <c r="A65" s="12">
        <v>1039472359</v>
      </c>
      <c r="B65" s="12" t="s">
        <v>166</v>
      </c>
      <c r="C65" s="12" t="s">
        <v>167</v>
      </c>
      <c r="D65" s="13" t="s">
        <v>9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4"/>
      <c r="U65" s="11">
        <f t="shared" si="0"/>
        <v>0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.75" customHeight="1">
      <c r="A66" s="8">
        <v>1128419525</v>
      </c>
      <c r="B66" s="8" t="s">
        <v>168</v>
      </c>
      <c r="C66" s="8" t="s">
        <v>134</v>
      </c>
      <c r="D66" s="9" t="s">
        <v>169</v>
      </c>
      <c r="E66" s="10">
        <v>90000</v>
      </c>
      <c r="F66" s="10">
        <v>100000</v>
      </c>
      <c r="G66" s="10">
        <v>90000</v>
      </c>
      <c r="H66" s="10">
        <v>200000</v>
      </c>
      <c r="I66" s="10">
        <v>90000</v>
      </c>
      <c r="J66" s="10">
        <v>200000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>
        <f t="shared" si="0"/>
        <v>770000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5.75" customHeight="1">
      <c r="A67" s="8">
        <v>1006663496</v>
      </c>
      <c r="B67" s="8" t="s">
        <v>170</v>
      </c>
      <c r="C67" s="8" t="s">
        <v>171</v>
      </c>
      <c r="D67" s="9" t="s">
        <v>172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>
        <f t="shared" si="0"/>
        <v>0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5.75" customHeight="1">
      <c r="A68" s="8">
        <v>1007040914</v>
      </c>
      <c r="B68" s="8" t="s">
        <v>173</v>
      </c>
      <c r="C68" s="8" t="s">
        <v>174</v>
      </c>
      <c r="D68" s="9" t="s">
        <v>175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>
        <f t="shared" si="0"/>
        <v>0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5.75" customHeight="1">
      <c r="A69" s="8">
        <v>1015067811</v>
      </c>
      <c r="B69" s="8" t="s">
        <v>173</v>
      </c>
      <c r="C69" s="8" t="s">
        <v>176</v>
      </c>
      <c r="D69" s="9" t="s">
        <v>177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>
        <f t="shared" si="0"/>
        <v>0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5.75" customHeight="1">
      <c r="A70" s="8">
        <v>1001140199</v>
      </c>
      <c r="B70" s="8" t="s">
        <v>178</v>
      </c>
      <c r="C70" s="8" t="s">
        <v>179</v>
      </c>
      <c r="D70" s="9" t="s">
        <v>180</v>
      </c>
      <c r="E70" s="10">
        <v>180000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>
        <f t="shared" si="0"/>
        <v>180000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.75" customHeight="1">
      <c r="A71" s="8">
        <v>1001218950</v>
      </c>
      <c r="B71" s="8" t="s">
        <v>178</v>
      </c>
      <c r="C71" s="8" t="s">
        <v>181</v>
      </c>
      <c r="D71" s="9" t="s">
        <v>182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>
        <f t="shared" si="0"/>
        <v>0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.75" customHeight="1">
      <c r="A72" s="8">
        <v>1002809798</v>
      </c>
      <c r="B72" s="8" t="s">
        <v>178</v>
      </c>
      <c r="C72" s="8" t="s">
        <v>183</v>
      </c>
      <c r="D72" s="9" t="s">
        <v>184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>
        <f t="shared" si="0"/>
        <v>0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.75" customHeight="1">
      <c r="A73" s="8">
        <v>1023592082</v>
      </c>
      <c r="B73" s="8" t="s">
        <v>178</v>
      </c>
      <c r="C73" s="8" t="s">
        <v>185</v>
      </c>
      <c r="D73" s="9" t="s">
        <v>186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>
        <f t="shared" si="0"/>
        <v>0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.75" customHeight="1">
      <c r="A74" s="8">
        <v>1035877140</v>
      </c>
      <c r="B74" s="8" t="s">
        <v>178</v>
      </c>
      <c r="C74" s="8" t="s">
        <v>187</v>
      </c>
      <c r="D74" s="9" t="s">
        <v>188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>
        <f t="shared" si="0"/>
        <v>0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.75" customHeight="1">
      <c r="A75" s="8">
        <v>1146437642</v>
      </c>
      <c r="B75" s="8" t="s">
        <v>178</v>
      </c>
      <c r="C75" s="8" t="s">
        <v>189</v>
      </c>
      <c r="D75" s="9" t="s">
        <v>190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>
        <f t="shared" si="0"/>
        <v>0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.75" customHeight="1">
      <c r="A76" s="8">
        <v>1037665360</v>
      </c>
      <c r="B76" s="8" t="s">
        <v>191</v>
      </c>
      <c r="C76" s="8" t="s">
        <v>192</v>
      </c>
      <c r="D76" s="9" t="s">
        <v>193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1">
        <f t="shared" si="0"/>
        <v>0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.75" customHeight="1">
      <c r="A77" s="12">
        <v>1037633650</v>
      </c>
      <c r="B77" s="8" t="s">
        <v>194</v>
      </c>
      <c r="C77" s="8" t="s">
        <v>195</v>
      </c>
      <c r="D77" s="9" t="s">
        <v>196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1">
        <f t="shared" si="0"/>
        <v>0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.75" customHeight="1">
      <c r="A78" s="8">
        <v>1152710976</v>
      </c>
      <c r="B78" s="8" t="s">
        <v>197</v>
      </c>
      <c r="C78" s="8" t="s">
        <v>198</v>
      </c>
      <c r="D78" s="9" t="s">
        <v>199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1">
        <f t="shared" si="0"/>
        <v>0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.75" customHeight="1">
      <c r="A79" s="8">
        <v>1032261143</v>
      </c>
      <c r="B79" s="8" t="s">
        <v>200</v>
      </c>
      <c r="C79" s="8" t="s">
        <v>201</v>
      </c>
      <c r="D79" s="9" t="s">
        <v>202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1">
        <f t="shared" si="0"/>
        <v>0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.75" customHeight="1">
      <c r="A80" s="8">
        <v>1001590413</v>
      </c>
      <c r="B80" s="8" t="s">
        <v>203</v>
      </c>
      <c r="C80" s="8" t="s">
        <v>204</v>
      </c>
      <c r="D80" s="9" t="s">
        <v>205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1">
        <f t="shared" si="0"/>
        <v>0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5.75" customHeight="1">
      <c r="A81" s="12">
        <v>1017130302</v>
      </c>
      <c r="B81" s="12" t="s">
        <v>206</v>
      </c>
      <c r="C81" s="12" t="s">
        <v>207</v>
      </c>
      <c r="D81" s="13" t="s">
        <v>208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4"/>
      <c r="U81" s="11">
        <f t="shared" si="0"/>
        <v>0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5.75" customHeight="1">
      <c r="A82" s="8">
        <v>1017206880</v>
      </c>
      <c r="B82" s="8" t="s">
        <v>209</v>
      </c>
      <c r="C82" s="8" t="s">
        <v>210</v>
      </c>
      <c r="D82" s="9" t="s">
        <v>211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1">
        <f t="shared" si="0"/>
        <v>0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5.75" customHeight="1">
      <c r="A83" s="8">
        <v>1001577700</v>
      </c>
      <c r="B83" s="8" t="s">
        <v>212</v>
      </c>
      <c r="C83" s="8" t="s">
        <v>213</v>
      </c>
      <c r="D83" s="9" t="s">
        <v>214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1">
        <f t="shared" si="0"/>
        <v>0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15.75" customHeight="1">
      <c r="A84" s="8">
        <v>1015067504</v>
      </c>
      <c r="B84" s="8" t="s">
        <v>215</v>
      </c>
      <c r="C84" s="8" t="s">
        <v>216</v>
      </c>
      <c r="D84" s="9" t="s">
        <v>217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1">
        <f t="shared" si="0"/>
        <v>0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5.75" customHeight="1">
      <c r="A85" s="8">
        <v>1000414788</v>
      </c>
      <c r="B85" s="8" t="s">
        <v>218</v>
      </c>
      <c r="C85" s="8" t="s">
        <v>219</v>
      </c>
      <c r="D85" s="9" t="s">
        <v>220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1">
        <f t="shared" si="0"/>
        <v>0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5.75" customHeight="1">
      <c r="A86" s="8">
        <v>1033487273</v>
      </c>
      <c r="B86" s="8" t="s">
        <v>218</v>
      </c>
      <c r="C86" s="8" t="s">
        <v>221</v>
      </c>
      <c r="D86" s="9" t="s">
        <v>222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1">
        <f t="shared" si="0"/>
        <v>0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15.75" customHeight="1">
      <c r="A87" s="8">
        <v>1045427964</v>
      </c>
      <c r="B87" s="8" t="s">
        <v>223</v>
      </c>
      <c r="C87" s="8" t="s">
        <v>224</v>
      </c>
      <c r="D87" s="9" t="s">
        <v>225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1">
        <f t="shared" si="0"/>
        <v>0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15.75" customHeight="1">
      <c r="A88" s="8">
        <v>1194405964</v>
      </c>
      <c r="B88" s="8" t="s">
        <v>226</v>
      </c>
      <c r="C88" s="8" t="s">
        <v>227</v>
      </c>
      <c r="D88" s="9" t="s">
        <v>228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1">
        <f t="shared" si="0"/>
        <v>0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5.75" customHeight="1">
      <c r="A89" s="8">
        <v>1018245174</v>
      </c>
      <c r="B89" s="8" t="s">
        <v>229</v>
      </c>
      <c r="C89" s="8" t="s">
        <v>230</v>
      </c>
      <c r="D89" s="9" t="s">
        <v>231</v>
      </c>
      <c r="E89" s="10">
        <v>150000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1">
        <f t="shared" si="0"/>
        <v>150000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5.75" customHeight="1">
      <c r="A90" s="8">
        <v>1007872887</v>
      </c>
      <c r="B90" s="8" t="s">
        <v>232</v>
      </c>
      <c r="C90" s="8" t="s">
        <v>233</v>
      </c>
      <c r="D90" s="9" t="s">
        <v>234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1">
        <f t="shared" si="0"/>
        <v>0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.75" customHeight="1">
      <c r="A91" s="8">
        <v>1152438228</v>
      </c>
      <c r="B91" s="8" t="s">
        <v>235</v>
      </c>
      <c r="C91" s="8" t="s">
        <v>236</v>
      </c>
      <c r="D91" s="9" t="s">
        <v>237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1">
        <f t="shared" si="0"/>
        <v>0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.75" customHeight="1">
      <c r="A92" s="8">
        <v>1152470460</v>
      </c>
      <c r="B92" s="8" t="s">
        <v>235</v>
      </c>
      <c r="C92" s="8" t="s">
        <v>238</v>
      </c>
      <c r="D92" s="9" t="s">
        <v>239</v>
      </c>
      <c r="E92" s="10">
        <v>150000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1">
        <f t="shared" si="0"/>
        <v>150000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5.75" customHeight="1">
      <c r="A93" s="12">
        <v>1023625941</v>
      </c>
      <c r="B93" s="12" t="s">
        <v>240</v>
      </c>
      <c r="C93" s="12" t="s">
        <v>241</v>
      </c>
      <c r="D93" s="13" t="s">
        <v>242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4"/>
      <c r="U93" s="11">
        <f t="shared" si="0"/>
        <v>0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5.75" customHeight="1">
      <c r="A94" s="12">
        <v>43209905</v>
      </c>
      <c r="B94" s="12" t="s">
        <v>243</v>
      </c>
      <c r="C94" s="12" t="s">
        <v>244</v>
      </c>
      <c r="D94" s="13" t="s">
        <v>245</v>
      </c>
      <c r="E94" s="10">
        <v>90000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4"/>
      <c r="U94" s="11">
        <f t="shared" si="0"/>
        <v>90000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5.75" customHeight="1">
      <c r="A95" s="8">
        <v>1001015706</v>
      </c>
      <c r="B95" s="8" t="s">
        <v>246</v>
      </c>
      <c r="C95" s="8" t="s">
        <v>247</v>
      </c>
      <c r="D95" s="9" t="s">
        <v>248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1">
        <f t="shared" si="0"/>
        <v>0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5.75" customHeight="1">
      <c r="A96" s="12">
        <v>1020469042</v>
      </c>
      <c r="B96" s="8" t="s">
        <v>249</v>
      </c>
      <c r="C96" s="8" t="s">
        <v>250</v>
      </c>
      <c r="D96" s="9" t="s">
        <v>251</v>
      </c>
      <c r="E96" s="10">
        <v>200000</v>
      </c>
      <c r="F96" s="10"/>
      <c r="G96" s="10">
        <v>90000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1">
        <f t="shared" si="0"/>
        <v>290000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.75" customHeight="1">
      <c r="A97" s="12">
        <v>1007242318</v>
      </c>
      <c r="B97" s="8" t="s">
        <v>252</v>
      </c>
      <c r="C97" s="8" t="s">
        <v>253</v>
      </c>
      <c r="D97" s="9" t="s">
        <v>254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1">
        <f t="shared" si="0"/>
        <v>0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.75" customHeight="1">
      <c r="A98" s="12">
        <v>1020430557</v>
      </c>
      <c r="B98" s="12" t="s">
        <v>252</v>
      </c>
      <c r="C98" s="12" t="s">
        <v>255</v>
      </c>
      <c r="D98" s="13" t="s">
        <v>9</v>
      </c>
      <c r="E98" s="10">
        <v>50000</v>
      </c>
      <c r="F98" s="10">
        <v>150000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4"/>
      <c r="U98" s="11">
        <f t="shared" si="0"/>
        <v>200000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.75" customHeight="1">
      <c r="A99" s="12">
        <v>98558130</v>
      </c>
      <c r="B99" s="8" t="s">
        <v>256</v>
      </c>
      <c r="C99" s="8" t="s">
        <v>257</v>
      </c>
      <c r="D99" s="9" t="s">
        <v>258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1">
        <f t="shared" si="0"/>
        <v>0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.75" customHeight="1">
      <c r="A100" s="8">
        <v>1001972463</v>
      </c>
      <c r="B100" s="8" t="s">
        <v>259</v>
      </c>
      <c r="C100" s="8" t="s">
        <v>260</v>
      </c>
      <c r="D100" s="9" t="s">
        <v>261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1">
        <f t="shared" si="0"/>
        <v>0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.75" customHeight="1">
      <c r="A101" s="12">
        <v>1038803821</v>
      </c>
      <c r="B101" s="12" t="s">
        <v>262</v>
      </c>
      <c r="C101" s="12" t="s">
        <v>263</v>
      </c>
      <c r="D101" s="9" t="s">
        <v>264</v>
      </c>
      <c r="E101" s="10">
        <v>90000</v>
      </c>
      <c r="F101" s="10">
        <v>150000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4"/>
      <c r="U101" s="11">
        <f t="shared" si="0"/>
        <v>240000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.75" customHeight="1">
      <c r="A102" s="8">
        <v>1001463828</v>
      </c>
      <c r="B102" s="8" t="s">
        <v>265</v>
      </c>
      <c r="C102" s="8" t="s">
        <v>266</v>
      </c>
      <c r="D102" s="9" t="s">
        <v>267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1">
        <f t="shared" si="0"/>
        <v>0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.75" customHeight="1">
      <c r="A103" s="8">
        <v>1000087505</v>
      </c>
      <c r="B103" s="8" t="s">
        <v>268</v>
      </c>
      <c r="C103" s="8" t="s">
        <v>269</v>
      </c>
      <c r="D103" s="9" t="s">
        <v>270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1">
        <f t="shared" si="0"/>
        <v>0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.75" customHeight="1">
      <c r="A104" s="8">
        <v>1034918503</v>
      </c>
      <c r="B104" s="8" t="s">
        <v>271</v>
      </c>
      <c r="C104" s="8" t="s">
        <v>272</v>
      </c>
      <c r="D104" s="9" t="s">
        <v>273</v>
      </c>
      <c r="E104" s="10">
        <v>150000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1">
        <f t="shared" si="0"/>
        <v>150000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.75" customHeight="1">
      <c r="A105" s="8">
        <v>1003034922</v>
      </c>
      <c r="B105" s="8" t="s">
        <v>274</v>
      </c>
      <c r="C105" s="8" t="s">
        <v>275</v>
      </c>
      <c r="D105" s="9" t="s">
        <v>276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1">
        <f t="shared" si="0"/>
        <v>0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5.75" customHeight="1">
      <c r="A106" s="12">
        <v>1020107306</v>
      </c>
      <c r="B106" s="12" t="s">
        <v>277</v>
      </c>
      <c r="C106" s="12" t="s">
        <v>278</v>
      </c>
      <c r="D106" s="13" t="s">
        <v>279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4"/>
      <c r="U106" s="11">
        <f t="shared" si="0"/>
        <v>0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5.75" customHeight="1">
      <c r="A107" s="12">
        <v>1006947353</v>
      </c>
      <c r="B107" s="12" t="s">
        <v>280</v>
      </c>
      <c r="C107" s="12" t="s">
        <v>281</v>
      </c>
      <c r="D107" s="13" t="s">
        <v>282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4"/>
      <c r="U107" s="11">
        <f t="shared" si="0"/>
        <v>0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5.75" customHeight="1">
      <c r="A108" s="8">
        <v>1001618302</v>
      </c>
      <c r="B108" s="8" t="s">
        <v>283</v>
      </c>
      <c r="C108" s="8" t="s">
        <v>284</v>
      </c>
      <c r="D108" s="9" t="s">
        <v>285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1">
        <f t="shared" si="0"/>
        <v>0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5.75" customHeight="1">
      <c r="A109" s="8">
        <v>1005690655</v>
      </c>
      <c r="B109" s="8" t="s">
        <v>286</v>
      </c>
      <c r="C109" s="8" t="s">
        <v>287</v>
      </c>
      <c r="D109" s="9" t="s">
        <v>288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1">
        <f t="shared" si="0"/>
        <v>0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5.75" customHeight="1">
      <c r="A110" s="8">
        <v>1005458201</v>
      </c>
      <c r="B110" s="8" t="s">
        <v>289</v>
      </c>
      <c r="C110" s="8" t="s">
        <v>290</v>
      </c>
      <c r="D110" s="9" t="s">
        <v>291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1">
        <f t="shared" si="0"/>
        <v>0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5.75" customHeight="1">
      <c r="A111" s="8">
        <v>1000874145</v>
      </c>
      <c r="B111" s="8" t="s">
        <v>292</v>
      </c>
      <c r="C111" s="8" t="s">
        <v>293</v>
      </c>
      <c r="D111" s="9" t="s">
        <v>294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1">
        <f t="shared" si="0"/>
        <v>0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15.75" customHeight="1">
      <c r="A112" s="8">
        <v>1017240460</v>
      </c>
      <c r="B112" s="8" t="s">
        <v>295</v>
      </c>
      <c r="C112" s="8" t="s">
        <v>296</v>
      </c>
      <c r="D112" s="9" t="s">
        <v>297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1">
        <f t="shared" si="0"/>
        <v>0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5.75" customHeight="1">
      <c r="A113" s="12">
        <v>1015072853</v>
      </c>
      <c r="B113" s="12" t="s">
        <v>298</v>
      </c>
      <c r="C113" s="12" t="s">
        <v>299</v>
      </c>
      <c r="D113" s="9" t="s">
        <v>186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4"/>
      <c r="U113" s="11">
        <f t="shared" si="0"/>
        <v>0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5.75" customHeight="1">
      <c r="A114" s="8">
        <v>1000748597</v>
      </c>
      <c r="B114" s="8" t="s">
        <v>300</v>
      </c>
      <c r="C114" s="8" t="s">
        <v>301</v>
      </c>
      <c r="D114" s="9" t="s">
        <v>302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1">
        <f t="shared" si="0"/>
        <v>0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5.75" customHeight="1">
      <c r="A115" s="8">
        <v>93131001</v>
      </c>
      <c r="B115" s="8" t="s">
        <v>303</v>
      </c>
      <c r="C115" s="8" t="s">
        <v>304</v>
      </c>
      <c r="D115" s="9" t="s">
        <v>305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1">
        <f t="shared" si="0"/>
        <v>0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5.75" customHeight="1">
      <c r="A116" s="8">
        <v>1017256068</v>
      </c>
      <c r="B116" s="8" t="s">
        <v>306</v>
      </c>
      <c r="C116" s="8" t="s">
        <v>307</v>
      </c>
      <c r="D116" s="9" t="s">
        <v>308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1">
        <f t="shared" si="0"/>
        <v>0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15.75" customHeight="1">
      <c r="A117" s="8">
        <v>1007624902</v>
      </c>
      <c r="B117" s="8" t="s">
        <v>309</v>
      </c>
      <c r="C117" s="8" t="s">
        <v>310</v>
      </c>
      <c r="D117" s="9" t="s">
        <v>311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1">
        <f t="shared" si="0"/>
        <v>0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15.75" customHeight="1">
      <c r="A118" s="8">
        <v>71631378</v>
      </c>
      <c r="B118" s="8" t="s">
        <v>312</v>
      </c>
      <c r="C118" s="8" t="s">
        <v>313</v>
      </c>
      <c r="D118" s="9" t="s">
        <v>314</v>
      </c>
      <c r="E118" s="10">
        <v>100000</v>
      </c>
      <c r="F118" s="10">
        <v>160000</v>
      </c>
      <c r="G118" s="10">
        <v>90000</v>
      </c>
      <c r="H118" s="10">
        <v>90000</v>
      </c>
      <c r="I118" s="10">
        <v>100000</v>
      </c>
      <c r="J118" s="10">
        <v>120000</v>
      </c>
      <c r="K118" s="10">
        <v>80000</v>
      </c>
      <c r="L118" s="10">
        <v>80000</v>
      </c>
      <c r="M118" s="10">
        <v>180000</v>
      </c>
      <c r="N118" s="10"/>
      <c r="O118" s="10"/>
      <c r="P118" s="10"/>
      <c r="Q118" s="10"/>
      <c r="R118" s="10"/>
      <c r="S118" s="10"/>
      <c r="T118" s="10"/>
      <c r="U118" s="11">
        <f t="shared" si="0"/>
        <v>1000000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5.75" customHeight="1">
      <c r="A119" s="8">
        <v>1007143656</v>
      </c>
      <c r="B119" s="8" t="s">
        <v>315</v>
      </c>
      <c r="C119" s="8" t="s">
        <v>316</v>
      </c>
      <c r="D119" s="9" t="s">
        <v>317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1">
        <f t="shared" si="0"/>
        <v>0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15.75" customHeight="1">
      <c r="A120" s="12">
        <v>1124004179</v>
      </c>
      <c r="B120" s="12" t="s">
        <v>318</v>
      </c>
      <c r="C120" s="12" t="s">
        <v>319</v>
      </c>
      <c r="D120" s="13" t="s">
        <v>320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4"/>
      <c r="U120" s="11">
        <f t="shared" si="0"/>
        <v>0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15.75" customHeight="1">
      <c r="A121" s="8">
        <v>1152218533</v>
      </c>
      <c r="B121" s="8" t="s">
        <v>321</v>
      </c>
      <c r="C121" s="8" t="s">
        <v>322</v>
      </c>
      <c r="D121" s="9" t="s">
        <v>323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1">
        <f t="shared" si="0"/>
        <v>0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15.75" customHeight="1">
      <c r="A122" s="12">
        <v>1013456398</v>
      </c>
      <c r="B122" s="8" t="s">
        <v>324</v>
      </c>
      <c r="C122" s="8" t="s">
        <v>325</v>
      </c>
      <c r="D122" s="9" t="s">
        <v>326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1">
        <f t="shared" si="0"/>
        <v>0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15.75" customHeight="1">
      <c r="A123" s="12">
        <v>1025881886</v>
      </c>
      <c r="B123" s="12" t="s">
        <v>327</v>
      </c>
      <c r="C123" s="12" t="s">
        <v>328</v>
      </c>
      <c r="D123" s="9" t="s">
        <v>329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4"/>
      <c r="U123" s="11">
        <f t="shared" si="0"/>
        <v>0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15.75" customHeight="1">
      <c r="A124" s="8">
        <v>1047382343</v>
      </c>
      <c r="B124" s="8" t="s">
        <v>330</v>
      </c>
      <c r="C124" s="8" t="s">
        <v>331</v>
      </c>
      <c r="D124" s="9" t="s">
        <v>332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1">
        <f t="shared" si="0"/>
        <v>0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15.75" customHeight="1">
      <c r="A125" s="12">
        <v>1152202237</v>
      </c>
      <c r="B125" s="12" t="s">
        <v>333</v>
      </c>
      <c r="C125" s="12" t="s">
        <v>334</v>
      </c>
      <c r="D125" s="9" t="s">
        <v>335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4"/>
      <c r="U125" s="11">
        <f t="shared" si="0"/>
        <v>0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15.75" customHeight="1">
      <c r="A126" s="8">
        <v>1003786424</v>
      </c>
      <c r="B126" s="8" t="s">
        <v>336</v>
      </c>
      <c r="C126" s="8" t="s">
        <v>337</v>
      </c>
      <c r="D126" s="9" t="s">
        <v>338</v>
      </c>
      <c r="E126" s="10">
        <v>80000</v>
      </c>
      <c r="F126" s="10">
        <v>80000</v>
      </c>
      <c r="G126" s="10">
        <v>80000</v>
      </c>
      <c r="H126" s="10">
        <v>80000</v>
      </c>
      <c r="I126" s="10">
        <v>180000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1">
        <f t="shared" si="0"/>
        <v>500000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15.75" customHeight="1">
      <c r="A127" s="8">
        <v>1001687163</v>
      </c>
      <c r="B127" s="8" t="s">
        <v>339</v>
      </c>
      <c r="C127" s="8" t="s">
        <v>340</v>
      </c>
      <c r="D127" s="9" t="s">
        <v>341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1">
        <f t="shared" si="0"/>
        <v>0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15.75" customHeight="1">
      <c r="A128" s="8">
        <v>1128403070</v>
      </c>
      <c r="B128" s="8" t="s">
        <v>342</v>
      </c>
      <c r="C128" s="8" t="s">
        <v>343</v>
      </c>
      <c r="D128" s="15">
        <v>33239</v>
      </c>
      <c r="E128" s="10">
        <v>100000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1">
        <f t="shared" si="0"/>
        <v>100000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15.75" customHeight="1">
      <c r="A129" s="8">
        <v>1192815965</v>
      </c>
      <c r="B129" s="8" t="s">
        <v>344</v>
      </c>
      <c r="C129" s="8" t="s">
        <v>345</v>
      </c>
      <c r="D129" s="9" t="s">
        <v>346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1">
        <f t="shared" si="0"/>
        <v>0</v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5.75" customHeight="1">
      <c r="A130" s="8">
        <v>43269224</v>
      </c>
      <c r="B130" s="8" t="s">
        <v>347</v>
      </c>
      <c r="C130" s="8" t="s">
        <v>348</v>
      </c>
      <c r="D130" s="9" t="s">
        <v>349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1">
        <f t="shared" si="0"/>
        <v>0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5.75" customHeight="1">
      <c r="A131" s="8">
        <v>1001371340</v>
      </c>
      <c r="B131" s="8" t="s">
        <v>347</v>
      </c>
      <c r="C131" s="8" t="s">
        <v>350</v>
      </c>
      <c r="D131" s="9" t="s">
        <v>351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1">
        <f t="shared" si="0"/>
        <v>0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5.75" customHeight="1">
      <c r="A132" s="8">
        <v>1023624442</v>
      </c>
      <c r="B132" s="8" t="s">
        <v>352</v>
      </c>
      <c r="C132" s="8" t="s">
        <v>353</v>
      </c>
      <c r="D132" s="9" t="s">
        <v>354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1">
        <f t="shared" si="0"/>
        <v>0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5.75" customHeight="1">
      <c r="A133" s="8">
        <v>1036450666</v>
      </c>
      <c r="B133" s="8" t="s">
        <v>352</v>
      </c>
      <c r="C133" s="8" t="s">
        <v>355</v>
      </c>
      <c r="D133" s="9" t="s">
        <v>356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1">
        <f t="shared" si="0"/>
        <v>0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5.75" customHeight="1">
      <c r="A134" s="12">
        <v>1025882894</v>
      </c>
      <c r="B134" s="12" t="s">
        <v>352</v>
      </c>
      <c r="C134" s="12" t="s">
        <v>357</v>
      </c>
      <c r="D134" s="13" t="s">
        <v>358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4"/>
      <c r="U134" s="11">
        <f t="shared" si="0"/>
        <v>0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5.75" customHeight="1">
      <c r="A135" s="8">
        <v>1025640578</v>
      </c>
      <c r="B135" s="8" t="s">
        <v>359</v>
      </c>
      <c r="C135" s="8" t="s">
        <v>360</v>
      </c>
      <c r="D135" s="9" t="s">
        <v>361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1">
        <f t="shared" si="0"/>
        <v>0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5.75" customHeight="1">
      <c r="A136" s="8">
        <v>1000899444</v>
      </c>
      <c r="B136" s="8" t="s">
        <v>362</v>
      </c>
      <c r="C136" s="8" t="s">
        <v>363</v>
      </c>
      <c r="D136" s="9" t="s">
        <v>364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1">
        <f t="shared" si="0"/>
        <v>0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5.75" customHeight="1">
      <c r="A137" s="8">
        <v>1088591916</v>
      </c>
      <c r="B137" s="8" t="s">
        <v>365</v>
      </c>
      <c r="C137" s="8" t="s">
        <v>366</v>
      </c>
      <c r="D137" s="9" t="s">
        <v>367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1">
        <f t="shared" si="0"/>
        <v>0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5.75" customHeight="1">
      <c r="A138" s="8">
        <v>15665121</v>
      </c>
      <c r="B138" s="8" t="s">
        <v>368</v>
      </c>
      <c r="C138" s="8" t="s">
        <v>369</v>
      </c>
      <c r="D138" s="9" t="s">
        <v>370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1">
        <f t="shared" si="0"/>
        <v>0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5.75" customHeight="1">
      <c r="A139" s="8">
        <v>43269083</v>
      </c>
      <c r="B139" s="8" t="s">
        <v>371</v>
      </c>
      <c r="C139" s="8" t="s">
        <v>372</v>
      </c>
      <c r="D139" s="9" t="s">
        <v>373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1">
        <f t="shared" si="0"/>
        <v>0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5.75" customHeight="1">
      <c r="A140" s="8">
        <v>1033647890</v>
      </c>
      <c r="B140" s="8" t="s">
        <v>374</v>
      </c>
      <c r="C140" s="8" t="s">
        <v>375</v>
      </c>
      <c r="D140" s="9" t="s">
        <v>376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1">
        <f t="shared" si="0"/>
        <v>0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5.75" customHeight="1">
      <c r="A141" s="8">
        <v>1036643595</v>
      </c>
      <c r="B141" s="8" t="s">
        <v>377</v>
      </c>
      <c r="C141" s="8" t="s">
        <v>378</v>
      </c>
      <c r="D141" s="9" t="s">
        <v>379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1">
        <f t="shared" si="0"/>
        <v>0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5.75" customHeight="1">
      <c r="A142" s="12">
        <v>1128268110</v>
      </c>
      <c r="B142" s="12" t="s">
        <v>380</v>
      </c>
      <c r="C142" s="12" t="s">
        <v>381</v>
      </c>
      <c r="D142" s="13" t="s">
        <v>382</v>
      </c>
      <c r="E142" s="10">
        <v>150000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4"/>
      <c r="U142" s="11">
        <f t="shared" si="0"/>
        <v>150000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15.75" customHeight="1">
      <c r="A143" s="8">
        <v>1152451864</v>
      </c>
      <c r="B143" s="8" t="s">
        <v>383</v>
      </c>
      <c r="C143" s="8" t="s">
        <v>384</v>
      </c>
      <c r="D143" s="9" t="s">
        <v>162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1">
        <f t="shared" si="0"/>
        <v>0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5.75" customHeight="1">
      <c r="A144" s="8">
        <v>1017158554</v>
      </c>
      <c r="B144" s="8" t="s">
        <v>385</v>
      </c>
      <c r="C144" s="8" t="s">
        <v>386</v>
      </c>
      <c r="D144" s="9" t="s">
        <v>297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1">
        <f t="shared" si="0"/>
        <v>0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5.75" customHeight="1">
      <c r="A145" s="8">
        <v>1037268549</v>
      </c>
      <c r="B145" s="8" t="s">
        <v>387</v>
      </c>
      <c r="C145" s="8" t="s">
        <v>388</v>
      </c>
      <c r="D145" s="9" t="s">
        <v>308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1">
        <f t="shared" si="0"/>
        <v>0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15.75" customHeight="1">
      <c r="A146" s="12">
        <v>1036253065</v>
      </c>
      <c r="B146" s="12" t="s">
        <v>389</v>
      </c>
      <c r="C146" s="12" t="s">
        <v>390</v>
      </c>
      <c r="D146" s="9" t="s">
        <v>391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4"/>
      <c r="U146" s="11">
        <f t="shared" si="0"/>
        <v>0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5.75" customHeight="1">
      <c r="A147" s="8">
        <v>1036654729</v>
      </c>
      <c r="B147" s="8" t="s">
        <v>392</v>
      </c>
      <c r="C147" s="8" t="s">
        <v>393</v>
      </c>
      <c r="D147" s="9" t="s">
        <v>314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1">
        <f t="shared" si="0"/>
        <v>0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5.75" customHeight="1">
      <c r="A148" s="8">
        <v>1101385998</v>
      </c>
      <c r="B148" s="8" t="s">
        <v>394</v>
      </c>
      <c r="C148" s="8" t="s">
        <v>395</v>
      </c>
      <c r="D148" s="9" t="s">
        <v>234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1">
        <f t="shared" si="0"/>
        <v>0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5.75" customHeight="1">
      <c r="A149" s="12">
        <v>1078577501</v>
      </c>
      <c r="B149" s="8" t="s">
        <v>396</v>
      </c>
      <c r="C149" s="8" t="s">
        <v>397</v>
      </c>
      <c r="D149" s="9" t="s">
        <v>237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1">
        <f t="shared" si="0"/>
        <v>0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5.75" customHeight="1">
      <c r="A150" s="8">
        <v>98714960</v>
      </c>
      <c r="B150" s="8" t="s">
        <v>398</v>
      </c>
      <c r="C150" s="8" t="s">
        <v>399</v>
      </c>
      <c r="D150" s="9" t="s">
        <v>273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1">
        <f t="shared" si="0"/>
        <v>0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5.75" customHeight="1">
      <c r="A151" s="12">
        <v>71221040</v>
      </c>
      <c r="B151" s="8" t="s">
        <v>400</v>
      </c>
      <c r="C151" s="8" t="s">
        <v>401</v>
      </c>
      <c r="D151" s="9" t="s">
        <v>402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1">
        <f t="shared" si="0"/>
        <v>0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15.75" customHeight="1">
      <c r="A152" s="8">
        <v>1111538646</v>
      </c>
      <c r="B152" s="8" t="s">
        <v>400</v>
      </c>
      <c r="C152" s="8" t="s">
        <v>403</v>
      </c>
      <c r="D152" s="9" t="s">
        <v>404</v>
      </c>
      <c r="E152" s="10">
        <v>90000</v>
      </c>
      <c r="F152" s="10">
        <v>90000</v>
      </c>
      <c r="G152" s="10">
        <v>90000</v>
      </c>
      <c r="H152" s="10">
        <v>90000</v>
      </c>
      <c r="I152" s="10">
        <v>80000</v>
      </c>
      <c r="J152" s="10">
        <v>80000</v>
      </c>
      <c r="K152" s="10">
        <v>180000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1">
        <f t="shared" si="0"/>
        <v>700000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15.75" customHeight="1">
      <c r="A153" s="8">
        <v>1192920112</v>
      </c>
      <c r="B153" s="8" t="s">
        <v>405</v>
      </c>
      <c r="C153" s="8" t="s">
        <v>406</v>
      </c>
      <c r="D153" s="9" t="s">
        <v>205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1">
        <f t="shared" si="0"/>
        <v>0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5.75" customHeight="1">
      <c r="A154" s="8">
        <v>1035856209</v>
      </c>
      <c r="B154" s="8" t="s">
        <v>407</v>
      </c>
      <c r="C154" s="8" t="s">
        <v>408</v>
      </c>
      <c r="D154" s="9" t="s">
        <v>409</v>
      </c>
      <c r="E154" s="10">
        <v>100000</v>
      </c>
      <c r="F154" s="10">
        <v>90000</v>
      </c>
      <c r="G154" s="10">
        <v>150000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1">
        <f t="shared" si="0"/>
        <v>340000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5.75" customHeight="1">
      <c r="A155" s="8">
        <v>98578664</v>
      </c>
      <c r="B155" s="8" t="s">
        <v>410</v>
      </c>
      <c r="C155" s="8" t="s">
        <v>411</v>
      </c>
      <c r="D155" s="9" t="s">
        <v>412</v>
      </c>
      <c r="E155" s="10">
        <v>100000</v>
      </c>
      <c r="F155" s="10">
        <v>100000</v>
      </c>
      <c r="G155" s="10">
        <v>110000</v>
      </c>
      <c r="H155" s="10">
        <v>110000</v>
      </c>
      <c r="I155" s="10">
        <v>110000</v>
      </c>
      <c r="J155" s="10">
        <v>150000</v>
      </c>
      <c r="K155" s="10">
        <v>150000</v>
      </c>
      <c r="L155" s="10">
        <v>150000</v>
      </c>
      <c r="M155" s="10">
        <v>120000</v>
      </c>
      <c r="N155" s="10">
        <v>80000</v>
      </c>
      <c r="O155" s="10">
        <v>80000</v>
      </c>
      <c r="P155" s="10">
        <v>100000</v>
      </c>
      <c r="Q155" s="10">
        <v>100000</v>
      </c>
      <c r="R155" s="10">
        <v>100000</v>
      </c>
      <c r="S155" s="10">
        <v>230000</v>
      </c>
      <c r="T155" s="10"/>
      <c r="U155" s="11">
        <f t="shared" si="0"/>
        <v>1790000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5.75" customHeight="1">
      <c r="A156" s="8">
        <v>1193200803</v>
      </c>
      <c r="B156" s="8" t="s">
        <v>413</v>
      </c>
      <c r="C156" s="8" t="s">
        <v>414</v>
      </c>
      <c r="D156" s="9" t="s">
        <v>415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1">
        <f t="shared" si="0"/>
        <v>0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5.75" customHeight="1">
      <c r="A157" s="8">
        <v>1072925956</v>
      </c>
      <c r="B157" s="8" t="s">
        <v>416</v>
      </c>
      <c r="C157" s="8" t="s">
        <v>417</v>
      </c>
      <c r="D157" s="9" t="s">
        <v>418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1">
        <f t="shared" si="0"/>
        <v>0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5.75" customHeight="1">
      <c r="A158" s="12">
        <v>1013590840</v>
      </c>
      <c r="B158" s="12" t="s">
        <v>419</v>
      </c>
      <c r="C158" s="12" t="s">
        <v>420</v>
      </c>
      <c r="D158" s="13" t="s">
        <v>421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4"/>
      <c r="U158" s="11">
        <f t="shared" si="0"/>
        <v>0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5.75" customHeight="1">
      <c r="A159" s="8">
        <v>1000970493</v>
      </c>
      <c r="B159" s="8" t="s">
        <v>422</v>
      </c>
      <c r="C159" s="8" t="s">
        <v>423</v>
      </c>
      <c r="D159" s="9" t="s">
        <v>424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1">
        <f t="shared" si="0"/>
        <v>0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5.75" customHeight="1">
      <c r="A160" s="8">
        <v>1017247216</v>
      </c>
      <c r="B160" s="8" t="s">
        <v>425</v>
      </c>
      <c r="C160" s="8" t="s">
        <v>426</v>
      </c>
      <c r="D160" s="9" t="s">
        <v>412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1">
        <f t="shared" si="0"/>
        <v>0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5.75" customHeight="1">
      <c r="A161" s="8">
        <v>1022097476</v>
      </c>
      <c r="B161" s="8" t="s">
        <v>427</v>
      </c>
      <c r="C161" s="8" t="s">
        <v>428</v>
      </c>
      <c r="D161" s="9" t="s">
        <v>429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1">
        <f t="shared" si="0"/>
        <v>0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5.75" customHeight="1">
      <c r="A162" s="8">
        <v>1001723999</v>
      </c>
      <c r="B162" s="8" t="s">
        <v>430</v>
      </c>
      <c r="C162" s="8" t="s">
        <v>431</v>
      </c>
      <c r="D162" s="9" t="s">
        <v>432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1">
        <f t="shared" si="0"/>
        <v>0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5.75" customHeight="1">
      <c r="A163" s="8">
        <v>98712282</v>
      </c>
      <c r="B163" s="8" t="s">
        <v>433</v>
      </c>
      <c r="C163" s="8" t="s">
        <v>434</v>
      </c>
      <c r="D163" s="9" t="s">
        <v>435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1">
        <f t="shared" si="0"/>
        <v>0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15.75" customHeight="1">
      <c r="A164" s="8">
        <v>1001498036</v>
      </c>
      <c r="B164" s="8" t="s">
        <v>436</v>
      </c>
      <c r="C164" s="8" t="s">
        <v>437</v>
      </c>
      <c r="D164" s="9" t="s">
        <v>438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1">
        <f t="shared" si="0"/>
        <v>0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15.75" customHeight="1">
      <c r="A165" s="12">
        <v>1036338137</v>
      </c>
      <c r="B165" s="12" t="s">
        <v>439</v>
      </c>
      <c r="C165" s="12" t="s">
        <v>440</v>
      </c>
      <c r="D165" s="13" t="s">
        <v>441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4"/>
      <c r="U165" s="11">
        <f t="shared" si="0"/>
        <v>0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5.75" customHeight="1">
      <c r="A166" s="8">
        <v>1233903367</v>
      </c>
      <c r="B166" s="8" t="s">
        <v>442</v>
      </c>
      <c r="C166" s="8" t="s">
        <v>443</v>
      </c>
      <c r="D166" s="9" t="s">
        <v>444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1">
        <f t="shared" si="0"/>
        <v>0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5.75" customHeight="1">
      <c r="A167" s="8">
        <v>71531476</v>
      </c>
      <c r="B167" s="8" t="s">
        <v>445</v>
      </c>
      <c r="C167" s="8" t="s">
        <v>446</v>
      </c>
      <c r="D167" s="9" t="s">
        <v>447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1">
        <f t="shared" si="0"/>
        <v>0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5.75" customHeight="1">
      <c r="A168" s="12">
        <v>98595642</v>
      </c>
      <c r="B168" s="8" t="s">
        <v>448</v>
      </c>
      <c r="C168" s="8" t="s">
        <v>449</v>
      </c>
      <c r="D168" s="9" t="s">
        <v>450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1">
        <f t="shared" si="0"/>
        <v>0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5.75" customHeight="1">
      <c r="A169" s="8">
        <v>1023623791</v>
      </c>
      <c r="B169" s="8" t="s">
        <v>451</v>
      </c>
      <c r="C169" s="8" t="s">
        <v>452</v>
      </c>
      <c r="D169" s="9" t="s">
        <v>453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1">
        <f t="shared" si="0"/>
        <v>0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5.75" customHeight="1">
      <c r="A170" s="8">
        <v>4675021</v>
      </c>
      <c r="B170" s="8" t="s">
        <v>454</v>
      </c>
      <c r="C170" s="8" t="s">
        <v>455</v>
      </c>
      <c r="D170" s="9" t="s">
        <v>456</v>
      </c>
      <c r="E170" s="10">
        <v>90000</v>
      </c>
      <c r="F170" s="10">
        <v>110000</v>
      </c>
      <c r="G170" s="10">
        <v>200000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1">
        <f t="shared" si="0"/>
        <v>400000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5.75" customHeight="1">
      <c r="A171" s="12">
        <v>71777291</v>
      </c>
      <c r="B171" s="8" t="s">
        <v>457</v>
      </c>
      <c r="C171" s="8" t="s">
        <v>458</v>
      </c>
      <c r="D171" s="9" t="s">
        <v>459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1">
        <f t="shared" si="0"/>
        <v>0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15.75" customHeight="1">
      <c r="A172" s="8">
        <v>1110529239</v>
      </c>
      <c r="B172" s="8" t="s">
        <v>460</v>
      </c>
      <c r="C172" s="8" t="s">
        <v>461</v>
      </c>
      <c r="D172" s="9" t="s">
        <v>462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1">
        <f t="shared" si="0"/>
        <v>0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15.75" customHeight="1">
      <c r="A173" s="12">
        <v>1013342942</v>
      </c>
      <c r="B173" s="12" t="s">
        <v>463</v>
      </c>
      <c r="C173" s="12" t="s">
        <v>464</v>
      </c>
      <c r="D173" s="9" t="s">
        <v>465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4"/>
      <c r="U173" s="11">
        <f t="shared" si="0"/>
        <v>0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15.75" customHeight="1">
      <c r="A174" s="8">
        <v>1039468823</v>
      </c>
      <c r="B174" s="8" t="s">
        <v>466</v>
      </c>
      <c r="C174" s="8" t="s">
        <v>348</v>
      </c>
      <c r="D174" s="9" t="s">
        <v>467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1">
        <f t="shared" si="0"/>
        <v>0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15.75" customHeight="1">
      <c r="A175" s="12">
        <v>1152439934</v>
      </c>
      <c r="B175" s="12" t="s">
        <v>468</v>
      </c>
      <c r="C175" s="12" t="s">
        <v>469</v>
      </c>
      <c r="D175" s="13" t="s">
        <v>9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4"/>
      <c r="U175" s="11">
        <f t="shared" si="0"/>
        <v>0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15.75" customHeight="1">
      <c r="A176" s="8">
        <v>71220062</v>
      </c>
      <c r="B176" s="8" t="s">
        <v>470</v>
      </c>
      <c r="C176" s="8" t="s">
        <v>471</v>
      </c>
      <c r="D176" s="9" t="s">
        <v>472</v>
      </c>
      <c r="E176" s="10">
        <v>200000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1">
        <f t="shared" si="0"/>
        <v>200000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15.75" customHeight="1">
      <c r="A177" s="8">
        <v>1035918764</v>
      </c>
      <c r="B177" s="8" t="s">
        <v>470</v>
      </c>
      <c r="C177" s="8" t="s">
        <v>473</v>
      </c>
      <c r="D177" s="9" t="s">
        <v>474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1">
        <f t="shared" si="0"/>
        <v>0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15.75" customHeight="1">
      <c r="A178" s="8">
        <v>1007903409</v>
      </c>
      <c r="B178" s="8" t="s">
        <v>475</v>
      </c>
      <c r="C178" s="8" t="s">
        <v>476</v>
      </c>
      <c r="D178" s="9" t="s">
        <v>477</v>
      </c>
      <c r="E178" s="10">
        <v>90000</v>
      </c>
      <c r="F178" s="10">
        <v>80000</v>
      </c>
      <c r="G178" s="10">
        <v>80000</v>
      </c>
      <c r="H178" s="10">
        <v>90000</v>
      </c>
      <c r="I178" s="10">
        <v>80000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1">
        <f t="shared" si="0"/>
        <v>420000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15.75" customHeight="1">
      <c r="A179" s="12">
        <v>1023624226</v>
      </c>
      <c r="B179" s="12" t="s">
        <v>478</v>
      </c>
      <c r="C179" s="12" t="s">
        <v>479</v>
      </c>
      <c r="D179" s="13" t="s">
        <v>480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4"/>
      <c r="U179" s="11">
        <f t="shared" si="0"/>
        <v>0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15.75" customHeight="1">
      <c r="A180" s="8">
        <v>1020495465</v>
      </c>
      <c r="B180" s="8" t="s">
        <v>481</v>
      </c>
      <c r="C180" s="8" t="s">
        <v>482</v>
      </c>
      <c r="D180" s="9" t="s">
        <v>483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1">
        <f t="shared" si="0"/>
        <v>0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15.75" customHeight="1">
      <c r="A181" s="12">
        <v>1036660014</v>
      </c>
      <c r="B181" s="8" t="s">
        <v>481</v>
      </c>
      <c r="C181" s="8" t="s">
        <v>484</v>
      </c>
      <c r="D181" s="9" t="s">
        <v>485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1">
        <f t="shared" si="0"/>
        <v>0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15.75" customHeight="1">
      <c r="A182" s="8">
        <v>1017923438</v>
      </c>
      <c r="B182" s="8" t="s">
        <v>486</v>
      </c>
      <c r="C182" s="8" t="s">
        <v>487</v>
      </c>
      <c r="D182" s="9" t="s">
        <v>488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1">
        <f t="shared" si="0"/>
        <v>0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15.75" customHeight="1">
      <c r="A183" s="8">
        <v>1020108701</v>
      </c>
      <c r="B183" s="8" t="s">
        <v>486</v>
      </c>
      <c r="C183" s="8" t="s">
        <v>489</v>
      </c>
      <c r="D183" s="9" t="s">
        <v>490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1">
        <f t="shared" si="0"/>
        <v>0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15.75" customHeight="1">
      <c r="A184" s="8">
        <v>1017275193</v>
      </c>
      <c r="B184" s="8" t="s">
        <v>491</v>
      </c>
      <c r="C184" s="8" t="s">
        <v>492</v>
      </c>
      <c r="D184" s="9" t="s">
        <v>493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1">
        <f t="shared" si="0"/>
        <v>0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15.75" customHeight="1">
      <c r="A185" s="8">
        <v>1000089746</v>
      </c>
      <c r="B185" s="8" t="s">
        <v>494</v>
      </c>
      <c r="C185" s="8" t="s">
        <v>495</v>
      </c>
      <c r="D185" s="9" t="s">
        <v>496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1">
        <f t="shared" si="0"/>
        <v>0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15.75" customHeight="1">
      <c r="A186" s="8">
        <v>1000902161</v>
      </c>
      <c r="B186" s="8" t="s">
        <v>494</v>
      </c>
      <c r="C186" s="8" t="s">
        <v>497</v>
      </c>
      <c r="D186" s="9" t="s">
        <v>498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1">
        <f t="shared" si="0"/>
        <v>0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15.75" customHeight="1">
      <c r="A187" s="8">
        <v>1011511644</v>
      </c>
      <c r="B187" s="8" t="s">
        <v>494</v>
      </c>
      <c r="C187" s="8" t="s">
        <v>499</v>
      </c>
      <c r="D187" s="9" t="s">
        <v>500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1">
        <f t="shared" si="0"/>
        <v>0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5.75" customHeight="1">
      <c r="A188" s="8">
        <v>1032010053</v>
      </c>
      <c r="B188" s="8" t="s">
        <v>494</v>
      </c>
      <c r="C188" s="8" t="s">
        <v>501</v>
      </c>
      <c r="D188" s="9" t="s">
        <v>502</v>
      </c>
      <c r="E188" s="10">
        <v>150000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1">
        <f t="shared" si="0"/>
        <v>150000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5.75" customHeight="1">
      <c r="A189" s="8">
        <v>1041176022</v>
      </c>
      <c r="B189" s="8" t="s">
        <v>494</v>
      </c>
      <c r="C189" s="8" t="s">
        <v>503</v>
      </c>
      <c r="D189" s="9" t="s">
        <v>504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1">
        <f t="shared" si="0"/>
        <v>0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5.75" customHeight="1">
      <c r="A190" s="12">
        <v>1051955648</v>
      </c>
      <c r="B190" s="12" t="s">
        <v>494</v>
      </c>
      <c r="C190" s="12" t="s">
        <v>505</v>
      </c>
      <c r="D190" s="9" t="s">
        <v>506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4"/>
      <c r="U190" s="11">
        <f t="shared" si="0"/>
        <v>0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5.75" customHeight="1">
      <c r="A191" s="12">
        <v>1025890882</v>
      </c>
      <c r="B191" s="12" t="s">
        <v>507</v>
      </c>
      <c r="C191" s="12" t="s">
        <v>508</v>
      </c>
      <c r="D191" s="13" t="s">
        <v>509</v>
      </c>
      <c r="E191" s="10">
        <v>150000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4"/>
      <c r="U191" s="11">
        <f t="shared" si="0"/>
        <v>150000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5.75" customHeight="1">
      <c r="A192" s="12">
        <v>1036449523</v>
      </c>
      <c r="B192" s="12" t="s">
        <v>507</v>
      </c>
      <c r="C192" s="12" t="s">
        <v>510</v>
      </c>
      <c r="D192" s="9" t="s">
        <v>511</v>
      </c>
      <c r="E192" s="10">
        <v>150000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4"/>
      <c r="U192" s="11">
        <f t="shared" si="0"/>
        <v>150000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5.75" customHeight="1">
      <c r="A193" s="8">
        <v>1000393168</v>
      </c>
      <c r="B193" s="8" t="s">
        <v>512</v>
      </c>
      <c r="C193" s="8" t="s">
        <v>513</v>
      </c>
      <c r="D193" s="9" t="s">
        <v>514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1">
        <f t="shared" si="0"/>
        <v>0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5.75" customHeight="1">
      <c r="A194" s="8">
        <v>1000570845</v>
      </c>
      <c r="B194" s="8" t="s">
        <v>512</v>
      </c>
      <c r="C194" s="8" t="s">
        <v>515</v>
      </c>
      <c r="D194" s="9" t="s">
        <v>516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1">
        <f t="shared" si="0"/>
        <v>0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5.75" customHeight="1">
      <c r="A195" s="12">
        <v>1000662023</v>
      </c>
      <c r="B195" s="8" t="s">
        <v>512</v>
      </c>
      <c r="C195" s="8" t="s">
        <v>517</v>
      </c>
      <c r="D195" s="9" t="s">
        <v>518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1">
        <f t="shared" si="0"/>
        <v>0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5.75" customHeight="1">
      <c r="A196" s="8">
        <v>1001366552</v>
      </c>
      <c r="B196" s="8" t="s">
        <v>512</v>
      </c>
      <c r="C196" s="8" t="s">
        <v>519</v>
      </c>
      <c r="D196" s="9" t="s">
        <v>520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1">
        <f t="shared" si="0"/>
        <v>0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5.75" customHeight="1">
      <c r="A197" s="8">
        <v>1001748884</v>
      </c>
      <c r="B197" s="8" t="s">
        <v>512</v>
      </c>
      <c r="C197" s="8" t="s">
        <v>521</v>
      </c>
      <c r="D197" s="9" t="s">
        <v>522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1">
        <f t="shared" si="0"/>
        <v>0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5.75" customHeight="1">
      <c r="A198" s="8">
        <v>1007338290</v>
      </c>
      <c r="B198" s="8" t="s">
        <v>512</v>
      </c>
      <c r="C198" s="8" t="s">
        <v>523</v>
      </c>
      <c r="D198" s="9" t="s">
        <v>524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1">
        <f t="shared" si="0"/>
        <v>0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5.75" customHeight="1">
      <c r="A199" s="8">
        <v>1036785215</v>
      </c>
      <c r="B199" s="8" t="s">
        <v>512</v>
      </c>
      <c r="C199" s="8" t="s">
        <v>525</v>
      </c>
      <c r="D199" s="9" t="s">
        <v>526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1">
        <f t="shared" si="0"/>
        <v>0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5.75" customHeight="1">
      <c r="A200" s="8">
        <v>1040327628</v>
      </c>
      <c r="B200" s="8" t="s">
        <v>512</v>
      </c>
      <c r="C200" s="8" t="s">
        <v>527</v>
      </c>
      <c r="D200" s="9" t="s">
        <v>528</v>
      </c>
      <c r="E200" s="10">
        <v>150000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1">
        <f t="shared" si="0"/>
        <v>150000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5.75" customHeight="1">
      <c r="A201" s="8">
        <v>1216724894</v>
      </c>
      <c r="B201" s="8" t="s">
        <v>529</v>
      </c>
      <c r="C201" s="8" t="s">
        <v>530</v>
      </c>
      <c r="D201" s="9" t="s">
        <v>531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1">
        <f t="shared" si="0"/>
        <v>0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5.75" customHeight="1">
      <c r="A202" s="8">
        <v>1061820274</v>
      </c>
      <c r="B202" s="8" t="s">
        <v>532</v>
      </c>
      <c r="C202" s="8" t="s">
        <v>533</v>
      </c>
      <c r="D202" s="9" t="s">
        <v>534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1">
        <f t="shared" si="0"/>
        <v>0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5.75" customHeight="1">
      <c r="A203" s="8">
        <v>1000409369</v>
      </c>
      <c r="B203" s="8" t="s">
        <v>535</v>
      </c>
      <c r="C203" s="8" t="s">
        <v>536</v>
      </c>
      <c r="D203" s="9" t="s">
        <v>537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1">
        <f t="shared" si="0"/>
        <v>0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5.75" customHeight="1">
      <c r="A204" s="8">
        <v>1001235388</v>
      </c>
      <c r="B204" s="8" t="s">
        <v>535</v>
      </c>
      <c r="C204" s="8" t="s">
        <v>538</v>
      </c>
      <c r="D204" s="9" t="s">
        <v>539</v>
      </c>
      <c r="E204" s="10">
        <v>100000</v>
      </c>
      <c r="F204" s="10">
        <v>100000</v>
      </c>
      <c r="G204" s="10">
        <v>150000</v>
      </c>
      <c r="H204" s="10">
        <v>120000</v>
      </c>
      <c r="I204" s="10">
        <v>150000</v>
      </c>
      <c r="J204" s="10">
        <v>90000</v>
      </c>
      <c r="K204" s="10">
        <v>110000</v>
      </c>
      <c r="L204" s="10">
        <v>90000</v>
      </c>
      <c r="M204" s="10">
        <v>200000</v>
      </c>
      <c r="N204" s="10"/>
      <c r="O204" s="10"/>
      <c r="P204" s="10"/>
      <c r="Q204" s="10"/>
      <c r="R204" s="10"/>
      <c r="S204" s="10"/>
      <c r="T204" s="10"/>
      <c r="U204" s="11">
        <f t="shared" si="0"/>
        <v>1110000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5.75" customHeight="1">
      <c r="A205" s="8">
        <v>1007222380</v>
      </c>
      <c r="B205" s="8" t="s">
        <v>535</v>
      </c>
      <c r="C205" s="8" t="s">
        <v>540</v>
      </c>
      <c r="D205" s="9" t="s">
        <v>541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1">
        <f t="shared" si="0"/>
        <v>0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5.75" customHeight="1">
      <c r="A206" s="8">
        <v>1007321595</v>
      </c>
      <c r="B206" s="8" t="s">
        <v>535</v>
      </c>
      <c r="C206" s="8" t="s">
        <v>542</v>
      </c>
      <c r="D206" s="9" t="s">
        <v>543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1">
        <f t="shared" si="0"/>
        <v>0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15.75" customHeight="1">
      <c r="A207" s="8">
        <v>1017239415</v>
      </c>
      <c r="B207" s="8" t="s">
        <v>535</v>
      </c>
      <c r="C207" s="8" t="s">
        <v>544</v>
      </c>
      <c r="D207" s="9" t="s">
        <v>545</v>
      </c>
      <c r="E207" s="10">
        <v>90000</v>
      </c>
      <c r="F207" s="10">
        <v>100000</v>
      </c>
      <c r="G207" s="10">
        <v>200000</v>
      </c>
      <c r="H207" s="10">
        <v>90000</v>
      </c>
      <c r="I207" s="10">
        <v>150000</v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1">
        <f t="shared" si="0"/>
        <v>630000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15.75" customHeight="1">
      <c r="A208" s="8">
        <v>1034987368</v>
      </c>
      <c r="B208" s="8" t="s">
        <v>535</v>
      </c>
      <c r="C208" s="8" t="s">
        <v>546</v>
      </c>
      <c r="D208" s="9" t="s">
        <v>547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1">
        <f t="shared" si="0"/>
        <v>0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5.75" customHeight="1">
      <c r="A209" s="12">
        <v>1128434314</v>
      </c>
      <c r="B209" s="12" t="s">
        <v>535</v>
      </c>
      <c r="C209" s="12" t="s">
        <v>548</v>
      </c>
      <c r="D209" s="13" t="s">
        <v>549</v>
      </c>
      <c r="E209" s="10">
        <v>90000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4"/>
      <c r="U209" s="11">
        <f t="shared" si="0"/>
        <v>90000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5.75" customHeight="1">
      <c r="A210" s="12">
        <v>1017182984</v>
      </c>
      <c r="B210" s="12" t="s">
        <v>535</v>
      </c>
      <c r="C210" s="12" t="s">
        <v>550</v>
      </c>
      <c r="D210" s="9" t="s">
        <v>551</v>
      </c>
      <c r="E210" s="10">
        <v>150000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4"/>
      <c r="U210" s="11">
        <f t="shared" si="0"/>
        <v>150000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15.75" customHeight="1">
      <c r="A211" s="8">
        <v>1000654382</v>
      </c>
      <c r="B211" s="8" t="s">
        <v>552</v>
      </c>
      <c r="C211" s="8" t="s">
        <v>553</v>
      </c>
      <c r="D211" s="9" t="s">
        <v>239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1">
        <f t="shared" si="0"/>
        <v>0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5.75" customHeight="1">
      <c r="A212" s="12">
        <v>1045437950</v>
      </c>
      <c r="B212" s="8" t="s">
        <v>554</v>
      </c>
      <c r="C212" s="8" t="s">
        <v>555</v>
      </c>
      <c r="D212" s="9" t="s">
        <v>556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1">
        <f t="shared" si="0"/>
        <v>0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5.75" customHeight="1">
      <c r="A213" s="8">
        <v>1000752456</v>
      </c>
      <c r="B213" s="8" t="s">
        <v>557</v>
      </c>
      <c r="C213" s="8" t="s">
        <v>558</v>
      </c>
      <c r="D213" s="9" t="s">
        <v>559</v>
      </c>
      <c r="E213" s="10">
        <v>150000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1">
        <f t="shared" si="0"/>
        <v>150000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5.75" customHeight="1">
      <c r="A214" s="12">
        <v>1000644416</v>
      </c>
      <c r="B214" s="12" t="s">
        <v>557</v>
      </c>
      <c r="C214" s="12" t="s">
        <v>560</v>
      </c>
      <c r="D214" s="13" t="s">
        <v>9</v>
      </c>
      <c r="E214" s="10">
        <v>180000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4"/>
      <c r="U214" s="11">
        <f t="shared" si="0"/>
        <v>180000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5.75" customHeight="1">
      <c r="A215" s="12">
        <v>1077841835</v>
      </c>
      <c r="B215" s="12" t="s">
        <v>561</v>
      </c>
      <c r="C215" s="12" t="s">
        <v>562</v>
      </c>
      <c r="D215" s="9" t="s">
        <v>563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4"/>
      <c r="U215" s="11">
        <f t="shared" si="0"/>
        <v>0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5.75" customHeight="1">
      <c r="A216" s="12">
        <v>1006148577</v>
      </c>
      <c r="B216" s="8" t="s">
        <v>564</v>
      </c>
      <c r="C216" s="8" t="s">
        <v>565</v>
      </c>
      <c r="D216" s="9" t="s">
        <v>566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1">
        <f t="shared" si="0"/>
        <v>0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5.75" customHeight="1">
      <c r="A217" s="8">
        <v>1121936567</v>
      </c>
      <c r="B217" s="8" t="s">
        <v>567</v>
      </c>
      <c r="C217" s="8" t="s">
        <v>568</v>
      </c>
      <c r="D217" s="9" t="s">
        <v>569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1">
        <f t="shared" si="0"/>
        <v>0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5.75" customHeight="1">
      <c r="A218" s="8">
        <v>1000400004</v>
      </c>
      <c r="B218" s="8" t="s">
        <v>570</v>
      </c>
      <c r="C218" s="8" t="s">
        <v>571</v>
      </c>
      <c r="D218" s="9" t="s">
        <v>572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1">
        <f t="shared" si="0"/>
        <v>0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5.75" customHeight="1">
      <c r="A219" s="8">
        <v>1025885312</v>
      </c>
      <c r="B219" s="8" t="s">
        <v>573</v>
      </c>
      <c r="C219" s="8" t="s">
        <v>574</v>
      </c>
      <c r="D219" s="9" t="s">
        <v>575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1">
        <f t="shared" si="0"/>
        <v>0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5.75" customHeight="1">
      <c r="A220" s="8">
        <v>1005690654</v>
      </c>
      <c r="B220" s="8" t="s">
        <v>576</v>
      </c>
      <c r="C220" s="8" t="s">
        <v>287</v>
      </c>
      <c r="D220" s="9" t="s">
        <v>577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1">
        <f t="shared" si="0"/>
        <v>0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15.75" customHeight="1">
      <c r="A221" s="8">
        <v>1000535955</v>
      </c>
      <c r="B221" s="8" t="s">
        <v>578</v>
      </c>
      <c r="C221" s="8" t="s">
        <v>579</v>
      </c>
      <c r="D221" s="9" t="s">
        <v>580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1">
        <f t="shared" si="0"/>
        <v>0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5.75" customHeight="1">
      <c r="A222" s="12">
        <v>1193563070</v>
      </c>
      <c r="B222" s="12" t="s">
        <v>581</v>
      </c>
      <c r="C222" s="12" t="s">
        <v>582</v>
      </c>
      <c r="D222" s="13" t="s">
        <v>583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4"/>
      <c r="U222" s="11">
        <f t="shared" si="0"/>
        <v>0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5.75" customHeight="1">
      <c r="A223" s="8">
        <v>1126600886</v>
      </c>
      <c r="B223" s="8" t="s">
        <v>584</v>
      </c>
      <c r="C223" s="8" t="s">
        <v>585</v>
      </c>
      <c r="D223" s="9" t="s">
        <v>586</v>
      </c>
      <c r="E223" s="10">
        <v>90000</v>
      </c>
      <c r="F223" s="10">
        <v>80000</v>
      </c>
      <c r="G223" s="10">
        <v>80000</v>
      </c>
      <c r="H223" s="10">
        <v>150000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1">
        <f t="shared" si="0"/>
        <v>400000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5.75" customHeight="1">
      <c r="A224" s="12">
        <v>1039464712</v>
      </c>
      <c r="B224" s="12" t="s">
        <v>587</v>
      </c>
      <c r="C224" s="12" t="s">
        <v>588</v>
      </c>
      <c r="D224" s="13" t="s">
        <v>9</v>
      </c>
      <c r="E224" s="10">
        <v>100000</v>
      </c>
      <c r="F224" s="10">
        <v>120000</v>
      </c>
      <c r="G224" s="10">
        <v>120000</v>
      </c>
      <c r="H224" s="10">
        <v>120000</v>
      </c>
      <c r="I224" s="10">
        <v>150000</v>
      </c>
      <c r="J224" s="10">
        <v>150000</v>
      </c>
      <c r="K224" s="10">
        <v>120000</v>
      </c>
      <c r="L224" s="10">
        <v>90000</v>
      </c>
      <c r="M224" s="10">
        <v>90000</v>
      </c>
      <c r="N224" s="10"/>
      <c r="O224" s="10"/>
      <c r="P224" s="10"/>
      <c r="Q224" s="10"/>
      <c r="R224" s="10"/>
      <c r="S224" s="10"/>
      <c r="T224" s="14"/>
      <c r="U224" s="11">
        <f t="shared" si="0"/>
        <v>1060000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5.75" customHeight="1">
      <c r="A225" s="12">
        <v>1006385576</v>
      </c>
      <c r="B225" s="8" t="s">
        <v>589</v>
      </c>
      <c r="C225" s="8" t="s">
        <v>590</v>
      </c>
      <c r="D225" s="9" t="s">
        <v>591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1">
        <f t="shared" si="0"/>
        <v>0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5.75" customHeight="1">
      <c r="A226" s="8">
        <v>1000402259</v>
      </c>
      <c r="B226" s="8" t="s">
        <v>592</v>
      </c>
      <c r="C226" s="8" t="s">
        <v>593</v>
      </c>
      <c r="D226" s="9" t="s">
        <v>409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1">
        <f t="shared" si="0"/>
        <v>0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5.75" customHeight="1">
      <c r="A227" s="8">
        <v>1000871491</v>
      </c>
      <c r="B227" s="8" t="s">
        <v>594</v>
      </c>
      <c r="C227" s="8" t="s">
        <v>595</v>
      </c>
      <c r="D227" s="9" t="s">
        <v>402</v>
      </c>
      <c r="E227" s="10">
        <v>80000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1">
        <f t="shared" si="0"/>
        <v>80000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5.75" customHeight="1">
      <c r="A228" s="8">
        <v>1152222271</v>
      </c>
      <c r="B228" s="8" t="s">
        <v>596</v>
      </c>
      <c r="C228" s="8" t="s">
        <v>597</v>
      </c>
      <c r="D228" s="9" t="s">
        <v>598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1">
        <f t="shared" si="0"/>
        <v>0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5.75" customHeight="1">
      <c r="A229" s="8">
        <v>1113669720</v>
      </c>
      <c r="B229" s="8" t="s">
        <v>599</v>
      </c>
      <c r="C229" s="8" t="s">
        <v>600</v>
      </c>
      <c r="D229" s="9" t="s">
        <v>601</v>
      </c>
      <c r="E229" s="10">
        <v>90000</v>
      </c>
      <c r="F229" s="10">
        <v>90000</v>
      </c>
      <c r="G229" s="10">
        <v>90000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1">
        <f t="shared" si="0"/>
        <v>270000</v>
      </c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15.75" customHeight="1">
      <c r="A230" s="12">
        <v>1023629982</v>
      </c>
      <c r="B230" s="12" t="s">
        <v>602</v>
      </c>
      <c r="C230" s="12" t="s">
        <v>603</v>
      </c>
      <c r="D230" s="13" t="s">
        <v>9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4"/>
      <c r="U230" s="11">
        <f t="shared" si="0"/>
        <v>0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ht="15.75" customHeight="1">
      <c r="A231" s="12">
        <v>1038646042</v>
      </c>
      <c r="B231" s="12" t="s">
        <v>604</v>
      </c>
      <c r="C231" s="12" t="s">
        <v>605</v>
      </c>
      <c r="D231" s="9" t="s">
        <v>556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4"/>
      <c r="U231" s="11">
        <f t="shared" si="0"/>
        <v>0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ht="15.75" customHeight="1">
      <c r="A232" s="8">
        <v>1036448591</v>
      </c>
      <c r="B232" s="8" t="s">
        <v>606</v>
      </c>
      <c r="C232" s="8" t="s">
        <v>607</v>
      </c>
      <c r="D232" s="9" t="s">
        <v>608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1">
        <f t="shared" si="0"/>
        <v>0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5.75" customHeight="1">
      <c r="A233" s="12">
        <v>1000547492</v>
      </c>
      <c r="B233" s="8" t="s">
        <v>606</v>
      </c>
      <c r="C233" s="8" t="s">
        <v>609</v>
      </c>
      <c r="D233" s="9" t="s">
        <v>610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1">
        <f t="shared" si="0"/>
        <v>0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5.75" customHeight="1">
      <c r="A234" s="8">
        <v>1011510860</v>
      </c>
      <c r="B234" s="8" t="s">
        <v>606</v>
      </c>
      <c r="C234" s="8" t="s">
        <v>611</v>
      </c>
      <c r="D234" s="9" t="s">
        <v>612</v>
      </c>
      <c r="E234" s="10">
        <v>90000</v>
      </c>
      <c r="F234" s="10">
        <v>90000</v>
      </c>
      <c r="G234" s="10">
        <v>90000</v>
      </c>
      <c r="H234" s="10">
        <v>80000</v>
      </c>
      <c r="I234" s="10">
        <v>150000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1">
        <f t="shared" si="0"/>
        <v>500000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5.75" customHeight="1">
      <c r="A235" s="8">
        <v>1018232559</v>
      </c>
      <c r="B235" s="8" t="s">
        <v>606</v>
      </c>
      <c r="C235" s="8" t="s">
        <v>613</v>
      </c>
      <c r="D235" s="9" t="s">
        <v>614</v>
      </c>
      <c r="E235" s="10">
        <v>180000</v>
      </c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1">
        <f t="shared" si="0"/>
        <v>180000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5.75" customHeight="1">
      <c r="A236" s="12">
        <v>1001359480</v>
      </c>
      <c r="B236" s="12" t="s">
        <v>606</v>
      </c>
      <c r="C236" s="12" t="s">
        <v>615</v>
      </c>
      <c r="D236" s="13" t="s">
        <v>9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4"/>
      <c r="U236" s="11">
        <f t="shared" si="0"/>
        <v>0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5.75" customHeight="1">
      <c r="A237" s="8">
        <v>1000190302</v>
      </c>
      <c r="B237" s="8" t="s">
        <v>616</v>
      </c>
      <c r="C237" s="8" t="s">
        <v>617</v>
      </c>
      <c r="D237" s="9" t="s">
        <v>618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1">
        <f t="shared" si="0"/>
        <v>0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5.75" customHeight="1">
      <c r="A238" s="12">
        <v>1000772163</v>
      </c>
      <c r="B238" s="12" t="s">
        <v>619</v>
      </c>
      <c r="C238" s="12" t="s">
        <v>620</v>
      </c>
      <c r="D238" s="13" t="s">
        <v>621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4"/>
      <c r="U238" s="11">
        <f t="shared" si="0"/>
        <v>0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5.75" customHeight="1">
      <c r="A239" s="8">
        <v>1003005012</v>
      </c>
      <c r="B239" s="8" t="s">
        <v>622</v>
      </c>
      <c r="C239" s="8" t="s">
        <v>623</v>
      </c>
      <c r="D239" s="9" t="s">
        <v>624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1">
        <f t="shared" si="0"/>
        <v>0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5.75" customHeight="1">
      <c r="A240" s="12">
        <v>1066874901</v>
      </c>
      <c r="B240" s="12" t="s">
        <v>625</v>
      </c>
      <c r="C240" s="12" t="s">
        <v>626</v>
      </c>
      <c r="D240" s="9" t="s">
        <v>627</v>
      </c>
      <c r="E240" s="10">
        <v>80000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4"/>
      <c r="U240" s="11">
        <f t="shared" si="0"/>
        <v>80000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5.75" customHeight="1">
      <c r="A241" s="8">
        <v>1000602970</v>
      </c>
      <c r="B241" s="8" t="s">
        <v>628</v>
      </c>
      <c r="C241" s="8" t="s">
        <v>629</v>
      </c>
      <c r="D241" s="9" t="s">
        <v>630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1">
        <f t="shared" si="0"/>
        <v>0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ht="15.75" customHeight="1">
      <c r="A242" s="12">
        <v>1000872630</v>
      </c>
      <c r="B242" s="12" t="s">
        <v>631</v>
      </c>
      <c r="C242" s="12" t="s">
        <v>632</v>
      </c>
      <c r="D242" s="13" t="s">
        <v>633</v>
      </c>
      <c r="E242" s="10">
        <v>180000</v>
      </c>
      <c r="F242" s="10">
        <v>150000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4"/>
      <c r="U242" s="11">
        <f t="shared" si="0"/>
        <v>330000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ht="15.75" customHeight="1">
      <c r="A243" s="12">
        <v>1001229476</v>
      </c>
      <c r="B243" s="8" t="s">
        <v>634</v>
      </c>
      <c r="C243" s="8" t="s">
        <v>635</v>
      </c>
      <c r="D243" s="9" t="s">
        <v>636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1">
        <f t="shared" si="0"/>
        <v>0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5.75" customHeight="1">
      <c r="A244" s="8">
        <v>1003556965</v>
      </c>
      <c r="B244" s="8" t="s">
        <v>637</v>
      </c>
      <c r="C244" s="8" t="s">
        <v>638</v>
      </c>
      <c r="D244" s="9" t="s">
        <v>639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1">
        <f t="shared" si="0"/>
        <v>0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5.75" customHeight="1">
      <c r="A245" s="8">
        <v>1029580106</v>
      </c>
      <c r="B245" s="8" t="s">
        <v>637</v>
      </c>
      <c r="C245" s="8" t="s">
        <v>640</v>
      </c>
      <c r="D245" s="9" t="s">
        <v>424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1">
        <f t="shared" si="0"/>
        <v>0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5.75" customHeight="1">
      <c r="A246" s="12">
        <v>1128434548</v>
      </c>
      <c r="B246" s="12" t="s">
        <v>641</v>
      </c>
      <c r="C246" s="12" t="s">
        <v>642</v>
      </c>
      <c r="D246" s="13" t="s">
        <v>643</v>
      </c>
      <c r="E246" s="10">
        <v>80000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4"/>
      <c r="U246" s="11">
        <f t="shared" si="0"/>
        <v>80000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5.75" customHeight="1">
      <c r="A247" s="8">
        <v>1118571413</v>
      </c>
      <c r="B247" s="8" t="s">
        <v>644</v>
      </c>
      <c r="C247" s="8" t="s">
        <v>645</v>
      </c>
      <c r="D247" s="9" t="s">
        <v>646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1">
        <f t="shared" si="0"/>
        <v>0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5.75" customHeight="1">
      <c r="A248" s="8">
        <v>1045107358</v>
      </c>
      <c r="B248" s="8" t="s">
        <v>647</v>
      </c>
      <c r="C248" s="8" t="s">
        <v>648</v>
      </c>
      <c r="D248" s="9" t="s">
        <v>649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1">
        <f t="shared" si="0"/>
        <v>0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.75" customHeight="1">
      <c r="A249" s="8">
        <v>1032476055</v>
      </c>
      <c r="B249" s="8" t="s">
        <v>650</v>
      </c>
      <c r="C249" s="8" t="s">
        <v>651</v>
      </c>
      <c r="D249" s="9" t="s">
        <v>652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1">
        <f t="shared" si="0"/>
        <v>0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5.75" customHeight="1">
      <c r="A250" s="8">
        <v>1045113217</v>
      </c>
      <c r="B250" s="8" t="s">
        <v>653</v>
      </c>
      <c r="C250" s="8" t="s">
        <v>654</v>
      </c>
      <c r="D250" s="9" t="s">
        <v>655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1">
        <f t="shared" si="0"/>
        <v>0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5.75" customHeight="1">
      <c r="A251" s="12">
        <v>4365718</v>
      </c>
      <c r="B251" s="12" t="s">
        <v>656</v>
      </c>
      <c r="C251" s="12" t="s">
        <v>657</v>
      </c>
      <c r="D251" s="13" t="s">
        <v>9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4"/>
      <c r="U251" s="11">
        <f t="shared" si="0"/>
        <v>0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.75" customHeight="1">
      <c r="A252" s="8">
        <v>1216728020</v>
      </c>
      <c r="B252" s="8" t="s">
        <v>658</v>
      </c>
      <c r="C252" s="8" t="s">
        <v>53</v>
      </c>
      <c r="D252" s="9" t="s">
        <v>659</v>
      </c>
      <c r="E252" s="10">
        <v>90000</v>
      </c>
      <c r="F252" s="10">
        <v>90000</v>
      </c>
      <c r="G252" s="10">
        <v>90000</v>
      </c>
      <c r="H252" s="10">
        <v>90000</v>
      </c>
      <c r="I252" s="10">
        <v>200000</v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1">
        <f t="shared" si="0"/>
        <v>560000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5.75" customHeight="1">
      <c r="A253" s="8">
        <v>1046669597</v>
      </c>
      <c r="B253" s="8" t="s">
        <v>660</v>
      </c>
      <c r="C253" s="8" t="s">
        <v>661</v>
      </c>
      <c r="D253" s="9" t="s">
        <v>662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1">
        <f t="shared" si="0"/>
        <v>0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5.75" customHeight="1">
      <c r="A254" s="8">
        <v>1045050556</v>
      </c>
      <c r="B254" s="8" t="s">
        <v>663</v>
      </c>
      <c r="C254" s="8" t="s">
        <v>664</v>
      </c>
      <c r="D254" s="9" t="s">
        <v>665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1">
        <f t="shared" si="0"/>
        <v>0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5.75" customHeight="1">
      <c r="A255" s="8">
        <v>1036614144</v>
      </c>
      <c r="B255" s="8" t="s">
        <v>666</v>
      </c>
      <c r="C255" s="8" t="s">
        <v>667</v>
      </c>
      <c r="D255" s="9" t="s">
        <v>668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1">
        <f t="shared" si="0"/>
        <v>0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5.75" customHeight="1">
      <c r="A256" s="8">
        <v>1000085342</v>
      </c>
      <c r="B256" s="8" t="s">
        <v>669</v>
      </c>
      <c r="C256" s="8" t="s">
        <v>670</v>
      </c>
      <c r="D256" s="9" t="s">
        <v>671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1">
        <f t="shared" si="0"/>
        <v>0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.75" customHeight="1">
      <c r="A257" s="12">
        <v>1110295818</v>
      </c>
      <c r="B257" s="12" t="s">
        <v>672</v>
      </c>
      <c r="C257" s="12" t="s">
        <v>673</v>
      </c>
      <c r="D257" s="13" t="s">
        <v>674</v>
      </c>
      <c r="E257" s="10">
        <v>180000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4"/>
      <c r="U257" s="11">
        <f t="shared" si="0"/>
        <v>180000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5.75" customHeight="1">
      <c r="A258" s="12">
        <v>1036681575</v>
      </c>
      <c r="B258" s="12" t="s">
        <v>675</v>
      </c>
      <c r="C258" s="12" t="s">
        <v>676</v>
      </c>
      <c r="D258" s="13" t="s">
        <v>9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4"/>
      <c r="U258" s="11">
        <f t="shared" ref="U258:U512" si="1">SUM(E258:T258)</f>
        <v>0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5.75" customHeight="1">
      <c r="A259" s="8">
        <v>1020399600</v>
      </c>
      <c r="B259" s="8" t="s">
        <v>677</v>
      </c>
      <c r="C259" s="8" t="s">
        <v>678</v>
      </c>
      <c r="D259" s="9" t="s">
        <v>679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1">
        <f t="shared" si="1"/>
        <v>0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.75" customHeight="1">
      <c r="A260" s="12">
        <v>49789412</v>
      </c>
      <c r="B260" s="12" t="s">
        <v>680</v>
      </c>
      <c r="C260" s="12" t="s">
        <v>681</v>
      </c>
      <c r="D260" s="9" t="s">
        <v>598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4"/>
      <c r="U260" s="11">
        <f t="shared" si="1"/>
        <v>0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.75" customHeight="1">
      <c r="A261" s="12">
        <v>1020499916</v>
      </c>
      <c r="B261" s="12" t="s">
        <v>682</v>
      </c>
      <c r="C261" s="12" t="s">
        <v>683</v>
      </c>
      <c r="D261" s="13" t="s">
        <v>684</v>
      </c>
      <c r="E261" s="10">
        <v>80000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4"/>
      <c r="U261" s="11">
        <f t="shared" si="1"/>
        <v>80000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5.75" customHeight="1">
      <c r="A262" s="8">
        <v>1034986316</v>
      </c>
      <c r="B262" s="8" t="s">
        <v>685</v>
      </c>
      <c r="C262" s="8" t="s">
        <v>686</v>
      </c>
      <c r="D262" s="9" t="s">
        <v>687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1">
        <f t="shared" si="1"/>
        <v>0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5.75" customHeight="1">
      <c r="A263" s="12">
        <v>43272593</v>
      </c>
      <c r="B263" s="8" t="s">
        <v>688</v>
      </c>
      <c r="C263" s="8" t="s">
        <v>689</v>
      </c>
      <c r="D263" s="9" t="s">
        <v>690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1">
        <f t="shared" si="1"/>
        <v>0</v>
      </c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5.75" customHeight="1">
      <c r="A264" s="8">
        <v>1036598655</v>
      </c>
      <c r="B264" s="8" t="s">
        <v>688</v>
      </c>
      <c r="C264" s="8" t="s">
        <v>691</v>
      </c>
      <c r="D264" s="9" t="s">
        <v>692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1">
        <f t="shared" si="1"/>
        <v>0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5.75" customHeight="1">
      <c r="A265" s="8">
        <v>1152212652</v>
      </c>
      <c r="B265" s="8" t="s">
        <v>693</v>
      </c>
      <c r="C265" s="8" t="s">
        <v>694</v>
      </c>
      <c r="D265" s="9" t="s">
        <v>695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1">
        <f t="shared" si="1"/>
        <v>0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5.75" customHeight="1">
      <c r="A266" s="8">
        <v>1000207920</v>
      </c>
      <c r="B266" s="8" t="s">
        <v>696</v>
      </c>
      <c r="C266" s="8" t="s">
        <v>697</v>
      </c>
      <c r="D266" s="9" t="s">
        <v>418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1">
        <f t="shared" si="1"/>
        <v>0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5.75" customHeight="1">
      <c r="A267" s="8">
        <v>1017219589</v>
      </c>
      <c r="B267" s="8" t="s">
        <v>698</v>
      </c>
      <c r="C267" s="8" t="s">
        <v>699</v>
      </c>
      <c r="D267" s="9" t="s">
        <v>700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1">
        <f t="shared" si="1"/>
        <v>0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5.75" customHeight="1">
      <c r="A268" s="8">
        <v>1193597565</v>
      </c>
      <c r="B268" s="8" t="s">
        <v>701</v>
      </c>
      <c r="C268" s="8" t="s">
        <v>702</v>
      </c>
      <c r="D268" s="9" t="s">
        <v>703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1">
        <f t="shared" si="1"/>
        <v>0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5.75" customHeight="1">
      <c r="A269" s="8">
        <v>1152457708</v>
      </c>
      <c r="B269" s="8" t="s">
        <v>704</v>
      </c>
      <c r="C269" s="8" t="s">
        <v>705</v>
      </c>
      <c r="D269" s="9" t="s">
        <v>706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1">
        <f t="shared" si="1"/>
        <v>0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5.75" customHeight="1">
      <c r="A270" s="8">
        <v>1017197109</v>
      </c>
      <c r="B270" s="8" t="s">
        <v>707</v>
      </c>
      <c r="C270" s="8" t="s">
        <v>708</v>
      </c>
      <c r="D270" s="9" t="s">
        <v>709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1">
        <f t="shared" si="1"/>
        <v>0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5.75" customHeight="1">
      <c r="A271" s="8">
        <v>1002061230</v>
      </c>
      <c r="B271" s="8" t="s">
        <v>710</v>
      </c>
      <c r="C271" s="8" t="s">
        <v>711</v>
      </c>
      <c r="D271" s="9" t="s">
        <v>76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1">
        <f t="shared" si="1"/>
        <v>0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5.75" customHeight="1">
      <c r="A272" s="8">
        <v>15490976</v>
      </c>
      <c r="B272" s="8" t="s">
        <v>712</v>
      </c>
      <c r="C272" s="8" t="s">
        <v>713</v>
      </c>
      <c r="D272" s="9" t="s">
        <v>714</v>
      </c>
      <c r="E272" s="10">
        <v>200000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1">
        <f t="shared" si="1"/>
        <v>200000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5.75" customHeight="1">
      <c r="A273" s="12">
        <v>1152696492</v>
      </c>
      <c r="B273" s="12" t="s">
        <v>715</v>
      </c>
      <c r="C273" s="12" t="s">
        <v>648</v>
      </c>
      <c r="D273" s="13" t="s">
        <v>716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4"/>
      <c r="U273" s="11">
        <f t="shared" si="1"/>
        <v>0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5.75" customHeight="1">
      <c r="A274" s="8">
        <v>1040730543</v>
      </c>
      <c r="B274" s="8" t="s">
        <v>717</v>
      </c>
      <c r="C274" s="8" t="s">
        <v>718</v>
      </c>
      <c r="D274" s="9" t="s">
        <v>719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1">
        <f t="shared" si="1"/>
        <v>0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5.75" customHeight="1">
      <c r="A275" s="12">
        <v>1037636088</v>
      </c>
      <c r="B275" s="12" t="s">
        <v>720</v>
      </c>
      <c r="C275" s="12" t="s">
        <v>721</v>
      </c>
      <c r="D275" s="9" t="s">
        <v>722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4"/>
      <c r="U275" s="11">
        <f t="shared" si="1"/>
        <v>0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5.75" customHeight="1">
      <c r="A276" s="8">
        <v>1007452010</v>
      </c>
      <c r="B276" s="8" t="s">
        <v>723</v>
      </c>
      <c r="C276" s="8" t="s">
        <v>724</v>
      </c>
      <c r="D276" s="9" t="s">
        <v>412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1">
        <f t="shared" si="1"/>
        <v>0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5.75" customHeight="1">
      <c r="A277" s="8">
        <v>1035421934</v>
      </c>
      <c r="B277" s="8" t="s">
        <v>723</v>
      </c>
      <c r="C277" s="8" t="s">
        <v>725</v>
      </c>
      <c r="D277" s="9" t="s">
        <v>726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1">
        <f t="shared" si="1"/>
        <v>0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5.75" customHeight="1">
      <c r="A278" s="8">
        <v>1036640370</v>
      </c>
      <c r="B278" s="8" t="s">
        <v>723</v>
      </c>
      <c r="C278" s="8" t="s">
        <v>727</v>
      </c>
      <c r="D278" s="9" t="s">
        <v>728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1">
        <f t="shared" si="1"/>
        <v>0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5.75" customHeight="1">
      <c r="A279" s="12">
        <v>1152466377</v>
      </c>
      <c r="B279" s="8" t="s">
        <v>723</v>
      </c>
      <c r="C279" s="8" t="s">
        <v>729</v>
      </c>
      <c r="D279" s="9" t="s">
        <v>730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1">
        <f t="shared" si="1"/>
        <v>0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5.75" customHeight="1">
      <c r="A280" s="12">
        <v>1000761314</v>
      </c>
      <c r="B280" s="12" t="s">
        <v>723</v>
      </c>
      <c r="C280" s="12" t="s">
        <v>731</v>
      </c>
      <c r="D280" s="9" t="s">
        <v>732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4"/>
      <c r="U280" s="11">
        <f t="shared" si="1"/>
        <v>0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5.75" customHeight="1">
      <c r="A281" s="8">
        <v>1001390465</v>
      </c>
      <c r="B281" s="8" t="s">
        <v>733</v>
      </c>
      <c r="C281" s="8" t="s">
        <v>734</v>
      </c>
      <c r="D281" s="9" t="s">
        <v>735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1">
        <f t="shared" si="1"/>
        <v>0</v>
      </c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5.75" customHeight="1">
      <c r="A282" s="8">
        <v>1025641366</v>
      </c>
      <c r="B282" s="8" t="s">
        <v>733</v>
      </c>
      <c r="C282" s="8" t="s">
        <v>736</v>
      </c>
      <c r="D282" s="9" t="s">
        <v>737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1">
        <f t="shared" si="1"/>
        <v>0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5.75" customHeight="1">
      <c r="A283" s="8">
        <v>1092455217</v>
      </c>
      <c r="B283" s="8" t="s">
        <v>738</v>
      </c>
      <c r="C283" s="8" t="s">
        <v>739</v>
      </c>
      <c r="D283" s="9" t="s">
        <v>740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1">
        <f t="shared" si="1"/>
        <v>0</v>
      </c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5.75" customHeight="1">
      <c r="A284" s="12">
        <v>1111342117</v>
      </c>
      <c r="B284" s="8" t="s">
        <v>741</v>
      </c>
      <c r="C284" s="8" t="s">
        <v>742</v>
      </c>
      <c r="D284" s="9" t="s">
        <v>459</v>
      </c>
      <c r="E284" s="10">
        <v>80000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1">
        <f t="shared" si="1"/>
        <v>80000</v>
      </c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5.75" customHeight="1">
      <c r="A285" s="8">
        <v>1000088364</v>
      </c>
      <c r="B285" s="8" t="s">
        <v>743</v>
      </c>
      <c r="C285" s="8" t="s">
        <v>744</v>
      </c>
      <c r="D285" s="9" t="s">
        <v>745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1">
        <f t="shared" si="1"/>
        <v>0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5.75" customHeight="1">
      <c r="A286" s="8">
        <v>1001139385</v>
      </c>
      <c r="B286" s="8" t="s">
        <v>743</v>
      </c>
      <c r="C286" s="8" t="s">
        <v>746</v>
      </c>
      <c r="D286" s="9" t="s">
        <v>747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1">
        <f t="shared" si="1"/>
        <v>0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5.75" customHeight="1">
      <c r="A287" s="8">
        <v>1015071133</v>
      </c>
      <c r="B287" s="8" t="s">
        <v>743</v>
      </c>
      <c r="C287" s="8" t="s">
        <v>748</v>
      </c>
      <c r="D287" s="9" t="s">
        <v>749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1">
        <f t="shared" si="1"/>
        <v>0</v>
      </c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5.75" customHeight="1">
      <c r="A288" s="8">
        <v>1018225042</v>
      </c>
      <c r="B288" s="8" t="s">
        <v>743</v>
      </c>
      <c r="C288" s="8" t="s">
        <v>750</v>
      </c>
      <c r="D288" s="9" t="s">
        <v>751</v>
      </c>
      <c r="E288" s="10">
        <v>80000</v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1">
        <f t="shared" si="1"/>
        <v>80000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5.75" customHeight="1">
      <c r="A289" s="12">
        <v>1000639939</v>
      </c>
      <c r="B289" s="12" t="s">
        <v>743</v>
      </c>
      <c r="C289" s="12" t="s">
        <v>691</v>
      </c>
      <c r="D289" s="9" t="s">
        <v>752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4"/>
      <c r="U289" s="11">
        <f t="shared" si="1"/>
        <v>0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5.75" customHeight="1">
      <c r="A290" s="8">
        <v>43915171</v>
      </c>
      <c r="B290" s="8" t="s">
        <v>753</v>
      </c>
      <c r="C290" s="8" t="s">
        <v>754</v>
      </c>
      <c r="D290" s="9" t="s">
        <v>755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1">
        <f t="shared" si="1"/>
        <v>0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5.75" customHeight="1">
      <c r="A291" s="12">
        <v>1036962511</v>
      </c>
      <c r="B291" s="12" t="s">
        <v>756</v>
      </c>
      <c r="C291" s="12" t="s">
        <v>757</v>
      </c>
      <c r="D291" s="9" t="s">
        <v>758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4"/>
      <c r="U291" s="11">
        <f t="shared" si="1"/>
        <v>0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5.75" customHeight="1">
      <c r="A292" s="8">
        <v>1004367322</v>
      </c>
      <c r="B292" s="8" t="s">
        <v>759</v>
      </c>
      <c r="C292" s="8" t="s">
        <v>760</v>
      </c>
      <c r="D292" s="9" t="s">
        <v>761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1">
        <f t="shared" si="1"/>
        <v>0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5.75" customHeight="1">
      <c r="A293" s="8">
        <v>1015067234</v>
      </c>
      <c r="B293" s="8" t="s">
        <v>759</v>
      </c>
      <c r="C293" s="8" t="s">
        <v>762</v>
      </c>
      <c r="D293" s="9" t="s">
        <v>184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1">
        <f t="shared" si="1"/>
        <v>0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5.75" customHeight="1">
      <c r="A294" s="8">
        <v>1037622755</v>
      </c>
      <c r="B294" s="8" t="s">
        <v>759</v>
      </c>
      <c r="C294" s="8" t="s">
        <v>763</v>
      </c>
      <c r="D294" s="9" t="s">
        <v>462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1">
        <f t="shared" si="1"/>
        <v>0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5.75" customHeight="1">
      <c r="A295" s="8">
        <v>1000294675</v>
      </c>
      <c r="B295" s="8" t="s">
        <v>764</v>
      </c>
      <c r="C295" s="8" t="s">
        <v>765</v>
      </c>
      <c r="D295" s="9" t="s">
        <v>766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1">
        <f t="shared" si="1"/>
        <v>0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5.75" customHeight="1">
      <c r="A296" s="8">
        <v>1000537543</v>
      </c>
      <c r="B296" s="8" t="s">
        <v>764</v>
      </c>
      <c r="C296" s="8" t="s">
        <v>767</v>
      </c>
      <c r="D296" s="9" t="s">
        <v>768</v>
      </c>
      <c r="E296" s="10">
        <v>90000</v>
      </c>
      <c r="F296" s="10">
        <v>90000</v>
      </c>
      <c r="G296" s="10">
        <v>100000</v>
      </c>
      <c r="H296" s="10">
        <v>90000</v>
      </c>
      <c r="I296" s="10">
        <v>90000</v>
      </c>
      <c r="J296" s="10">
        <v>90000</v>
      </c>
      <c r="K296" s="10">
        <v>90000</v>
      </c>
      <c r="L296" s="10">
        <v>90000</v>
      </c>
      <c r="M296" s="10">
        <v>90000</v>
      </c>
      <c r="N296" s="10"/>
      <c r="O296" s="10"/>
      <c r="P296" s="10"/>
      <c r="Q296" s="10"/>
      <c r="R296" s="10"/>
      <c r="S296" s="10"/>
      <c r="T296" s="10"/>
      <c r="U296" s="11">
        <f t="shared" si="1"/>
        <v>820000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5.75" customHeight="1">
      <c r="A297" s="8">
        <v>1000901892</v>
      </c>
      <c r="B297" s="8" t="s">
        <v>764</v>
      </c>
      <c r="C297" s="8" t="s">
        <v>769</v>
      </c>
      <c r="D297" s="9" t="s">
        <v>332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1">
        <f t="shared" si="1"/>
        <v>0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5.75" customHeight="1">
      <c r="A298" s="8">
        <v>1011392507</v>
      </c>
      <c r="B298" s="8" t="s">
        <v>764</v>
      </c>
      <c r="C298" s="8" t="s">
        <v>770</v>
      </c>
      <c r="D298" s="9" t="s">
        <v>338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1">
        <f t="shared" si="1"/>
        <v>0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5.75" customHeight="1">
      <c r="A299" s="8">
        <v>1017262529</v>
      </c>
      <c r="B299" s="8" t="s">
        <v>764</v>
      </c>
      <c r="C299" s="8" t="s">
        <v>771</v>
      </c>
      <c r="D299" s="9" t="s">
        <v>291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1">
        <f t="shared" si="1"/>
        <v>0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5.75" customHeight="1">
      <c r="A300" s="8">
        <v>1017273119</v>
      </c>
      <c r="B300" s="8" t="s">
        <v>764</v>
      </c>
      <c r="C300" s="8" t="s">
        <v>772</v>
      </c>
      <c r="D300" s="9" t="s">
        <v>376</v>
      </c>
      <c r="E300" s="10">
        <v>90000</v>
      </c>
      <c r="F300" s="10">
        <v>90000</v>
      </c>
      <c r="G300" s="10">
        <v>90000</v>
      </c>
      <c r="H300" s="10">
        <v>200000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1">
        <f t="shared" si="1"/>
        <v>470000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5.75" customHeight="1">
      <c r="A301" s="8">
        <v>1020477069</v>
      </c>
      <c r="B301" s="8" t="s">
        <v>764</v>
      </c>
      <c r="C301" s="8" t="s">
        <v>773</v>
      </c>
      <c r="D301" s="9" t="s">
        <v>228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1">
        <f t="shared" si="1"/>
        <v>0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5.75" customHeight="1">
      <c r="A302" s="8">
        <v>1025885614</v>
      </c>
      <c r="B302" s="8" t="s">
        <v>774</v>
      </c>
      <c r="C302" s="8" t="s">
        <v>497</v>
      </c>
      <c r="D302" s="9" t="s">
        <v>775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1">
        <f t="shared" si="1"/>
        <v>0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5.75" customHeight="1">
      <c r="A303" s="8">
        <v>1128429740</v>
      </c>
      <c r="B303" s="8" t="s">
        <v>776</v>
      </c>
      <c r="C303" s="8" t="s">
        <v>777</v>
      </c>
      <c r="D303" s="9" t="s">
        <v>341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1">
        <f t="shared" si="1"/>
        <v>0</v>
      </c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5.75" customHeight="1">
      <c r="A304" s="12">
        <v>1000549072</v>
      </c>
      <c r="B304" s="12" t="s">
        <v>778</v>
      </c>
      <c r="C304" s="12" t="s">
        <v>779</v>
      </c>
      <c r="D304" s="13" t="s">
        <v>780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4"/>
      <c r="U304" s="11">
        <f t="shared" si="1"/>
        <v>0</v>
      </c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5.75" customHeight="1">
      <c r="A305" s="12">
        <v>1000364018</v>
      </c>
      <c r="B305" s="12" t="s">
        <v>778</v>
      </c>
      <c r="C305" s="12" t="s">
        <v>781</v>
      </c>
      <c r="D305" s="13" t="s">
        <v>782</v>
      </c>
      <c r="E305" s="10">
        <v>180000</v>
      </c>
      <c r="F305" s="10">
        <v>150000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4"/>
      <c r="U305" s="11">
        <f t="shared" si="1"/>
        <v>330000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5.75" customHeight="1">
      <c r="A306" s="8">
        <v>1000294604</v>
      </c>
      <c r="B306" s="8" t="s">
        <v>783</v>
      </c>
      <c r="C306" s="8" t="s">
        <v>784</v>
      </c>
      <c r="D306" s="9" t="s">
        <v>785</v>
      </c>
      <c r="E306" s="10">
        <v>80000</v>
      </c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1">
        <f t="shared" si="1"/>
        <v>80000</v>
      </c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5.75" customHeight="1">
      <c r="A307" s="8">
        <v>1037641294</v>
      </c>
      <c r="B307" s="8" t="s">
        <v>783</v>
      </c>
      <c r="C307" s="8" t="s">
        <v>786</v>
      </c>
      <c r="D307" s="9" t="s">
        <v>258</v>
      </c>
      <c r="E307" s="10">
        <v>90000</v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1">
        <f t="shared" si="1"/>
        <v>90000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5.75" customHeight="1">
      <c r="A308" s="12">
        <v>1018223553</v>
      </c>
      <c r="B308" s="8" t="s">
        <v>787</v>
      </c>
      <c r="C308" s="8" t="s">
        <v>788</v>
      </c>
      <c r="D308" s="9" t="s">
        <v>789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1">
        <f t="shared" si="1"/>
        <v>0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5.75" customHeight="1">
      <c r="A309" s="8">
        <v>1000662143</v>
      </c>
      <c r="B309" s="8" t="s">
        <v>790</v>
      </c>
      <c r="C309" s="8" t="s">
        <v>791</v>
      </c>
      <c r="D309" s="9" t="s">
        <v>270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1">
        <f t="shared" si="1"/>
        <v>0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5.75" customHeight="1">
      <c r="A310" s="12">
        <v>1007523997</v>
      </c>
      <c r="B310" s="8" t="s">
        <v>792</v>
      </c>
      <c r="C310" s="8" t="s">
        <v>793</v>
      </c>
      <c r="D310" s="9" t="s">
        <v>193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1">
        <f t="shared" si="1"/>
        <v>0</v>
      </c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5.75" customHeight="1">
      <c r="A311" s="12">
        <v>1005297235</v>
      </c>
      <c r="B311" s="12" t="s">
        <v>794</v>
      </c>
      <c r="C311" s="12" t="s">
        <v>795</v>
      </c>
      <c r="D311" s="9" t="s">
        <v>740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4"/>
      <c r="U311" s="11">
        <f t="shared" si="1"/>
        <v>0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5.75" customHeight="1">
      <c r="A312" s="8">
        <v>1020311451</v>
      </c>
      <c r="B312" s="8" t="s">
        <v>796</v>
      </c>
      <c r="C312" s="8" t="s">
        <v>797</v>
      </c>
      <c r="D312" s="9" t="s">
        <v>798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1">
        <f t="shared" si="1"/>
        <v>0</v>
      </c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5.75" customHeight="1">
      <c r="A313" s="12">
        <v>43555911</v>
      </c>
      <c r="B313" s="8" t="s">
        <v>799</v>
      </c>
      <c r="C313" s="8" t="s">
        <v>800</v>
      </c>
      <c r="D313" s="9" t="s">
        <v>520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1">
        <f t="shared" si="1"/>
        <v>0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5.75" customHeight="1">
      <c r="A314" s="8">
        <v>1040327404</v>
      </c>
      <c r="B314" s="8" t="s">
        <v>801</v>
      </c>
      <c r="C314" s="8" t="s">
        <v>802</v>
      </c>
      <c r="D314" s="9" t="s">
        <v>737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1">
        <f t="shared" si="1"/>
        <v>0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5.75" customHeight="1">
      <c r="A315" s="8">
        <v>1025881280</v>
      </c>
      <c r="B315" s="8" t="s">
        <v>803</v>
      </c>
      <c r="C315" s="8" t="s">
        <v>804</v>
      </c>
      <c r="D315" s="9" t="s">
        <v>700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1">
        <f t="shared" si="1"/>
        <v>0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5.75" customHeight="1">
      <c r="A316" s="8">
        <v>1000191310</v>
      </c>
      <c r="B316" s="8" t="s">
        <v>805</v>
      </c>
      <c r="C316" s="8" t="s">
        <v>806</v>
      </c>
      <c r="D316" s="9" t="s">
        <v>807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1">
        <f t="shared" si="1"/>
        <v>0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5.75" customHeight="1">
      <c r="A317" s="8">
        <v>1000662269</v>
      </c>
      <c r="B317" s="8" t="s">
        <v>805</v>
      </c>
      <c r="C317" s="8" t="s">
        <v>808</v>
      </c>
      <c r="D317" s="9" t="s">
        <v>809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1">
        <f t="shared" si="1"/>
        <v>0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5.75" customHeight="1">
      <c r="A318" s="8">
        <v>1017925524</v>
      </c>
      <c r="B318" s="8" t="s">
        <v>805</v>
      </c>
      <c r="C318" s="8" t="s">
        <v>810</v>
      </c>
      <c r="D318" s="9" t="s">
        <v>811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1">
        <f t="shared" si="1"/>
        <v>0</v>
      </c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5.75" customHeight="1">
      <c r="A319" s="8">
        <v>1025887107</v>
      </c>
      <c r="B319" s="8" t="s">
        <v>805</v>
      </c>
      <c r="C319" s="8" t="s">
        <v>812</v>
      </c>
      <c r="D319" s="9" t="s">
        <v>813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1">
        <f t="shared" si="1"/>
        <v>0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5.75" customHeight="1">
      <c r="A320" s="8">
        <v>1025890942</v>
      </c>
      <c r="B320" s="8" t="s">
        <v>805</v>
      </c>
      <c r="C320" s="8" t="s">
        <v>814</v>
      </c>
      <c r="D320" s="9" t="s">
        <v>526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1">
        <f t="shared" si="1"/>
        <v>0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5.75" customHeight="1">
      <c r="A321" s="12">
        <v>1193520287</v>
      </c>
      <c r="B321" s="8" t="s">
        <v>805</v>
      </c>
      <c r="C321" s="8" t="s">
        <v>815</v>
      </c>
      <c r="D321" s="9" t="s">
        <v>816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1">
        <f t="shared" si="1"/>
        <v>0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5.75" customHeight="1">
      <c r="A322" s="12">
        <v>1027803310</v>
      </c>
      <c r="B322" s="12" t="s">
        <v>805</v>
      </c>
      <c r="C322" s="12" t="s">
        <v>817</v>
      </c>
      <c r="D322" s="9" t="s">
        <v>541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4"/>
      <c r="U322" s="11">
        <f t="shared" si="1"/>
        <v>0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5.75" customHeight="1">
      <c r="A323" s="12">
        <v>1031940424</v>
      </c>
      <c r="B323" s="12" t="s">
        <v>805</v>
      </c>
      <c r="C323" s="12" t="s">
        <v>613</v>
      </c>
      <c r="D323" s="9" t="s">
        <v>818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4"/>
      <c r="U323" s="11">
        <f t="shared" si="1"/>
        <v>0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5.75" customHeight="1">
      <c r="A324" s="8">
        <v>1010159183</v>
      </c>
      <c r="B324" s="8" t="s">
        <v>819</v>
      </c>
      <c r="C324" s="8" t="s">
        <v>820</v>
      </c>
      <c r="D324" s="9" t="s">
        <v>124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1">
        <f t="shared" si="1"/>
        <v>0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5.75" customHeight="1">
      <c r="A325" s="8">
        <v>1036601299</v>
      </c>
      <c r="B325" s="8" t="s">
        <v>819</v>
      </c>
      <c r="C325" s="8" t="s">
        <v>821</v>
      </c>
      <c r="D325" s="9" t="s">
        <v>156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1">
        <f t="shared" si="1"/>
        <v>0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ht="15.75" customHeight="1">
      <c r="A326" s="8">
        <v>1128439079</v>
      </c>
      <c r="B326" s="8" t="s">
        <v>822</v>
      </c>
      <c r="C326" s="8" t="s">
        <v>823</v>
      </c>
      <c r="D326" s="9" t="s">
        <v>186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1">
        <f t="shared" si="1"/>
        <v>0</v>
      </c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ht="15.75" customHeight="1">
      <c r="A327" s="8">
        <v>1104872597</v>
      </c>
      <c r="B327" s="8" t="s">
        <v>824</v>
      </c>
      <c r="C327" s="8" t="s">
        <v>825</v>
      </c>
      <c r="D327" s="9" t="s">
        <v>826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1">
        <f t="shared" si="1"/>
        <v>0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ht="15.75" customHeight="1">
      <c r="A328" s="8">
        <v>43155821</v>
      </c>
      <c r="B328" s="8" t="s">
        <v>827</v>
      </c>
      <c r="C328" s="8" t="s">
        <v>828</v>
      </c>
      <c r="D328" s="9" t="s">
        <v>829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1">
        <f t="shared" si="1"/>
        <v>0</v>
      </c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ht="15.75" customHeight="1">
      <c r="A329" s="8">
        <v>1035852748</v>
      </c>
      <c r="B329" s="8" t="s">
        <v>830</v>
      </c>
      <c r="C329" s="8" t="s">
        <v>831</v>
      </c>
      <c r="D329" s="9" t="s">
        <v>832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1">
        <f t="shared" si="1"/>
        <v>0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ht="15.75" customHeight="1">
      <c r="A330" s="8">
        <v>1036674174</v>
      </c>
      <c r="B330" s="8" t="s">
        <v>833</v>
      </c>
      <c r="C330" s="8" t="s">
        <v>834</v>
      </c>
      <c r="D330" s="9" t="s">
        <v>477</v>
      </c>
      <c r="E330" s="10">
        <v>150000</v>
      </c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1">
        <f t="shared" si="1"/>
        <v>150000</v>
      </c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ht="15.75" customHeight="1">
      <c r="A331" s="8">
        <v>1039288693</v>
      </c>
      <c r="B331" s="8" t="s">
        <v>835</v>
      </c>
      <c r="C331" s="8" t="s">
        <v>836</v>
      </c>
      <c r="D331" s="9" t="s">
        <v>490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1">
        <f t="shared" si="1"/>
        <v>0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ht="15.75" customHeight="1">
      <c r="A332" s="8">
        <v>1000084681</v>
      </c>
      <c r="B332" s="8" t="s">
        <v>837</v>
      </c>
      <c r="C332" s="8" t="s">
        <v>838</v>
      </c>
      <c r="D332" s="9" t="s">
        <v>483</v>
      </c>
      <c r="E332" s="10">
        <v>80000</v>
      </c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1">
        <f t="shared" si="1"/>
        <v>80000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ht="15.75" customHeight="1">
      <c r="A333" s="8">
        <v>1001016088</v>
      </c>
      <c r="B333" s="8" t="s">
        <v>837</v>
      </c>
      <c r="C333" s="8" t="s">
        <v>839</v>
      </c>
      <c r="D333" s="9" t="s">
        <v>840</v>
      </c>
      <c r="E333" s="10">
        <v>150000</v>
      </c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1">
        <f t="shared" si="1"/>
        <v>150000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ht="15.75" customHeight="1">
      <c r="A334" s="8">
        <v>1001153638</v>
      </c>
      <c r="B334" s="8" t="s">
        <v>837</v>
      </c>
      <c r="C334" s="8" t="s">
        <v>841</v>
      </c>
      <c r="D334" s="9" t="s">
        <v>842</v>
      </c>
      <c r="E334" s="10">
        <v>100000</v>
      </c>
      <c r="F334" s="10">
        <v>100000</v>
      </c>
      <c r="G334" s="10">
        <v>90000</v>
      </c>
      <c r="H334" s="10">
        <v>90000</v>
      </c>
      <c r="I334" s="10">
        <v>90000</v>
      </c>
      <c r="J334" s="10">
        <v>90000</v>
      </c>
      <c r="K334" s="10">
        <v>100000</v>
      </c>
      <c r="L334" s="10">
        <v>90000</v>
      </c>
      <c r="M334" s="10"/>
      <c r="N334" s="10"/>
      <c r="O334" s="10"/>
      <c r="P334" s="10"/>
      <c r="Q334" s="10"/>
      <c r="R334" s="10"/>
      <c r="S334" s="10"/>
      <c r="T334" s="10"/>
      <c r="U334" s="11">
        <f t="shared" si="1"/>
        <v>750000</v>
      </c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ht="15.75" customHeight="1">
      <c r="A335" s="8">
        <v>1037651776</v>
      </c>
      <c r="B335" s="8" t="s">
        <v>837</v>
      </c>
      <c r="C335" s="8" t="s">
        <v>843</v>
      </c>
      <c r="D335" s="9" t="s">
        <v>844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1">
        <f t="shared" si="1"/>
        <v>0</v>
      </c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ht="15.75" customHeight="1">
      <c r="A336" s="8">
        <v>1040051236</v>
      </c>
      <c r="B336" s="8" t="s">
        <v>845</v>
      </c>
      <c r="C336" s="8" t="s">
        <v>846</v>
      </c>
      <c r="D336" s="9" t="s">
        <v>267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1">
        <f t="shared" si="1"/>
        <v>0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ht="15.75" customHeight="1">
      <c r="A337" s="12">
        <v>63492218</v>
      </c>
      <c r="B337" s="8" t="s">
        <v>847</v>
      </c>
      <c r="C337" s="8" t="s">
        <v>848</v>
      </c>
      <c r="D337" s="9" t="s">
        <v>849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1">
        <f t="shared" si="1"/>
        <v>0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ht="15.75" customHeight="1">
      <c r="A338" s="8">
        <v>1011392508</v>
      </c>
      <c r="B338" s="8" t="s">
        <v>850</v>
      </c>
      <c r="C338" s="8" t="s">
        <v>770</v>
      </c>
      <c r="D338" s="9" t="s">
        <v>190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1">
        <f t="shared" si="1"/>
        <v>0</v>
      </c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ht="15.75" customHeight="1">
      <c r="A339" s="8">
        <v>1018232525</v>
      </c>
      <c r="B339" s="8" t="s">
        <v>850</v>
      </c>
      <c r="C339" s="8" t="s">
        <v>851</v>
      </c>
      <c r="D339" s="9" t="s">
        <v>165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1">
        <f t="shared" si="1"/>
        <v>0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ht="15.75" customHeight="1">
      <c r="A340" s="8">
        <v>1146443718</v>
      </c>
      <c r="B340" s="8" t="s">
        <v>850</v>
      </c>
      <c r="C340" s="8" t="s">
        <v>852</v>
      </c>
      <c r="D340" s="9" t="s">
        <v>76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1">
        <f t="shared" si="1"/>
        <v>0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ht="15.75" customHeight="1">
      <c r="A341" s="12">
        <v>1023525728</v>
      </c>
      <c r="B341" s="12" t="s">
        <v>853</v>
      </c>
      <c r="C341" s="12" t="s">
        <v>854</v>
      </c>
      <c r="D341" s="9" t="s">
        <v>855</v>
      </c>
      <c r="E341" s="10">
        <v>90000</v>
      </c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4"/>
      <c r="U341" s="11">
        <f t="shared" si="1"/>
        <v>90000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ht="15.75" customHeight="1">
      <c r="A342" s="8">
        <v>1007242992</v>
      </c>
      <c r="B342" s="8" t="s">
        <v>856</v>
      </c>
      <c r="C342" s="8" t="s">
        <v>857</v>
      </c>
      <c r="D342" s="9" t="s">
        <v>745</v>
      </c>
      <c r="E342" s="10">
        <v>200000</v>
      </c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1">
        <f t="shared" si="1"/>
        <v>200000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ht="15.75" customHeight="1">
      <c r="A343" s="8">
        <v>1028027177</v>
      </c>
      <c r="B343" s="8" t="s">
        <v>856</v>
      </c>
      <c r="C343" s="8" t="s">
        <v>858</v>
      </c>
      <c r="D343" s="9" t="s">
        <v>591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1">
        <f t="shared" si="1"/>
        <v>0</v>
      </c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ht="15.75" customHeight="1">
      <c r="A344" s="8">
        <v>1000902733</v>
      </c>
      <c r="B344" s="8" t="s">
        <v>859</v>
      </c>
      <c r="C344" s="8" t="s">
        <v>860</v>
      </c>
      <c r="D344" s="9" t="s">
        <v>524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1">
        <f t="shared" si="1"/>
        <v>0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ht="15.75" customHeight="1">
      <c r="A345" s="8">
        <v>1010092679</v>
      </c>
      <c r="B345" s="8" t="s">
        <v>861</v>
      </c>
      <c r="C345" s="8" t="s">
        <v>862</v>
      </c>
      <c r="D345" s="9" t="s">
        <v>863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1">
        <f t="shared" si="1"/>
        <v>0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ht="15.75" customHeight="1">
      <c r="A346" s="8">
        <v>1021512838</v>
      </c>
      <c r="B346" s="8" t="s">
        <v>864</v>
      </c>
      <c r="C346" s="8" t="s">
        <v>865</v>
      </c>
      <c r="D346" s="9" t="s">
        <v>866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1">
        <f t="shared" si="1"/>
        <v>0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ht="15.75" customHeight="1">
      <c r="A347" s="8">
        <v>1000898470</v>
      </c>
      <c r="B347" s="8" t="s">
        <v>867</v>
      </c>
      <c r="C347" s="8" t="s">
        <v>868</v>
      </c>
      <c r="D347" s="9" t="s">
        <v>735</v>
      </c>
      <c r="E347" s="10">
        <v>90000</v>
      </c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1">
        <f t="shared" si="1"/>
        <v>90000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ht="15.75" customHeight="1">
      <c r="A348" s="8">
        <v>1040570619</v>
      </c>
      <c r="B348" s="8" t="s">
        <v>867</v>
      </c>
      <c r="C348" s="8" t="s">
        <v>869</v>
      </c>
      <c r="D348" s="9" t="s">
        <v>870</v>
      </c>
      <c r="E348" s="10">
        <v>180000</v>
      </c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1">
        <f t="shared" si="1"/>
        <v>180000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ht="15.75" customHeight="1">
      <c r="A349" s="8">
        <v>1002147037</v>
      </c>
      <c r="B349" s="8" t="s">
        <v>871</v>
      </c>
      <c r="C349" s="8" t="s">
        <v>872</v>
      </c>
      <c r="D349" s="9" t="s">
        <v>159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1">
        <f t="shared" si="1"/>
        <v>0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ht="15.75" customHeight="1">
      <c r="A350" s="8">
        <v>43623145</v>
      </c>
      <c r="B350" s="8" t="s">
        <v>873</v>
      </c>
      <c r="C350" s="8" t="s">
        <v>874</v>
      </c>
      <c r="D350" s="9" t="s">
        <v>875</v>
      </c>
      <c r="E350" s="10">
        <v>150000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1">
        <f t="shared" si="1"/>
        <v>150000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ht="15.75" customHeight="1">
      <c r="A351" s="8">
        <v>1006417562</v>
      </c>
      <c r="B351" s="8" t="s">
        <v>876</v>
      </c>
      <c r="C351" s="8" t="s">
        <v>877</v>
      </c>
      <c r="D351" s="9" t="s">
        <v>878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1">
        <f t="shared" si="1"/>
        <v>0</v>
      </c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ht="15.75" customHeight="1">
      <c r="A352" s="8">
        <v>1037666129</v>
      </c>
      <c r="B352" s="8" t="s">
        <v>879</v>
      </c>
      <c r="C352" s="8" t="s">
        <v>880</v>
      </c>
      <c r="D352" s="9" t="s">
        <v>881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1">
        <f t="shared" si="1"/>
        <v>0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ht="15.75" customHeight="1">
      <c r="A353" s="12">
        <v>32258110</v>
      </c>
      <c r="B353" s="12" t="s">
        <v>882</v>
      </c>
      <c r="C353" s="12" t="s">
        <v>883</v>
      </c>
      <c r="D353" s="9" t="s">
        <v>665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4"/>
      <c r="U353" s="11">
        <f t="shared" si="1"/>
        <v>0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ht="15.75" customHeight="1">
      <c r="A354" s="8">
        <v>1036864630</v>
      </c>
      <c r="B354" s="8" t="s">
        <v>884</v>
      </c>
      <c r="C354" s="8" t="s">
        <v>885</v>
      </c>
      <c r="D354" s="9" t="s">
        <v>196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1">
        <f t="shared" si="1"/>
        <v>0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ht="15.75" customHeight="1">
      <c r="A355" s="12">
        <v>1020463192</v>
      </c>
      <c r="B355" s="12" t="s">
        <v>886</v>
      </c>
      <c r="C355" s="12" t="s">
        <v>887</v>
      </c>
      <c r="D355" s="13" t="s">
        <v>888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4"/>
      <c r="U355" s="11">
        <f t="shared" si="1"/>
        <v>0</v>
      </c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ht="15.75" customHeight="1">
      <c r="A356" s="8">
        <v>1021922085</v>
      </c>
      <c r="B356" s="8" t="s">
        <v>889</v>
      </c>
      <c r="C356" s="8" t="s">
        <v>890</v>
      </c>
      <c r="D356" s="9" t="s">
        <v>305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1">
        <f t="shared" si="1"/>
        <v>0</v>
      </c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ht="15.75" customHeight="1">
      <c r="A357" s="8">
        <v>30687786</v>
      </c>
      <c r="B357" s="8" t="s">
        <v>891</v>
      </c>
      <c r="C357" s="8" t="s">
        <v>892</v>
      </c>
      <c r="D357" s="9" t="s">
        <v>285</v>
      </c>
      <c r="E357" s="10">
        <v>120000</v>
      </c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1">
        <f t="shared" si="1"/>
        <v>120000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ht="15.75" customHeight="1">
      <c r="A358" s="8">
        <v>1000289968</v>
      </c>
      <c r="B358" s="8" t="s">
        <v>893</v>
      </c>
      <c r="C358" s="8" t="s">
        <v>894</v>
      </c>
      <c r="D358" s="9" t="s">
        <v>608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1">
        <f t="shared" si="1"/>
        <v>0</v>
      </c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ht="15.75" customHeight="1">
      <c r="A359" s="8">
        <v>1001250524</v>
      </c>
      <c r="B359" s="8" t="s">
        <v>895</v>
      </c>
      <c r="C359" s="8" t="s">
        <v>896</v>
      </c>
      <c r="D359" s="9" t="s">
        <v>897</v>
      </c>
      <c r="E359" s="10">
        <v>80000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1">
        <f t="shared" si="1"/>
        <v>80000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ht="15.75" customHeight="1">
      <c r="A360" s="8">
        <v>1040571473</v>
      </c>
      <c r="B360" s="8" t="s">
        <v>895</v>
      </c>
      <c r="C360" s="8" t="s">
        <v>898</v>
      </c>
      <c r="D360" s="9" t="s">
        <v>276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1">
        <f t="shared" si="1"/>
        <v>0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ht="15.75" customHeight="1">
      <c r="A361" s="12">
        <v>1073252722</v>
      </c>
      <c r="B361" s="8" t="s">
        <v>895</v>
      </c>
      <c r="C361" s="8" t="s">
        <v>899</v>
      </c>
      <c r="D361" s="9" t="s">
        <v>199</v>
      </c>
      <c r="E361" s="10">
        <v>90000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1">
        <f t="shared" si="1"/>
        <v>90000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ht="15.75" customHeight="1">
      <c r="A362" s="8">
        <v>1025888183</v>
      </c>
      <c r="B362" s="8" t="s">
        <v>900</v>
      </c>
      <c r="C362" s="8" t="s">
        <v>901</v>
      </c>
      <c r="D362" s="9" t="s">
        <v>493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1">
        <f t="shared" si="1"/>
        <v>0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ht="15.75" customHeight="1">
      <c r="A363" s="8">
        <v>1025890453</v>
      </c>
      <c r="B363" s="8" t="s">
        <v>902</v>
      </c>
      <c r="C363" s="8" t="s">
        <v>903</v>
      </c>
      <c r="D363" s="9" t="s">
        <v>904</v>
      </c>
      <c r="E363" s="10">
        <v>80000</v>
      </c>
      <c r="F363" s="10">
        <v>90000</v>
      </c>
      <c r="G363" s="10">
        <v>180000</v>
      </c>
      <c r="H363" s="10">
        <v>80000</v>
      </c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1">
        <f t="shared" si="1"/>
        <v>430000</v>
      </c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ht="15.75" customHeight="1">
      <c r="A364" s="12">
        <v>1035861721</v>
      </c>
      <c r="B364" s="12" t="s">
        <v>905</v>
      </c>
      <c r="C364" s="12" t="s">
        <v>906</v>
      </c>
      <c r="D364" s="9" t="s">
        <v>907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4"/>
      <c r="U364" s="11">
        <f t="shared" si="1"/>
        <v>0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ht="15.75" customHeight="1">
      <c r="A365" s="8">
        <v>98540523</v>
      </c>
      <c r="B365" s="8" t="s">
        <v>908</v>
      </c>
      <c r="C365" s="8" t="s">
        <v>909</v>
      </c>
      <c r="D365" s="9" t="s">
        <v>231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1">
        <f t="shared" si="1"/>
        <v>0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ht="15.75" customHeight="1">
      <c r="A366" s="8">
        <v>1001082959</v>
      </c>
      <c r="B366" s="8" t="s">
        <v>910</v>
      </c>
      <c r="C366" s="8" t="s">
        <v>80</v>
      </c>
      <c r="D366" s="9" t="s">
        <v>76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1">
        <f t="shared" si="1"/>
        <v>0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ht="15.75" customHeight="1">
      <c r="A367" s="8">
        <v>1038334858</v>
      </c>
      <c r="B367" s="8" t="s">
        <v>911</v>
      </c>
      <c r="C367" s="8" t="s">
        <v>912</v>
      </c>
      <c r="D367" s="9" t="s">
        <v>913</v>
      </c>
      <c r="E367" s="10">
        <v>90000</v>
      </c>
      <c r="F367" s="10">
        <v>100000</v>
      </c>
      <c r="G367" s="10">
        <v>200000</v>
      </c>
      <c r="H367" s="10">
        <v>90000</v>
      </c>
      <c r="I367" s="10">
        <v>200000</v>
      </c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1">
        <f t="shared" si="1"/>
        <v>680000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ht="15.75" customHeight="1">
      <c r="A368" s="8">
        <v>71708637</v>
      </c>
      <c r="B368" s="8" t="s">
        <v>914</v>
      </c>
      <c r="C368" s="8" t="s">
        <v>915</v>
      </c>
      <c r="D368" s="9" t="s">
        <v>916</v>
      </c>
      <c r="E368" s="10">
        <v>120000</v>
      </c>
      <c r="F368" s="10">
        <v>200000</v>
      </c>
      <c r="G368" s="10">
        <v>100000</v>
      </c>
      <c r="H368" s="10">
        <v>100000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1">
        <f t="shared" si="1"/>
        <v>520000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ht="15.75" customHeight="1">
      <c r="A369" s="8">
        <v>1085113906</v>
      </c>
      <c r="B369" s="8" t="s">
        <v>917</v>
      </c>
      <c r="C369" s="8" t="s">
        <v>918</v>
      </c>
      <c r="D369" s="9" t="s">
        <v>639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1">
        <f t="shared" si="1"/>
        <v>0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ht="15.75" customHeight="1">
      <c r="A370" s="12">
        <v>1214728203</v>
      </c>
      <c r="B370" s="12" t="s">
        <v>919</v>
      </c>
      <c r="C370" s="12" t="s">
        <v>920</v>
      </c>
      <c r="D370" s="13" t="s">
        <v>921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4"/>
      <c r="U370" s="11">
        <f t="shared" si="1"/>
        <v>0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ht="15.75" customHeight="1">
      <c r="A371" s="8">
        <v>1120839269</v>
      </c>
      <c r="B371" s="8" t="s">
        <v>922</v>
      </c>
      <c r="C371" s="8" t="s">
        <v>923</v>
      </c>
      <c r="D371" s="9" t="s">
        <v>566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1">
        <f t="shared" si="1"/>
        <v>0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ht="15.75" customHeight="1">
      <c r="A372" s="8">
        <v>1007536960</v>
      </c>
      <c r="B372" s="8" t="s">
        <v>924</v>
      </c>
      <c r="C372" s="8" t="s">
        <v>925</v>
      </c>
      <c r="D372" s="9" t="s">
        <v>356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1">
        <f t="shared" si="1"/>
        <v>0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ht="15.75" customHeight="1">
      <c r="A373" s="8">
        <v>1115691541</v>
      </c>
      <c r="B373" s="8" t="s">
        <v>926</v>
      </c>
      <c r="C373" s="8" t="s">
        <v>927</v>
      </c>
      <c r="D373" s="9" t="s">
        <v>373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1">
        <f t="shared" si="1"/>
        <v>0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ht="15.75" customHeight="1">
      <c r="A374" s="8">
        <v>1040362584</v>
      </c>
      <c r="B374" s="8" t="s">
        <v>928</v>
      </c>
      <c r="C374" s="8" t="s">
        <v>929</v>
      </c>
      <c r="D374" s="9" t="s">
        <v>930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1">
        <f t="shared" si="1"/>
        <v>0</v>
      </c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ht="15.75" customHeight="1">
      <c r="A375" s="16">
        <v>1214734374</v>
      </c>
      <c r="B375" s="16" t="s">
        <v>931</v>
      </c>
      <c r="C375" s="8" t="s">
        <v>932</v>
      </c>
      <c r="D375" s="9" t="s">
        <v>933</v>
      </c>
      <c r="E375" s="10">
        <v>90000</v>
      </c>
      <c r="F375" s="10">
        <v>90000</v>
      </c>
      <c r="G375" s="10">
        <v>200000</v>
      </c>
      <c r="H375" s="10">
        <v>90000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1">
        <f t="shared" si="1"/>
        <v>470000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ht="15.75" customHeight="1">
      <c r="A376" s="17">
        <v>1007221965</v>
      </c>
      <c r="B376" s="16" t="s">
        <v>934</v>
      </c>
      <c r="C376" s="8" t="s">
        <v>935</v>
      </c>
      <c r="D376" s="9" t="s">
        <v>453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1">
        <f t="shared" si="1"/>
        <v>0</v>
      </c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ht="15.75" customHeight="1">
      <c r="A377" s="16">
        <v>1011396122</v>
      </c>
      <c r="B377" s="16" t="s">
        <v>936</v>
      </c>
      <c r="C377" s="8" t="s">
        <v>937</v>
      </c>
      <c r="D377" s="9" t="s">
        <v>938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1">
        <f t="shared" si="1"/>
        <v>0</v>
      </c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ht="15.75" customHeight="1">
      <c r="A378" s="17">
        <v>1020113060</v>
      </c>
      <c r="B378" s="17" t="s">
        <v>936</v>
      </c>
      <c r="C378" s="12" t="s">
        <v>939</v>
      </c>
      <c r="D378" s="13" t="s">
        <v>940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4"/>
      <c r="U378" s="11">
        <f t="shared" si="1"/>
        <v>0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ht="15.75" customHeight="1">
      <c r="A379" s="16">
        <v>1075538001</v>
      </c>
      <c r="B379" s="16" t="s">
        <v>941</v>
      </c>
      <c r="C379" s="8" t="s">
        <v>942</v>
      </c>
      <c r="D379" s="9" t="s">
        <v>444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1">
        <f t="shared" si="1"/>
        <v>0</v>
      </c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ht="15.75" customHeight="1">
      <c r="A380" s="16">
        <v>71587271</v>
      </c>
      <c r="B380" s="16" t="s">
        <v>943</v>
      </c>
      <c r="C380" s="8" t="s">
        <v>944</v>
      </c>
      <c r="D380" s="9" t="s">
        <v>106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1">
        <f t="shared" si="1"/>
        <v>0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ht="15.75" customHeight="1">
      <c r="A381" s="17">
        <v>43750392</v>
      </c>
      <c r="B381" s="16" t="s">
        <v>945</v>
      </c>
      <c r="C381" s="8" t="s">
        <v>946</v>
      </c>
      <c r="D381" s="9" t="s">
        <v>188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1">
        <f t="shared" si="1"/>
        <v>0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ht="15.75" customHeight="1">
      <c r="A382" s="16">
        <v>43754698</v>
      </c>
      <c r="B382" s="16" t="s">
        <v>947</v>
      </c>
      <c r="C382" s="8" t="s">
        <v>948</v>
      </c>
      <c r="D382" s="9" t="s">
        <v>949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1">
        <f t="shared" si="1"/>
        <v>0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ht="15.75" customHeight="1">
      <c r="A383" s="16">
        <v>1000306225</v>
      </c>
      <c r="B383" s="16" t="s">
        <v>950</v>
      </c>
      <c r="C383" s="8" t="s">
        <v>951</v>
      </c>
      <c r="D383" s="9" t="s">
        <v>415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1">
        <f t="shared" si="1"/>
        <v>0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ht="15.75" customHeight="1">
      <c r="A384" s="17">
        <v>1025650306</v>
      </c>
      <c r="B384" s="17" t="s">
        <v>950</v>
      </c>
      <c r="C384" s="12" t="s">
        <v>952</v>
      </c>
      <c r="D384" s="13" t="s">
        <v>953</v>
      </c>
      <c r="E384" s="10">
        <v>80000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4"/>
      <c r="U384" s="11">
        <f t="shared" si="1"/>
        <v>80000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ht="15.75" customHeight="1">
      <c r="A385" s="16">
        <v>1000207860</v>
      </c>
      <c r="B385" s="16" t="s">
        <v>954</v>
      </c>
      <c r="C385" s="8" t="s">
        <v>955</v>
      </c>
      <c r="D385" s="9" t="s">
        <v>432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1">
        <f t="shared" si="1"/>
        <v>0</v>
      </c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ht="15.75" customHeight="1">
      <c r="A386" s="16">
        <v>1000534222</v>
      </c>
      <c r="B386" s="16" t="s">
        <v>954</v>
      </c>
      <c r="C386" s="8" t="s">
        <v>956</v>
      </c>
      <c r="D386" s="9" t="s">
        <v>957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1">
        <f t="shared" si="1"/>
        <v>0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ht="15.75" customHeight="1">
      <c r="A387" s="16">
        <v>1001233880</v>
      </c>
      <c r="B387" s="16" t="s">
        <v>954</v>
      </c>
      <c r="C387" s="8" t="s">
        <v>958</v>
      </c>
      <c r="D387" s="9" t="s">
        <v>135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1">
        <f t="shared" si="1"/>
        <v>0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ht="15.75" customHeight="1">
      <c r="A388" s="16">
        <v>1033257169</v>
      </c>
      <c r="B388" s="16" t="s">
        <v>954</v>
      </c>
      <c r="C388" s="8" t="s">
        <v>959</v>
      </c>
      <c r="D388" s="9" t="s">
        <v>175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1">
        <f t="shared" si="1"/>
        <v>0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ht="15.75" customHeight="1">
      <c r="A389" s="16">
        <v>1152700379</v>
      </c>
      <c r="B389" s="16" t="s">
        <v>954</v>
      </c>
      <c r="C389" s="8" t="s">
        <v>960</v>
      </c>
      <c r="D389" s="9" t="s">
        <v>217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1">
        <f t="shared" si="1"/>
        <v>0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ht="15.75" customHeight="1">
      <c r="A390" s="16">
        <v>1017276021</v>
      </c>
      <c r="B390" s="16" t="s">
        <v>961</v>
      </c>
      <c r="C390" s="8" t="s">
        <v>962</v>
      </c>
      <c r="D390" s="9" t="s">
        <v>145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1">
        <f t="shared" si="1"/>
        <v>0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ht="15.75" customHeight="1">
      <c r="A391" s="16">
        <v>1058352308</v>
      </c>
      <c r="B391" s="16" t="s">
        <v>963</v>
      </c>
      <c r="C391" s="8" t="s">
        <v>964</v>
      </c>
      <c r="D391" s="9" t="s">
        <v>965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1">
        <f t="shared" si="1"/>
        <v>0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ht="15.75" customHeight="1">
      <c r="A392" s="17">
        <v>1033098201</v>
      </c>
      <c r="B392" s="17" t="s">
        <v>966</v>
      </c>
      <c r="C392" s="12" t="s">
        <v>967</v>
      </c>
      <c r="D392" s="13" t="s">
        <v>968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4"/>
      <c r="U392" s="11">
        <f t="shared" si="1"/>
        <v>0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ht="15.75" customHeight="1">
      <c r="A393" s="16">
        <v>1193344423</v>
      </c>
      <c r="B393" s="16" t="s">
        <v>969</v>
      </c>
      <c r="C393" s="8" t="s">
        <v>970</v>
      </c>
      <c r="D393" s="9" t="s">
        <v>971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1">
        <f t="shared" si="1"/>
        <v>0</v>
      </c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ht="15.75" customHeight="1">
      <c r="A394" s="16">
        <v>1000305851</v>
      </c>
      <c r="B394" s="16" t="s">
        <v>972</v>
      </c>
      <c r="C394" s="8" t="s">
        <v>973</v>
      </c>
      <c r="D394" s="9" t="s">
        <v>974</v>
      </c>
      <c r="E394" s="10">
        <v>90000</v>
      </c>
      <c r="F394" s="10">
        <v>90000</v>
      </c>
      <c r="G394" s="10">
        <v>200000</v>
      </c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1">
        <f t="shared" si="1"/>
        <v>380000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ht="15.75" customHeight="1">
      <c r="A395" s="16">
        <v>1017263270</v>
      </c>
      <c r="B395" s="16" t="s">
        <v>975</v>
      </c>
      <c r="C395" s="8" t="s">
        <v>976</v>
      </c>
      <c r="D395" s="9" t="s">
        <v>531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1">
        <f t="shared" si="1"/>
        <v>0</v>
      </c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ht="15.75" customHeight="1">
      <c r="A396" s="16">
        <v>1000764249</v>
      </c>
      <c r="B396" s="16" t="s">
        <v>977</v>
      </c>
      <c r="C396" s="8" t="s">
        <v>978</v>
      </c>
      <c r="D396" s="9" t="s">
        <v>979</v>
      </c>
      <c r="E396" s="10">
        <v>150000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1">
        <f t="shared" si="1"/>
        <v>150000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ht="15.75" customHeight="1">
      <c r="A397" s="16">
        <v>1025644303</v>
      </c>
      <c r="B397" s="16" t="s">
        <v>977</v>
      </c>
      <c r="C397" s="8" t="s">
        <v>980</v>
      </c>
      <c r="D397" s="9" t="s">
        <v>981</v>
      </c>
      <c r="E397" s="10">
        <v>150000</v>
      </c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1">
        <f t="shared" si="1"/>
        <v>150000</v>
      </c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ht="15.75" customHeight="1">
      <c r="A398" s="16">
        <v>1037645885</v>
      </c>
      <c r="B398" s="16" t="s">
        <v>977</v>
      </c>
      <c r="C398" s="8" t="s">
        <v>982</v>
      </c>
      <c r="D398" s="9" t="s">
        <v>614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1">
        <f t="shared" si="1"/>
        <v>0</v>
      </c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ht="15.75" customHeight="1">
      <c r="A399" s="17">
        <v>1026143036</v>
      </c>
      <c r="B399" s="17" t="s">
        <v>977</v>
      </c>
      <c r="C399" s="12" t="s">
        <v>983</v>
      </c>
      <c r="D399" s="13" t="s">
        <v>984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4"/>
      <c r="U399" s="11">
        <f t="shared" si="1"/>
        <v>0</v>
      </c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ht="15.75" customHeight="1">
      <c r="A400" s="16">
        <v>1020472390</v>
      </c>
      <c r="B400" s="16" t="s">
        <v>985</v>
      </c>
      <c r="C400" s="8" t="s">
        <v>986</v>
      </c>
      <c r="D400" s="9" t="s">
        <v>987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1">
        <f t="shared" si="1"/>
        <v>0</v>
      </c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ht="15.75" customHeight="1">
      <c r="A401" s="17">
        <v>1083569307</v>
      </c>
      <c r="B401" s="17" t="s">
        <v>988</v>
      </c>
      <c r="C401" s="12" t="s">
        <v>989</v>
      </c>
      <c r="D401" s="13" t="s">
        <v>990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4"/>
      <c r="U401" s="11">
        <f t="shared" si="1"/>
        <v>0</v>
      </c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ht="15.75" customHeight="1">
      <c r="A402" s="17">
        <v>1014285773</v>
      </c>
      <c r="B402" s="17" t="s">
        <v>991</v>
      </c>
      <c r="C402" s="12" t="s">
        <v>992</v>
      </c>
      <c r="D402" s="9" t="s">
        <v>993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4"/>
      <c r="U402" s="11">
        <f t="shared" si="1"/>
        <v>0</v>
      </c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ht="15.75" customHeight="1">
      <c r="A403" s="17">
        <v>1035877000</v>
      </c>
      <c r="B403" s="16" t="s">
        <v>994</v>
      </c>
      <c r="C403" s="8" t="s">
        <v>995</v>
      </c>
      <c r="D403" s="9" t="s">
        <v>714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1">
        <f t="shared" si="1"/>
        <v>0</v>
      </c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ht="15.75" customHeight="1">
      <c r="A404" s="16">
        <v>1214737319</v>
      </c>
      <c r="B404" s="16" t="s">
        <v>996</v>
      </c>
      <c r="C404" s="8" t="s">
        <v>997</v>
      </c>
      <c r="D404" s="9" t="s">
        <v>586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1">
        <f t="shared" si="1"/>
        <v>0</v>
      </c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ht="15.75" customHeight="1">
      <c r="A405" s="17">
        <v>1037584551</v>
      </c>
      <c r="B405" s="16" t="s">
        <v>998</v>
      </c>
      <c r="C405" s="8" t="s">
        <v>999</v>
      </c>
      <c r="D405" s="9" t="s">
        <v>514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1">
        <f t="shared" si="1"/>
        <v>0</v>
      </c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ht="15.75" customHeight="1">
      <c r="A406" s="16">
        <v>44004733</v>
      </c>
      <c r="B406" s="16" t="s">
        <v>1000</v>
      </c>
      <c r="C406" s="8" t="s">
        <v>1001</v>
      </c>
      <c r="D406" s="9" t="s">
        <v>474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1">
        <f t="shared" si="1"/>
        <v>0</v>
      </c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ht="15.75" customHeight="1">
      <c r="A407" s="16">
        <v>43102696</v>
      </c>
      <c r="B407" s="16" t="s">
        <v>1002</v>
      </c>
      <c r="C407" s="8" t="s">
        <v>1003</v>
      </c>
      <c r="D407" s="9" t="s">
        <v>1004</v>
      </c>
      <c r="E407" s="18">
        <v>90000</v>
      </c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1">
        <f t="shared" si="1"/>
        <v>90000</v>
      </c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ht="15.75" customHeight="1">
      <c r="A408" s="16">
        <v>1001539949</v>
      </c>
      <c r="B408" s="16" t="s">
        <v>1005</v>
      </c>
      <c r="C408" s="8" t="s">
        <v>1006</v>
      </c>
      <c r="D408" s="9" t="s">
        <v>1007</v>
      </c>
      <c r="E408" s="18">
        <v>80000</v>
      </c>
      <c r="F408" s="18">
        <v>90000</v>
      </c>
      <c r="G408" s="18">
        <v>180000</v>
      </c>
      <c r="H408" s="18">
        <v>150000</v>
      </c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1">
        <f t="shared" si="1"/>
        <v>500000</v>
      </c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ht="15.75" customHeight="1">
      <c r="A409" s="16">
        <v>1039469664</v>
      </c>
      <c r="B409" s="16" t="s">
        <v>1005</v>
      </c>
      <c r="C409" s="8" t="s">
        <v>1008</v>
      </c>
      <c r="D409" s="9" t="s">
        <v>133</v>
      </c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1">
        <f t="shared" si="1"/>
        <v>0</v>
      </c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ht="15.75" customHeight="1">
      <c r="A410" s="17">
        <v>1035872006</v>
      </c>
      <c r="B410" s="17" t="s">
        <v>1009</v>
      </c>
      <c r="C410" s="12" t="s">
        <v>1010</v>
      </c>
      <c r="D410" s="13" t="s">
        <v>9</v>
      </c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9"/>
      <c r="U410" s="11">
        <f t="shared" si="1"/>
        <v>0</v>
      </c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ht="15.75" customHeight="1">
      <c r="A411" s="16">
        <v>1001686236</v>
      </c>
      <c r="B411" s="16" t="s">
        <v>1011</v>
      </c>
      <c r="C411" s="8" t="s">
        <v>1012</v>
      </c>
      <c r="D411" s="9" t="s">
        <v>472</v>
      </c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1">
        <f t="shared" si="1"/>
        <v>0</v>
      </c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ht="15.75" customHeight="1">
      <c r="A412" s="16">
        <v>1035232799</v>
      </c>
      <c r="B412" s="16" t="s">
        <v>1011</v>
      </c>
      <c r="C412" s="8" t="s">
        <v>1013</v>
      </c>
      <c r="D412" s="9" t="s">
        <v>438</v>
      </c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1">
        <f t="shared" si="1"/>
        <v>0</v>
      </c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ht="15.75" customHeight="1">
      <c r="A413" s="16">
        <v>1025651051</v>
      </c>
      <c r="B413" s="16" t="s">
        <v>1014</v>
      </c>
      <c r="C413" s="8" t="s">
        <v>1015</v>
      </c>
      <c r="D413" s="9" t="s">
        <v>1016</v>
      </c>
      <c r="E413" s="18">
        <v>80000</v>
      </c>
      <c r="F413" s="18">
        <v>150000</v>
      </c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1">
        <f t="shared" si="1"/>
        <v>230000</v>
      </c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ht="15.75" customHeight="1">
      <c r="A414" s="16">
        <v>1000874319</v>
      </c>
      <c r="B414" s="16" t="s">
        <v>1017</v>
      </c>
      <c r="C414" s="8" t="s">
        <v>1018</v>
      </c>
      <c r="D414" s="9" t="s">
        <v>112</v>
      </c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1">
        <f t="shared" si="1"/>
        <v>0</v>
      </c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ht="15.75" customHeight="1">
      <c r="A415" s="16">
        <v>1010087247</v>
      </c>
      <c r="B415" s="16" t="s">
        <v>1017</v>
      </c>
      <c r="C415" s="8" t="s">
        <v>1019</v>
      </c>
      <c r="D415" s="9" t="s">
        <v>1020</v>
      </c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1">
        <f t="shared" si="1"/>
        <v>0</v>
      </c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ht="15.75" customHeight="1">
      <c r="A416" s="16">
        <v>1020485194</v>
      </c>
      <c r="B416" s="16" t="s">
        <v>1017</v>
      </c>
      <c r="C416" s="8" t="s">
        <v>1021</v>
      </c>
      <c r="D416" s="9" t="s">
        <v>137</v>
      </c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1">
        <f t="shared" si="1"/>
        <v>0</v>
      </c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ht="15.75" customHeight="1">
      <c r="A417" s="16">
        <v>1036682054</v>
      </c>
      <c r="B417" s="16" t="s">
        <v>1017</v>
      </c>
      <c r="C417" s="8" t="s">
        <v>1022</v>
      </c>
      <c r="D417" s="9" t="s">
        <v>172</v>
      </c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1">
        <f t="shared" si="1"/>
        <v>0</v>
      </c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ht="15.75" customHeight="1">
      <c r="A418" s="16">
        <v>1040571586</v>
      </c>
      <c r="B418" s="16" t="s">
        <v>1017</v>
      </c>
      <c r="C418" s="8" t="s">
        <v>1023</v>
      </c>
      <c r="D418" s="9" t="s">
        <v>248</v>
      </c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1">
        <f t="shared" si="1"/>
        <v>0</v>
      </c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ht="15.75" customHeight="1">
      <c r="A419" s="16">
        <v>1000084325</v>
      </c>
      <c r="B419" s="16" t="s">
        <v>1024</v>
      </c>
      <c r="C419" s="8" t="s">
        <v>1025</v>
      </c>
      <c r="D419" s="9" t="s">
        <v>142</v>
      </c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1">
        <f t="shared" si="1"/>
        <v>0</v>
      </c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ht="15.75" customHeight="1">
      <c r="A420" s="16">
        <v>1000644769</v>
      </c>
      <c r="B420" s="16" t="s">
        <v>1024</v>
      </c>
      <c r="C420" s="8" t="s">
        <v>11</v>
      </c>
      <c r="D420" s="9" t="s">
        <v>1026</v>
      </c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1">
        <f t="shared" si="1"/>
        <v>0</v>
      </c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ht="15.75" customHeight="1">
      <c r="A421" s="16">
        <v>1002961826</v>
      </c>
      <c r="B421" s="16" t="s">
        <v>1024</v>
      </c>
      <c r="C421" s="8" t="s">
        <v>1027</v>
      </c>
      <c r="D421" s="9" t="s">
        <v>1028</v>
      </c>
      <c r="E421" s="18">
        <v>100000</v>
      </c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1">
        <f t="shared" si="1"/>
        <v>100000</v>
      </c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ht="15.75" customHeight="1">
      <c r="A422" s="16">
        <v>1036658859</v>
      </c>
      <c r="B422" s="16" t="s">
        <v>1024</v>
      </c>
      <c r="C422" s="8" t="s">
        <v>1029</v>
      </c>
      <c r="D422" s="9" t="s">
        <v>261</v>
      </c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1">
        <f t="shared" si="1"/>
        <v>0</v>
      </c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ht="15.75" customHeight="1">
      <c r="A423" s="17">
        <v>1035970855</v>
      </c>
      <c r="B423" s="17" t="s">
        <v>1024</v>
      </c>
      <c r="C423" s="12" t="s">
        <v>1030</v>
      </c>
      <c r="D423" s="9" t="s">
        <v>1031</v>
      </c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9"/>
      <c r="U423" s="11">
        <f t="shared" si="1"/>
        <v>0</v>
      </c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ht="15.75" customHeight="1">
      <c r="A424" s="17">
        <v>1036518659</v>
      </c>
      <c r="B424" s="17" t="s">
        <v>1024</v>
      </c>
      <c r="C424" s="12" t="s">
        <v>1032</v>
      </c>
      <c r="D424" s="13" t="s">
        <v>1033</v>
      </c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9"/>
      <c r="U424" s="11">
        <f t="shared" si="1"/>
        <v>0</v>
      </c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ht="15.75" customHeight="1">
      <c r="A425" s="16">
        <v>1001228414</v>
      </c>
      <c r="B425" s="16" t="s">
        <v>1034</v>
      </c>
      <c r="C425" s="8" t="s">
        <v>1035</v>
      </c>
      <c r="D425" s="9" t="s">
        <v>1036</v>
      </c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1">
        <f t="shared" si="1"/>
        <v>0</v>
      </c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ht="15.75" customHeight="1">
      <c r="A426" s="16">
        <v>1040748789</v>
      </c>
      <c r="B426" s="16" t="s">
        <v>1037</v>
      </c>
      <c r="C426" s="8" t="s">
        <v>1038</v>
      </c>
      <c r="D426" s="9" t="s">
        <v>624</v>
      </c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1">
        <f t="shared" si="1"/>
        <v>0</v>
      </c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ht="15.75" customHeight="1">
      <c r="A427" s="16">
        <v>1000567127</v>
      </c>
      <c r="B427" s="16" t="s">
        <v>1039</v>
      </c>
      <c r="C427" s="8" t="s">
        <v>1040</v>
      </c>
      <c r="D427" s="9" t="s">
        <v>351</v>
      </c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1">
        <f t="shared" si="1"/>
        <v>0</v>
      </c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ht="15.75" customHeight="1">
      <c r="A428" s="16">
        <v>1006491759</v>
      </c>
      <c r="B428" s="16" t="s">
        <v>1041</v>
      </c>
      <c r="C428" s="8" t="s">
        <v>1042</v>
      </c>
      <c r="D428" s="9" t="s">
        <v>1043</v>
      </c>
      <c r="E428" s="18">
        <v>180000</v>
      </c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1">
        <f t="shared" si="1"/>
        <v>180000</v>
      </c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ht="15.75" customHeight="1">
      <c r="A429" s="16">
        <v>1001508929</v>
      </c>
      <c r="B429" s="16" t="s">
        <v>1044</v>
      </c>
      <c r="C429" s="8" t="s">
        <v>1045</v>
      </c>
      <c r="D429" s="9" t="s">
        <v>1046</v>
      </c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1">
        <f t="shared" si="1"/>
        <v>0</v>
      </c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ht="15.75" customHeight="1">
      <c r="A430" s="16">
        <v>1001235439</v>
      </c>
      <c r="B430" s="16" t="s">
        <v>1047</v>
      </c>
      <c r="C430" s="8" t="s">
        <v>1048</v>
      </c>
      <c r="D430" s="9" t="s">
        <v>719</v>
      </c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1">
        <f t="shared" si="1"/>
        <v>0</v>
      </c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ht="15.75" customHeight="1">
      <c r="A431" s="17">
        <v>1214722611</v>
      </c>
      <c r="B431" s="17" t="s">
        <v>1049</v>
      </c>
      <c r="C431" s="12" t="s">
        <v>1050</v>
      </c>
      <c r="D431" s="13" t="s">
        <v>9</v>
      </c>
      <c r="E431" s="18">
        <v>90000</v>
      </c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9"/>
      <c r="U431" s="11">
        <f t="shared" si="1"/>
        <v>90000</v>
      </c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ht="15.75" customHeight="1">
      <c r="A432" s="16">
        <v>1040752129</v>
      </c>
      <c r="B432" s="16" t="s">
        <v>1051</v>
      </c>
      <c r="C432" s="8" t="s">
        <v>1052</v>
      </c>
      <c r="D432" s="9" t="s">
        <v>1053</v>
      </c>
      <c r="E432" s="18">
        <v>150000</v>
      </c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1">
        <f t="shared" si="1"/>
        <v>150000</v>
      </c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ht="15.75" customHeight="1">
      <c r="A433" s="16">
        <v>1001653106</v>
      </c>
      <c r="B433" s="16" t="s">
        <v>1054</v>
      </c>
      <c r="C433" s="8" t="s">
        <v>1055</v>
      </c>
      <c r="D433" s="9" t="s">
        <v>575</v>
      </c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1">
        <f t="shared" si="1"/>
        <v>0</v>
      </c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ht="15.75" customHeight="1">
      <c r="A434" s="16">
        <v>1020103790</v>
      </c>
      <c r="B434" s="16" t="s">
        <v>1056</v>
      </c>
      <c r="C434" s="8" t="s">
        <v>1057</v>
      </c>
      <c r="D434" s="9" t="s">
        <v>500</v>
      </c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1">
        <f t="shared" si="1"/>
        <v>0</v>
      </c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ht="15.75" customHeight="1">
      <c r="A435" s="16">
        <v>1001813504</v>
      </c>
      <c r="B435" s="16" t="s">
        <v>1058</v>
      </c>
      <c r="C435" s="8" t="s">
        <v>1059</v>
      </c>
      <c r="D435" s="9" t="s">
        <v>671</v>
      </c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1">
        <f t="shared" si="1"/>
        <v>0</v>
      </c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ht="15.75" customHeight="1">
      <c r="A436" s="16">
        <v>1007533621</v>
      </c>
      <c r="B436" s="16" t="s">
        <v>1058</v>
      </c>
      <c r="C436" s="8" t="s">
        <v>1060</v>
      </c>
      <c r="D436" s="9" t="s">
        <v>1061</v>
      </c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1">
        <f t="shared" si="1"/>
        <v>0</v>
      </c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ht="15.75" customHeight="1">
      <c r="A437" s="16">
        <v>1038094591</v>
      </c>
      <c r="B437" s="16" t="s">
        <v>1058</v>
      </c>
      <c r="C437" s="8" t="s">
        <v>1062</v>
      </c>
      <c r="D437" s="9" t="s">
        <v>1063</v>
      </c>
      <c r="E437" s="18">
        <v>80000</v>
      </c>
      <c r="F437" s="18">
        <v>180000</v>
      </c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1">
        <f t="shared" si="1"/>
        <v>260000</v>
      </c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ht="15.75" customHeight="1">
      <c r="A438" s="16">
        <v>1001161389</v>
      </c>
      <c r="B438" s="16" t="s">
        <v>1064</v>
      </c>
      <c r="C438" s="8" t="s">
        <v>1065</v>
      </c>
      <c r="D438" s="9" t="s">
        <v>349</v>
      </c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1">
        <f t="shared" si="1"/>
        <v>0</v>
      </c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ht="15.75" customHeight="1">
      <c r="A439" s="17">
        <v>1015186254</v>
      </c>
      <c r="B439" s="17" t="s">
        <v>1066</v>
      </c>
      <c r="C439" s="12" t="s">
        <v>1067</v>
      </c>
      <c r="D439" s="13" t="s">
        <v>1068</v>
      </c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9"/>
      <c r="U439" s="11">
        <f t="shared" si="1"/>
        <v>0</v>
      </c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ht="15.75" customHeight="1">
      <c r="A440" s="16">
        <v>1037655861</v>
      </c>
      <c r="B440" s="16" t="s">
        <v>1069</v>
      </c>
      <c r="C440" s="8" t="s">
        <v>1070</v>
      </c>
      <c r="D440" s="9" t="s">
        <v>488</v>
      </c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1">
        <f t="shared" si="1"/>
        <v>0</v>
      </c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ht="15.75" customHeight="1">
      <c r="A441" s="16">
        <v>1192717160</v>
      </c>
      <c r="B441" s="16" t="s">
        <v>1071</v>
      </c>
      <c r="C441" s="8" t="s">
        <v>1072</v>
      </c>
      <c r="D441" s="9" t="s">
        <v>518</v>
      </c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1">
        <f t="shared" si="1"/>
        <v>0</v>
      </c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ht="15.75" customHeight="1">
      <c r="A442" s="17">
        <v>1007190983</v>
      </c>
      <c r="B442" s="16" t="s">
        <v>1073</v>
      </c>
      <c r="C442" s="8" t="s">
        <v>1074</v>
      </c>
      <c r="D442" s="9" t="s">
        <v>1075</v>
      </c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1">
        <f t="shared" si="1"/>
        <v>0</v>
      </c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ht="15.75" customHeight="1">
      <c r="A443" s="17">
        <v>1004903577</v>
      </c>
      <c r="B443" s="17" t="s">
        <v>1076</v>
      </c>
      <c r="C443" s="12" t="s">
        <v>1077</v>
      </c>
      <c r="D443" s="13" t="s">
        <v>1078</v>
      </c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9"/>
      <c r="U443" s="11">
        <f t="shared" si="1"/>
        <v>0</v>
      </c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ht="15.75" customHeight="1">
      <c r="A444" s="16">
        <v>1193290385</v>
      </c>
      <c r="B444" s="16" t="s">
        <v>1079</v>
      </c>
      <c r="C444" s="8" t="s">
        <v>1080</v>
      </c>
      <c r="D444" s="9" t="s">
        <v>537</v>
      </c>
      <c r="E444" s="18">
        <v>80000</v>
      </c>
      <c r="F444" s="18">
        <v>90000</v>
      </c>
      <c r="G444" s="18">
        <v>80000</v>
      </c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1">
        <f t="shared" si="1"/>
        <v>250000</v>
      </c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ht="15.75" customHeight="1">
      <c r="A445" s="16">
        <v>1040375333</v>
      </c>
      <c r="B445" s="16" t="s">
        <v>1081</v>
      </c>
      <c r="C445" s="8" t="s">
        <v>1082</v>
      </c>
      <c r="D445" s="9" t="s">
        <v>577</v>
      </c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1">
        <f t="shared" si="1"/>
        <v>0</v>
      </c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ht="15.75" customHeight="1">
      <c r="A446" s="16">
        <v>1000394312</v>
      </c>
      <c r="B446" s="16" t="s">
        <v>1083</v>
      </c>
      <c r="C446" s="8" t="s">
        <v>1084</v>
      </c>
      <c r="D446" s="9" t="s">
        <v>687</v>
      </c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1">
        <f t="shared" si="1"/>
        <v>0</v>
      </c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ht="15.75" customHeight="1">
      <c r="A447" s="16">
        <v>1000899076</v>
      </c>
      <c r="B447" s="16" t="s">
        <v>1085</v>
      </c>
      <c r="C447" s="8" t="s">
        <v>1086</v>
      </c>
      <c r="D447" s="9" t="s">
        <v>1087</v>
      </c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1">
        <f t="shared" si="1"/>
        <v>0</v>
      </c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ht="15.75" customHeight="1">
      <c r="A448" s="17">
        <v>1216724453</v>
      </c>
      <c r="B448" s="17" t="s">
        <v>1088</v>
      </c>
      <c r="C448" s="12" t="s">
        <v>1089</v>
      </c>
      <c r="D448" s="13" t="s">
        <v>1090</v>
      </c>
      <c r="E448" s="18">
        <v>90000</v>
      </c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9"/>
      <c r="U448" s="11">
        <f t="shared" si="1"/>
        <v>90000</v>
      </c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ht="15.75" customHeight="1">
      <c r="A449" s="16">
        <v>1152435030</v>
      </c>
      <c r="B449" s="16" t="s">
        <v>1091</v>
      </c>
      <c r="C449" s="8" t="s">
        <v>1092</v>
      </c>
      <c r="D449" s="9" t="s">
        <v>1093</v>
      </c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1">
        <f t="shared" si="1"/>
        <v>0</v>
      </c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ht="15.75" customHeight="1">
      <c r="A450" s="16">
        <v>96124264</v>
      </c>
      <c r="B450" s="16" t="s">
        <v>1094</v>
      </c>
      <c r="C450" s="8" t="s">
        <v>1095</v>
      </c>
      <c r="D450" s="9" t="s">
        <v>367</v>
      </c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1">
        <f t="shared" si="1"/>
        <v>0</v>
      </c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ht="15.75" customHeight="1">
      <c r="A451" s="16">
        <v>1001371041</v>
      </c>
      <c r="B451" s="16" t="s">
        <v>1096</v>
      </c>
      <c r="C451" s="8" t="s">
        <v>1097</v>
      </c>
      <c r="D451" s="9" t="s">
        <v>690</v>
      </c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1">
        <f t="shared" si="1"/>
        <v>0</v>
      </c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ht="15.75" customHeight="1">
      <c r="A452" s="16">
        <v>1003590853</v>
      </c>
      <c r="B452" s="16" t="s">
        <v>1096</v>
      </c>
      <c r="C452" s="8" t="s">
        <v>1098</v>
      </c>
      <c r="D452" s="9" t="s">
        <v>692</v>
      </c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1">
        <f t="shared" si="1"/>
        <v>0</v>
      </c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ht="15.75" customHeight="1">
      <c r="A453" s="16">
        <v>1128397533</v>
      </c>
      <c r="B453" s="16" t="s">
        <v>1096</v>
      </c>
      <c r="C453" s="8" t="s">
        <v>1099</v>
      </c>
      <c r="D453" s="9" t="s">
        <v>679</v>
      </c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1">
        <f t="shared" si="1"/>
        <v>0</v>
      </c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ht="15.75" customHeight="1">
      <c r="A454" s="17">
        <v>1115946902</v>
      </c>
      <c r="B454" s="16" t="s">
        <v>1100</v>
      </c>
      <c r="C454" s="8" t="s">
        <v>1101</v>
      </c>
      <c r="D454" s="9" t="s">
        <v>239</v>
      </c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1">
        <f t="shared" si="1"/>
        <v>0</v>
      </c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ht="15.75" customHeight="1">
      <c r="A455" s="16">
        <v>39176010</v>
      </c>
      <c r="B455" s="16" t="s">
        <v>1102</v>
      </c>
      <c r="C455" s="8" t="s">
        <v>1103</v>
      </c>
      <c r="D455" s="9" t="s">
        <v>543</v>
      </c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1">
        <f t="shared" si="1"/>
        <v>0</v>
      </c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ht="15.75" customHeight="1">
      <c r="A456" s="17">
        <v>1193122216</v>
      </c>
      <c r="B456" s="17" t="s">
        <v>122</v>
      </c>
      <c r="C456" s="12" t="s">
        <v>1104</v>
      </c>
      <c r="D456" s="13"/>
      <c r="E456" s="18">
        <v>150000</v>
      </c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9"/>
      <c r="U456" s="11">
        <f t="shared" si="1"/>
        <v>150000</v>
      </c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ht="15.75" customHeight="1">
      <c r="A457" s="17">
        <v>1017266289</v>
      </c>
      <c r="B457" s="17" t="s">
        <v>764</v>
      </c>
      <c r="C457" s="12" t="s">
        <v>1105</v>
      </c>
      <c r="D457" s="13"/>
      <c r="E457" s="18">
        <v>150000</v>
      </c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9"/>
      <c r="U457" s="11">
        <f t="shared" si="1"/>
        <v>150000</v>
      </c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ht="15.75" customHeight="1">
      <c r="A458" s="17">
        <v>1033486584</v>
      </c>
      <c r="B458" s="17" t="s">
        <v>122</v>
      </c>
      <c r="C458" s="12" t="s">
        <v>1106</v>
      </c>
      <c r="D458" s="13" t="s">
        <v>1107</v>
      </c>
      <c r="E458" s="18">
        <v>150000</v>
      </c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9"/>
      <c r="U458" s="11">
        <f t="shared" si="1"/>
        <v>150000</v>
      </c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ht="15.75" customHeight="1">
      <c r="A459" s="17">
        <v>1000566617</v>
      </c>
      <c r="B459" s="17" t="s">
        <v>1047</v>
      </c>
      <c r="C459" s="12" t="s">
        <v>1108</v>
      </c>
      <c r="D459" s="13"/>
      <c r="E459" s="18">
        <v>150000</v>
      </c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9"/>
      <c r="U459" s="11">
        <f t="shared" si="1"/>
        <v>150000</v>
      </c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ht="15.75" customHeight="1">
      <c r="A460" s="17"/>
      <c r="B460" s="17"/>
      <c r="C460" s="12"/>
      <c r="D460" s="13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9"/>
      <c r="U460" s="11">
        <f t="shared" si="1"/>
        <v>0</v>
      </c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ht="15.75" customHeight="1">
      <c r="A461" s="17"/>
      <c r="B461" s="17"/>
      <c r="C461" s="12"/>
      <c r="D461" s="13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9"/>
      <c r="U461" s="11">
        <f t="shared" si="1"/>
        <v>0</v>
      </c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ht="15.75" customHeight="1">
      <c r="A462" s="17"/>
      <c r="B462" s="17"/>
      <c r="C462" s="12"/>
      <c r="D462" s="13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9"/>
      <c r="U462" s="11">
        <f t="shared" si="1"/>
        <v>0</v>
      </c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ht="15.75" customHeight="1">
      <c r="A463" s="20"/>
      <c r="B463" s="20"/>
      <c r="C463" s="21"/>
      <c r="D463" s="22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23"/>
      <c r="U463" s="11">
        <f t="shared" si="1"/>
        <v>0</v>
      </c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ht="15.75" customHeight="1">
      <c r="A464" s="20"/>
      <c r="B464" s="20"/>
      <c r="C464" s="21"/>
      <c r="D464" s="22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23"/>
      <c r="U464" s="11">
        <f t="shared" si="1"/>
        <v>0</v>
      </c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ht="15.75" customHeight="1">
      <c r="A465" s="20"/>
      <c r="B465" s="20"/>
      <c r="C465" s="21"/>
      <c r="D465" s="22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23"/>
      <c r="U465" s="11">
        <f t="shared" si="1"/>
        <v>0</v>
      </c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ht="15.75" customHeight="1">
      <c r="A466" s="20"/>
      <c r="B466" s="20"/>
      <c r="C466" s="21"/>
      <c r="D466" s="22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23"/>
      <c r="U466" s="11">
        <f t="shared" si="1"/>
        <v>0</v>
      </c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ht="15.75" customHeight="1">
      <c r="A467" s="20"/>
      <c r="B467" s="20"/>
      <c r="C467" s="21"/>
      <c r="D467" s="22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23"/>
      <c r="U467" s="11">
        <f t="shared" si="1"/>
        <v>0</v>
      </c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ht="15.75" customHeight="1">
      <c r="A468" s="20"/>
      <c r="B468" s="20"/>
      <c r="C468" s="21"/>
      <c r="D468" s="22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23"/>
      <c r="U468" s="11">
        <f t="shared" si="1"/>
        <v>0</v>
      </c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ht="15.75" customHeight="1">
      <c r="A469" s="20"/>
      <c r="B469" s="20"/>
      <c r="C469" s="21"/>
      <c r="D469" s="22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23"/>
      <c r="U469" s="11">
        <f t="shared" si="1"/>
        <v>0</v>
      </c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ht="15.75" customHeight="1">
      <c r="A470" s="20"/>
      <c r="B470" s="20"/>
      <c r="C470" s="21"/>
      <c r="D470" s="22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23"/>
      <c r="U470" s="11">
        <f t="shared" si="1"/>
        <v>0</v>
      </c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ht="15.75" customHeight="1">
      <c r="A471" s="20"/>
      <c r="B471" s="20"/>
      <c r="C471" s="21"/>
      <c r="D471" s="22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23"/>
      <c r="U471" s="11">
        <f t="shared" si="1"/>
        <v>0</v>
      </c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ht="15.75" customHeight="1">
      <c r="A472" s="20"/>
      <c r="B472" s="20"/>
      <c r="C472" s="21"/>
      <c r="D472" s="22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23"/>
      <c r="U472" s="11">
        <f t="shared" si="1"/>
        <v>0</v>
      </c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ht="15.75" customHeight="1">
      <c r="A473" s="20"/>
      <c r="B473" s="20"/>
      <c r="C473" s="21"/>
      <c r="D473" s="22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23"/>
      <c r="U473" s="11">
        <f t="shared" si="1"/>
        <v>0</v>
      </c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ht="15.75" customHeight="1">
      <c r="A474" s="20"/>
      <c r="B474" s="20"/>
      <c r="C474" s="21"/>
      <c r="D474" s="22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23"/>
      <c r="U474" s="11">
        <f t="shared" si="1"/>
        <v>0</v>
      </c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ht="15.75" customHeight="1">
      <c r="A475" s="20"/>
      <c r="B475" s="20"/>
      <c r="C475" s="21"/>
      <c r="D475" s="22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23"/>
      <c r="U475" s="11">
        <f t="shared" si="1"/>
        <v>0</v>
      </c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ht="15.75" customHeight="1">
      <c r="A476" s="20"/>
      <c r="B476" s="20"/>
      <c r="C476" s="21"/>
      <c r="D476" s="22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23"/>
      <c r="U476" s="11">
        <f t="shared" si="1"/>
        <v>0</v>
      </c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ht="15.75" customHeight="1">
      <c r="A477" s="20"/>
      <c r="B477" s="20"/>
      <c r="C477" s="21"/>
      <c r="D477" s="22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23"/>
      <c r="U477" s="11">
        <f t="shared" si="1"/>
        <v>0</v>
      </c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ht="15.75" customHeight="1">
      <c r="A478" s="20"/>
      <c r="B478" s="20"/>
      <c r="C478" s="21"/>
      <c r="D478" s="22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23"/>
      <c r="U478" s="11">
        <f t="shared" si="1"/>
        <v>0</v>
      </c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ht="15.75" customHeight="1">
      <c r="A479" s="20"/>
      <c r="B479" s="20"/>
      <c r="C479" s="21"/>
      <c r="D479" s="22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23"/>
      <c r="U479" s="11">
        <f t="shared" si="1"/>
        <v>0</v>
      </c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ht="15.75" customHeight="1">
      <c r="A480" s="20"/>
      <c r="B480" s="20"/>
      <c r="C480" s="21"/>
      <c r="D480" s="22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23"/>
      <c r="U480" s="11">
        <f t="shared" si="1"/>
        <v>0</v>
      </c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ht="15.75" customHeight="1">
      <c r="A481" s="20"/>
      <c r="B481" s="20"/>
      <c r="C481" s="21"/>
      <c r="D481" s="22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23"/>
      <c r="U481" s="11">
        <f t="shared" si="1"/>
        <v>0</v>
      </c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ht="15.75" customHeight="1">
      <c r="A482" s="20"/>
      <c r="B482" s="20"/>
      <c r="C482" s="21"/>
      <c r="D482" s="22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23"/>
      <c r="U482" s="11">
        <f t="shared" si="1"/>
        <v>0</v>
      </c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ht="15.75" customHeight="1">
      <c r="A483" s="20"/>
      <c r="B483" s="20"/>
      <c r="C483" s="21"/>
      <c r="D483" s="22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23"/>
      <c r="U483" s="11">
        <f t="shared" si="1"/>
        <v>0</v>
      </c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ht="15.75" customHeight="1">
      <c r="A484" s="20"/>
      <c r="B484" s="20"/>
      <c r="C484" s="21"/>
      <c r="D484" s="22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23"/>
      <c r="U484" s="11">
        <f t="shared" si="1"/>
        <v>0</v>
      </c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ht="15.75" customHeight="1">
      <c r="A485" s="20"/>
      <c r="B485" s="20"/>
      <c r="C485" s="21"/>
      <c r="D485" s="22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23"/>
      <c r="U485" s="11">
        <f t="shared" si="1"/>
        <v>0</v>
      </c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ht="15.75" customHeight="1">
      <c r="A486" s="20"/>
      <c r="B486" s="20"/>
      <c r="C486" s="21"/>
      <c r="D486" s="22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23"/>
      <c r="U486" s="11">
        <f t="shared" si="1"/>
        <v>0</v>
      </c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ht="15.75" customHeight="1">
      <c r="A487" s="20"/>
      <c r="B487" s="20"/>
      <c r="C487" s="21"/>
      <c r="D487" s="22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23"/>
      <c r="U487" s="11">
        <f t="shared" si="1"/>
        <v>0</v>
      </c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ht="15.75" customHeight="1">
      <c r="A488" s="20"/>
      <c r="B488" s="20"/>
      <c r="C488" s="21"/>
      <c r="D488" s="22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23"/>
      <c r="U488" s="11">
        <f t="shared" si="1"/>
        <v>0</v>
      </c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ht="15.75" customHeight="1">
      <c r="A489" s="20"/>
      <c r="B489" s="20"/>
      <c r="C489" s="21"/>
      <c r="D489" s="22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23"/>
      <c r="U489" s="11">
        <f t="shared" si="1"/>
        <v>0</v>
      </c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ht="15.75" customHeight="1">
      <c r="A490" s="20"/>
      <c r="B490" s="20"/>
      <c r="C490" s="21"/>
      <c r="D490" s="22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23"/>
      <c r="U490" s="11">
        <f t="shared" si="1"/>
        <v>0</v>
      </c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ht="15.75" customHeight="1">
      <c r="A491" s="20"/>
      <c r="B491" s="20"/>
      <c r="C491" s="21"/>
      <c r="D491" s="22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23"/>
      <c r="U491" s="11">
        <f t="shared" si="1"/>
        <v>0</v>
      </c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ht="15.75" customHeight="1">
      <c r="A492" s="20"/>
      <c r="B492" s="20"/>
      <c r="C492" s="21"/>
      <c r="D492" s="22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23"/>
      <c r="U492" s="11">
        <f t="shared" si="1"/>
        <v>0</v>
      </c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ht="15.75" customHeight="1">
      <c r="A493" s="20"/>
      <c r="B493" s="20"/>
      <c r="C493" s="21"/>
      <c r="D493" s="22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23"/>
      <c r="U493" s="11">
        <f t="shared" si="1"/>
        <v>0</v>
      </c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ht="15.75" customHeight="1">
      <c r="A494" s="20"/>
      <c r="B494" s="20"/>
      <c r="C494" s="21"/>
      <c r="D494" s="22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23"/>
      <c r="U494" s="11">
        <f t="shared" si="1"/>
        <v>0</v>
      </c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ht="15.75" customHeight="1">
      <c r="A495" s="20"/>
      <c r="B495" s="20"/>
      <c r="C495" s="21"/>
      <c r="D495" s="22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23"/>
      <c r="U495" s="11">
        <f t="shared" si="1"/>
        <v>0</v>
      </c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ht="15.75" customHeight="1">
      <c r="A496" s="20"/>
      <c r="B496" s="20"/>
      <c r="C496" s="21"/>
      <c r="D496" s="22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23"/>
      <c r="U496" s="11">
        <f t="shared" si="1"/>
        <v>0</v>
      </c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ht="15.75" customHeight="1">
      <c r="A497" s="20"/>
      <c r="B497" s="20"/>
      <c r="C497" s="21"/>
      <c r="D497" s="22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23"/>
      <c r="U497" s="11">
        <f t="shared" si="1"/>
        <v>0</v>
      </c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ht="15.75" customHeight="1">
      <c r="A498" s="20"/>
      <c r="B498" s="20"/>
      <c r="C498" s="21"/>
      <c r="D498" s="22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23"/>
      <c r="U498" s="11">
        <f t="shared" si="1"/>
        <v>0</v>
      </c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ht="15.75" customHeight="1">
      <c r="A499" s="20"/>
      <c r="B499" s="20"/>
      <c r="C499" s="21"/>
      <c r="D499" s="22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23"/>
      <c r="U499" s="11">
        <f t="shared" si="1"/>
        <v>0</v>
      </c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ht="15.75" customHeight="1">
      <c r="A500" s="20"/>
      <c r="B500" s="20"/>
      <c r="C500" s="21"/>
      <c r="D500" s="22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23"/>
      <c r="U500" s="11">
        <f t="shared" si="1"/>
        <v>0</v>
      </c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ht="15.75" customHeight="1">
      <c r="A501" s="20"/>
      <c r="B501" s="20"/>
      <c r="C501" s="21"/>
      <c r="D501" s="22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23"/>
      <c r="U501" s="11">
        <f t="shared" si="1"/>
        <v>0</v>
      </c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ht="15.75" customHeight="1">
      <c r="A502" s="20"/>
      <c r="B502" s="20"/>
      <c r="C502" s="21"/>
      <c r="D502" s="22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23"/>
      <c r="U502" s="11">
        <f t="shared" si="1"/>
        <v>0</v>
      </c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ht="15.75" customHeight="1">
      <c r="A503" s="20"/>
      <c r="B503" s="20"/>
      <c r="C503" s="21"/>
      <c r="D503" s="22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23"/>
      <c r="U503" s="11">
        <f t="shared" si="1"/>
        <v>0</v>
      </c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ht="15.75" customHeight="1">
      <c r="A504" s="20"/>
      <c r="B504" s="20"/>
      <c r="C504" s="21"/>
      <c r="D504" s="22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23"/>
      <c r="U504" s="11">
        <f t="shared" si="1"/>
        <v>0</v>
      </c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ht="15.75" customHeight="1">
      <c r="A505" s="20"/>
      <c r="B505" s="20"/>
      <c r="C505" s="21"/>
      <c r="D505" s="22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23"/>
      <c r="U505" s="11">
        <f t="shared" si="1"/>
        <v>0</v>
      </c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ht="15.75" customHeight="1">
      <c r="A506" s="20"/>
      <c r="B506" s="20"/>
      <c r="C506" s="21"/>
      <c r="D506" s="22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23"/>
      <c r="U506" s="11">
        <f t="shared" si="1"/>
        <v>0</v>
      </c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ht="15.75" customHeight="1">
      <c r="A507" s="20"/>
      <c r="B507" s="20"/>
      <c r="C507" s="21"/>
      <c r="D507" s="22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23"/>
      <c r="U507" s="11">
        <f t="shared" si="1"/>
        <v>0</v>
      </c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ht="15.75" customHeight="1">
      <c r="A508" s="20"/>
      <c r="B508" s="20"/>
      <c r="C508" s="21"/>
      <c r="D508" s="22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23"/>
      <c r="U508" s="11">
        <f t="shared" si="1"/>
        <v>0</v>
      </c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ht="15.75" customHeight="1">
      <c r="A509" s="20"/>
      <c r="B509" s="20"/>
      <c r="C509" s="21"/>
      <c r="D509" s="22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23"/>
      <c r="U509" s="11">
        <f t="shared" si="1"/>
        <v>0</v>
      </c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ht="15.75" customHeight="1">
      <c r="A510" s="20"/>
      <c r="B510" s="20"/>
      <c r="C510" s="21"/>
      <c r="D510" s="22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23"/>
      <c r="U510" s="11">
        <f t="shared" si="1"/>
        <v>0</v>
      </c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ht="15.75" customHeight="1">
      <c r="A511" s="20"/>
      <c r="B511" s="20"/>
      <c r="C511" s="21"/>
      <c r="D511" s="22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23"/>
      <c r="U511" s="11">
        <f t="shared" si="1"/>
        <v>0</v>
      </c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ht="15.75" customHeight="1">
      <c r="A512" s="20"/>
      <c r="B512" s="20"/>
      <c r="C512" s="21"/>
      <c r="D512" s="22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23"/>
      <c r="U512" s="11">
        <f t="shared" si="1"/>
        <v>0</v>
      </c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ht="15.75" customHeight="1">
      <c r="A513" s="20"/>
      <c r="B513" s="20"/>
      <c r="C513" s="21"/>
      <c r="D513" s="22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23"/>
      <c r="U513" s="24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ht="15.75" customHeight="1">
      <c r="A514" s="20"/>
      <c r="B514" s="20"/>
      <c r="C514" s="21"/>
      <c r="D514" s="22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23"/>
      <c r="U514" s="24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ht="15.75" customHeight="1">
      <c r="A515" s="20"/>
      <c r="B515" s="20"/>
      <c r="C515" s="21"/>
      <c r="D515" s="22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23"/>
      <c r="U515" s="24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ht="15.75" customHeight="1">
      <c r="A516" s="20"/>
      <c r="B516" s="20"/>
      <c r="C516" s="21"/>
      <c r="D516" s="22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23"/>
      <c r="U516" s="24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ht="15.75" customHeight="1">
      <c r="A517" s="20"/>
      <c r="B517" s="20"/>
      <c r="C517" s="21"/>
      <c r="D517" s="22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23"/>
      <c r="U517" s="24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ht="15.75" customHeight="1">
      <c r="A518" s="20"/>
      <c r="B518" s="20"/>
      <c r="C518" s="21"/>
      <c r="D518" s="22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23"/>
      <c r="U518" s="24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ht="15.75" customHeight="1">
      <c r="A519" s="20"/>
      <c r="B519" s="20"/>
      <c r="C519" s="21"/>
      <c r="D519" s="22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23"/>
      <c r="U519" s="24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ht="15.75" customHeight="1">
      <c r="A520" s="20"/>
      <c r="B520" s="20"/>
      <c r="C520" s="21"/>
      <c r="D520" s="22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23"/>
      <c r="U520" s="24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ht="15.75" customHeight="1">
      <c r="A521" s="20"/>
      <c r="B521" s="20"/>
      <c r="C521" s="21"/>
      <c r="D521" s="22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23"/>
      <c r="U521" s="24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ht="15.75" customHeight="1">
      <c r="A522" s="20"/>
      <c r="B522" s="20"/>
      <c r="C522" s="21"/>
      <c r="D522" s="22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23"/>
      <c r="U522" s="24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ht="15.75" customHeight="1">
      <c r="A523" s="20"/>
      <c r="B523" s="20"/>
      <c r="C523" s="21"/>
      <c r="D523" s="22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23"/>
      <c r="U523" s="24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ht="15.75" customHeight="1">
      <c r="A524" s="20"/>
      <c r="B524" s="20"/>
      <c r="C524" s="21"/>
      <c r="D524" s="22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23"/>
      <c r="U524" s="24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ht="15.75" customHeight="1">
      <c r="A525" s="20"/>
      <c r="B525" s="20"/>
      <c r="C525" s="21"/>
      <c r="D525" s="22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23"/>
      <c r="U525" s="24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ht="15.75" customHeight="1">
      <c r="A526" s="20"/>
      <c r="B526" s="20"/>
      <c r="C526" s="21"/>
      <c r="D526" s="22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23"/>
      <c r="U526" s="24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ht="15.75" customHeight="1">
      <c r="A527" s="20"/>
      <c r="B527" s="20"/>
      <c r="C527" s="21"/>
      <c r="D527" s="22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23"/>
      <c r="U527" s="24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ht="15.75" customHeight="1">
      <c r="A528" s="20"/>
      <c r="B528" s="20"/>
      <c r="C528" s="21"/>
      <c r="D528" s="22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23"/>
      <c r="U528" s="24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ht="15.75" customHeight="1">
      <c r="A529" s="20"/>
      <c r="B529" s="20"/>
      <c r="C529" s="21"/>
      <c r="D529" s="22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23"/>
      <c r="U529" s="24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ht="15.75" customHeight="1">
      <c r="A530" s="20"/>
      <c r="B530" s="20"/>
      <c r="C530" s="21"/>
      <c r="D530" s="22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23"/>
      <c r="U530" s="24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ht="15.75" customHeight="1">
      <c r="A531" s="20"/>
      <c r="B531" s="20"/>
      <c r="C531" s="21"/>
      <c r="D531" s="22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23"/>
      <c r="U531" s="24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ht="15.75" customHeight="1">
      <c r="A532" s="20"/>
      <c r="B532" s="20"/>
      <c r="C532" s="21"/>
      <c r="D532" s="22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23"/>
      <c r="U532" s="24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ht="15.75" customHeight="1">
      <c r="A533" s="20"/>
      <c r="B533" s="20"/>
      <c r="C533" s="21"/>
      <c r="D533" s="22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23"/>
      <c r="U533" s="24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ht="15.75" customHeight="1">
      <c r="A534" s="20"/>
      <c r="B534" s="20"/>
      <c r="C534" s="21"/>
      <c r="D534" s="22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23"/>
      <c r="U534" s="24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ht="15.75" customHeight="1">
      <c r="A535" s="20"/>
      <c r="B535" s="20"/>
      <c r="C535" s="21"/>
      <c r="D535" s="22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23"/>
      <c r="U535" s="24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ht="15.75" customHeight="1">
      <c r="A536" s="20"/>
      <c r="B536" s="20"/>
      <c r="C536" s="21"/>
      <c r="D536" s="22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23"/>
      <c r="U536" s="24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ht="15.75" customHeight="1">
      <c r="A537" s="20"/>
      <c r="B537" s="20"/>
      <c r="C537" s="21"/>
      <c r="D537" s="22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23"/>
      <c r="U537" s="24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ht="15.75" customHeight="1">
      <c r="A538" s="20"/>
      <c r="B538" s="20"/>
      <c r="C538" s="21"/>
      <c r="D538" s="22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23"/>
      <c r="U538" s="24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ht="15.75" customHeight="1">
      <c r="A539" s="20"/>
      <c r="B539" s="20"/>
      <c r="C539" s="21"/>
      <c r="D539" s="22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23"/>
      <c r="U539" s="24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ht="15.75" customHeight="1">
      <c r="A540" s="20"/>
      <c r="B540" s="20"/>
      <c r="C540" s="21"/>
      <c r="D540" s="22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23"/>
      <c r="U540" s="24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ht="15.75" customHeight="1">
      <c r="A541" s="20"/>
      <c r="B541" s="20"/>
      <c r="C541" s="21"/>
      <c r="D541" s="22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23"/>
      <c r="U541" s="24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ht="15.75" customHeight="1">
      <c r="A542" s="20"/>
      <c r="B542" s="20"/>
      <c r="C542" s="21"/>
      <c r="D542" s="22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23"/>
      <c r="U542" s="24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ht="15.75" customHeight="1">
      <c r="A543" s="20"/>
      <c r="B543" s="20"/>
      <c r="C543" s="21"/>
      <c r="D543" s="22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23"/>
      <c r="U543" s="24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ht="15.75" customHeight="1">
      <c r="A544" s="20"/>
      <c r="B544" s="20"/>
      <c r="C544" s="21"/>
      <c r="D544" s="22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23"/>
      <c r="U544" s="24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ht="15.75" customHeight="1">
      <c r="A545" s="20"/>
      <c r="B545" s="20"/>
      <c r="C545" s="21"/>
      <c r="D545" s="22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23"/>
      <c r="U545" s="24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ht="15.75" customHeight="1">
      <c r="A546" s="20"/>
      <c r="B546" s="20"/>
      <c r="C546" s="21"/>
      <c r="D546" s="22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23"/>
      <c r="U546" s="24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ht="15.75" customHeight="1">
      <c r="A547" s="20"/>
      <c r="B547" s="20"/>
      <c r="C547" s="21"/>
      <c r="D547" s="22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23"/>
      <c r="U547" s="24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ht="15.75" customHeight="1">
      <c r="A548" s="20"/>
      <c r="B548" s="20"/>
      <c r="C548" s="21"/>
      <c r="D548" s="22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23"/>
      <c r="U548" s="24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ht="15.75" customHeight="1">
      <c r="A549" s="20"/>
      <c r="B549" s="20"/>
      <c r="C549" s="21"/>
      <c r="D549" s="22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23"/>
      <c r="U549" s="24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ht="15.75" customHeight="1">
      <c r="A550" s="20"/>
      <c r="B550" s="20"/>
      <c r="C550" s="21"/>
      <c r="D550" s="22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23"/>
      <c r="U550" s="24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ht="15.75" customHeight="1">
      <c r="A551" s="20"/>
      <c r="B551" s="20"/>
      <c r="C551" s="21"/>
      <c r="D551" s="22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23"/>
      <c r="U551" s="24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ht="15.75" customHeight="1">
      <c r="A552" s="20"/>
      <c r="B552" s="20"/>
      <c r="C552" s="21"/>
      <c r="D552" s="22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23"/>
      <c r="U552" s="24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ht="15.75" customHeight="1">
      <c r="A553" s="20"/>
      <c r="B553" s="20"/>
      <c r="C553" s="21"/>
      <c r="D553" s="22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23"/>
      <c r="U553" s="24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ht="15.75" customHeight="1">
      <c r="A554" s="20"/>
      <c r="B554" s="20"/>
      <c r="C554" s="21"/>
      <c r="D554" s="22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23"/>
      <c r="U554" s="24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ht="15.75" customHeight="1">
      <c r="A555" s="20"/>
      <c r="B555" s="20"/>
      <c r="C555" s="21"/>
      <c r="D555" s="22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23"/>
      <c r="U555" s="24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ht="15.75" customHeight="1">
      <c r="A556" s="20"/>
      <c r="B556" s="20"/>
      <c r="C556" s="21"/>
      <c r="D556" s="22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23"/>
      <c r="U556" s="24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ht="15.75" customHeight="1">
      <c r="A557" s="20"/>
      <c r="B557" s="20"/>
      <c r="C557" s="21"/>
      <c r="D557" s="22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23"/>
      <c r="U557" s="24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ht="15.75" customHeight="1">
      <c r="A558" s="20"/>
      <c r="B558" s="20"/>
      <c r="C558" s="21"/>
      <c r="D558" s="22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23"/>
      <c r="U558" s="24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ht="15.75" customHeight="1">
      <c r="A559" s="20"/>
      <c r="B559" s="20"/>
      <c r="C559" s="21"/>
      <c r="D559" s="22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23"/>
      <c r="U559" s="24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ht="15.75" customHeight="1">
      <c r="A560" s="20"/>
      <c r="B560" s="20"/>
      <c r="C560" s="21"/>
      <c r="D560" s="22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23"/>
      <c r="U560" s="24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ht="15.75" customHeight="1">
      <c r="A561" s="20"/>
      <c r="B561" s="20"/>
      <c r="C561" s="21"/>
      <c r="D561" s="22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23"/>
      <c r="U561" s="24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ht="15.75" customHeight="1">
      <c r="A562" s="20"/>
      <c r="B562" s="20"/>
      <c r="C562" s="21"/>
      <c r="D562" s="22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23"/>
      <c r="U562" s="24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ht="15.75" customHeight="1">
      <c r="A563" s="20"/>
      <c r="B563" s="20"/>
      <c r="C563" s="21"/>
      <c r="D563" s="22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23"/>
      <c r="U563" s="24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ht="15.75" customHeight="1">
      <c r="A564" s="20"/>
      <c r="B564" s="20"/>
      <c r="C564" s="21"/>
      <c r="D564" s="22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23"/>
      <c r="U564" s="24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ht="15.75" customHeight="1">
      <c r="A565" s="20"/>
      <c r="B565" s="20"/>
      <c r="C565" s="21"/>
      <c r="D565" s="22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23"/>
      <c r="U565" s="24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ht="15.75" customHeight="1">
      <c r="A566" s="20"/>
      <c r="B566" s="20"/>
      <c r="C566" s="21"/>
      <c r="D566" s="22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23"/>
      <c r="U566" s="24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ht="15.75" customHeight="1">
      <c r="A567" s="20"/>
      <c r="B567" s="20"/>
      <c r="C567" s="21"/>
      <c r="D567" s="22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23"/>
      <c r="U567" s="24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ht="15.75" customHeight="1">
      <c r="A568" s="20"/>
      <c r="B568" s="20"/>
      <c r="C568" s="21"/>
      <c r="D568" s="22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23"/>
      <c r="U568" s="24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ht="15.75" customHeight="1">
      <c r="A569" s="20"/>
      <c r="B569" s="20"/>
      <c r="C569" s="21"/>
      <c r="D569" s="22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23"/>
      <c r="U569" s="24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ht="15.75" customHeight="1">
      <c r="A570" s="20"/>
      <c r="B570" s="20"/>
      <c r="C570" s="21"/>
      <c r="D570" s="22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23"/>
      <c r="U570" s="24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ht="15.75" customHeight="1">
      <c r="A571" s="20"/>
      <c r="B571" s="20"/>
      <c r="C571" s="21"/>
      <c r="D571" s="22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23"/>
      <c r="U571" s="24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ht="15.75" customHeight="1">
      <c r="A572" s="20"/>
      <c r="B572" s="20"/>
      <c r="C572" s="21"/>
      <c r="D572" s="22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23"/>
      <c r="U572" s="24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ht="15.75" customHeight="1">
      <c r="A573" s="20"/>
      <c r="B573" s="20"/>
      <c r="C573" s="21"/>
      <c r="D573" s="22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23"/>
      <c r="U573" s="24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ht="15.75" customHeight="1">
      <c r="A574" s="25"/>
      <c r="B574" s="25"/>
      <c r="C574" s="26"/>
      <c r="D574" s="27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28"/>
      <c r="U574" s="24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ht="15.75" customHeight="1">
      <c r="A575" s="26"/>
      <c r="B575" s="26"/>
      <c r="C575" s="26"/>
      <c r="D575" s="27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28"/>
      <c r="U575" s="29"/>
    </row>
    <row r="576" spans="1:38" ht="15.75" customHeight="1">
      <c r="A576" s="26"/>
      <c r="B576" s="26"/>
      <c r="C576" s="26"/>
      <c r="D576" s="27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28"/>
      <c r="U576" s="29"/>
    </row>
    <row r="577" spans="1:21" ht="15.75" customHeight="1">
      <c r="A577" s="26"/>
      <c r="B577" s="26"/>
      <c r="C577" s="26"/>
      <c r="D577" s="27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28"/>
      <c r="U577" s="29"/>
    </row>
    <row r="578" spans="1:21" ht="15.75" customHeight="1">
      <c r="A578" s="26"/>
      <c r="B578" s="26"/>
      <c r="C578" s="26"/>
      <c r="D578" s="27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28"/>
      <c r="U578" s="29"/>
    </row>
    <row r="579" spans="1:21" ht="15.75" customHeight="1">
      <c r="A579" s="26"/>
      <c r="B579" s="26"/>
      <c r="C579" s="26"/>
      <c r="D579" s="27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28"/>
      <c r="U579" s="29"/>
    </row>
    <row r="580" spans="1:21" ht="15.75" customHeight="1">
      <c r="A580" s="26"/>
      <c r="B580" s="26"/>
      <c r="C580" s="26"/>
      <c r="D580" s="27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28"/>
      <c r="U580" s="29"/>
    </row>
    <row r="581" spans="1:21" ht="15.75" customHeight="1">
      <c r="A581" s="26"/>
      <c r="B581" s="26"/>
      <c r="C581" s="26"/>
      <c r="D581" s="27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28"/>
      <c r="U581" s="29"/>
    </row>
    <row r="582" spans="1:21" ht="15.75" customHeight="1">
      <c r="A582" s="26"/>
      <c r="B582" s="26"/>
      <c r="C582" s="26"/>
      <c r="D582" s="27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28"/>
      <c r="U582" s="29"/>
    </row>
    <row r="583" spans="1:21" ht="15.75" customHeight="1">
      <c r="A583" s="26"/>
      <c r="B583" s="26"/>
      <c r="C583" s="26"/>
      <c r="D583" s="27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28"/>
      <c r="U583" s="29"/>
    </row>
    <row r="584" spans="1:21" ht="15.75" customHeight="1">
      <c r="A584" s="26"/>
      <c r="B584" s="26"/>
      <c r="C584" s="26"/>
      <c r="D584" s="27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28"/>
      <c r="U584" s="29"/>
    </row>
    <row r="585" spans="1:21" ht="15.75" customHeight="1">
      <c r="A585" s="26"/>
      <c r="B585" s="26"/>
      <c r="C585" s="26"/>
      <c r="D585" s="27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28"/>
      <c r="U585" s="29"/>
    </row>
    <row r="586" spans="1:21" ht="15.75" customHeight="1">
      <c r="A586" s="26"/>
      <c r="B586" s="26"/>
      <c r="C586" s="26"/>
      <c r="D586" s="27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28"/>
      <c r="U586" s="29"/>
    </row>
    <row r="587" spans="1:21" ht="15.75" customHeight="1">
      <c r="A587" s="26"/>
      <c r="B587" s="26"/>
      <c r="C587" s="26"/>
      <c r="D587" s="27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28"/>
      <c r="U587" s="29"/>
    </row>
    <row r="588" spans="1:21" ht="15.75" customHeight="1">
      <c r="A588" s="26"/>
      <c r="B588" s="26"/>
      <c r="C588" s="26"/>
      <c r="D588" s="27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28"/>
      <c r="U588" s="29"/>
    </row>
    <row r="589" spans="1:21" ht="15.75" customHeight="1">
      <c r="A589" s="26"/>
      <c r="B589" s="26"/>
      <c r="C589" s="26"/>
      <c r="D589" s="27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28"/>
      <c r="U589" s="29"/>
    </row>
    <row r="590" spans="1:21" ht="15.75" customHeight="1">
      <c r="A590" s="26"/>
      <c r="B590" s="26"/>
      <c r="C590" s="26"/>
      <c r="D590" s="27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28"/>
      <c r="U590" s="29"/>
    </row>
    <row r="591" spans="1:21" ht="15.75" customHeight="1">
      <c r="A591" s="26"/>
      <c r="B591" s="26"/>
      <c r="C591" s="26"/>
      <c r="D591" s="27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28"/>
      <c r="U591" s="29"/>
    </row>
    <row r="592" spans="1:21" ht="15.75" customHeight="1">
      <c r="A592" s="26"/>
      <c r="B592" s="26"/>
      <c r="C592" s="26"/>
      <c r="D592" s="27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28"/>
      <c r="U592" s="29"/>
    </row>
    <row r="593" spans="1:21" ht="15.75" customHeight="1">
      <c r="A593" s="26"/>
      <c r="B593" s="26"/>
      <c r="C593" s="26"/>
      <c r="D593" s="27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28"/>
      <c r="U593" s="29"/>
    </row>
    <row r="594" spans="1:21" ht="15.75" customHeight="1">
      <c r="A594" s="26"/>
      <c r="B594" s="26"/>
      <c r="C594" s="26"/>
      <c r="D594" s="27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28"/>
      <c r="U594" s="29"/>
    </row>
    <row r="595" spans="1:21" ht="15.75" customHeight="1">
      <c r="A595" s="26"/>
      <c r="B595" s="26"/>
      <c r="C595" s="26"/>
      <c r="D595" s="27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28"/>
      <c r="U595" s="29"/>
    </row>
    <row r="596" spans="1:21" ht="15.75" customHeight="1">
      <c r="A596" s="26"/>
      <c r="B596" s="26"/>
      <c r="C596" s="26"/>
      <c r="D596" s="27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28"/>
      <c r="U596" s="29"/>
    </row>
    <row r="597" spans="1:21" ht="15.75" customHeight="1">
      <c r="A597" s="26"/>
      <c r="B597" s="26"/>
      <c r="C597" s="26"/>
      <c r="D597" s="27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28"/>
      <c r="U597" s="29"/>
    </row>
    <row r="598" spans="1:21" ht="15.75" customHeight="1">
      <c r="A598" s="26"/>
      <c r="B598" s="26"/>
      <c r="C598" s="26"/>
      <c r="D598" s="27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28"/>
      <c r="U598" s="29"/>
    </row>
    <row r="599" spans="1:21" ht="15.75" customHeight="1">
      <c r="A599" s="26"/>
      <c r="B599" s="26"/>
      <c r="C599" s="26"/>
      <c r="D599" s="27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28"/>
      <c r="U599" s="29"/>
    </row>
    <row r="600" spans="1:21" ht="15.75" customHeight="1">
      <c r="A600" s="26"/>
      <c r="B600" s="26"/>
      <c r="C600" s="26"/>
      <c r="D600" s="27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28"/>
      <c r="U600" s="29"/>
    </row>
    <row r="601" spans="1:21" ht="15.75" customHeight="1">
      <c r="A601" s="26"/>
      <c r="B601" s="26"/>
      <c r="C601" s="26"/>
      <c r="D601" s="27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28"/>
      <c r="U601" s="29"/>
    </row>
    <row r="602" spans="1:21" ht="15.75" customHeight="1">
      <c r="A602" s="26"/>
      <c r="B602" s="26"/>
      <c r="C602" s="26"/>
      <c r="D602" s="27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28"/>
      <c r="U602" s="29"/>
    </row>
    <row r="603" spans="1:21" ht="15.75" customHeight="1">
      <c r="A603" s="26"/>
      <c r="B603" s="26"/>
      <c r="C603" s="26"/>
      <c r="D603" s="27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28"/>
      <c r="U603" s="29"/>
    </row>
    <row r="604" spans="1:21" ht="15.75" customHeight="1">
      <c r="A604" s="26"/>
      <c r="B604" s="26"/>
      <c r="C604" s="26"/>
      <c r="D604" s="27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28"/>
      <c r="U604" s="29"/>
    </row>
    <row r="605" spans="1:21" ht="15.75" customHeight="1">
      <c r="A605" s="26"/>
      <c r="B605" s="26"/>
      <c r="C605" s="26"/>
      <c r="D605" s="27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28"/>
      <c r="U605" s="29"/>
    </row>
    <row r="606" spans="1:21" ht="15.75" customHeight="1">
      <c r="A606" s="26"/>
      <c r="B606" s="26"/>
      <c r="C606" s="26"/>
      <c r="D606" s="27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28"/>
      <c r="U606" s="29"/>
    </row>
    <row r="607" spans="1:21" ht="15.75" customHeight="1">
      <c r="A607" s="26"/>
      <c r="B607" s="26"/>
      <c r="C607" s="26"/>
      <c r="D607" s="27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28"/>
      <c r="U607" s="29"/>
    </row>
    <row r="608" spans="1:21" ht="15.75" customHeight="1">
      <c r="A608" s="26"/>
      <c r="B608" s="26"/>
      <c r="C608" s="26"/>
      <c r="D608" s="27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28"/>
      <c r="U608" s="29"/>
    </row>
    <row r="609" spans="1:21" ht="15.75" customHeight="1">
      <c r="A609" s="26"/>
      <c r="B609" s="26"/>
      <c r="C609" s="26"/>
      <c r="D609" s="27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28"/>
      <c r="U609" s="29"/>
    </row>
    <row r="610" spans="1:21" ht="15.75" customHeight="1">
      <c r="A610" s="26"/>
      <c r="B610" s="26"/>
      <c r="C610" s="26"/>
      <c r="D610" s="27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28"/>
      <c r="U610" s="29"/>
    </row>
    <row r="611" spans="1:21" ht="15.75" customHeight="1">
      <c r="A611" s="26"/>
      <c r="B611" s="26"/>
      <c r="C611" s="26"/>
      <c r="D611" s="27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28"/>
      <c r="U611" s="29"/>
    </row>
    <row r="612" spans="1:21" ht="15.75" customHeight="1">
      <c r="A612" s="26"/>
      <c r="B612" s="26"/>
      <c r="C612" s="26"/>
      <c r="D612" s="27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28"/>
      <c r="U612" s="29"/>
    </row>
    <row r="613" spans="1:21" ht="15.75" customHeight="1">
      <c r="A613" s="26"/>
      <c r="B613" s="26"/>
      <c r="C613" s="26"/>
      <c r="D613" s="27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28"/>
      <c r="U613" s="29"/>
    </row>
    <row r="614" spans="1:21" ht="15.75" customHeight="1">
      <c r="A614" s="26"/>
      <c r="B614" s="26"/>
      <c r="C614" s="26"/>
      <c r="D614" s="27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28"/>
      <c r="U614" s="29"/>
    </row>
    <row r="615" spans="1:21" ht="15.75" customHeight="1">
      <c r="A615" s="26"/>
      <c r="B615" s="26"/>
      <c r="C615" s="26"/>
      <c r="D615" s="27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28"/>
      <c r="U615" s="29"/>
    </row>
    <row r="616" spans="1:21" ht="15.75" customHeight="1">
      <c r="A616" s="26"/>
      <c r="B616" s="26"/>
      <c r="C616" s="26"/>
      <c r="D616" s="27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28"/>
      <c r="U616" s="29"/>
    </row>
    <row r="617" spans="1:21" ht="15.75" customHeight="1">
      <c r="A617" s="26"/>
      <c r="B617" s="26"/>
      <c r="C617" s="26"/>
      <c r="D617" s="27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28"/>
      <c r="U617" s="29"/>
    </row>
    <row r="618" spans="1:21" ht="15.75" customHeight="1">
      <c r="A618" s="26"/>
      <c r="B618" s="26"/>
      <c r="C618" s="26"/>
      <c r="D618" s="27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28"/>
      <c r="U618" s="29"/>
    </row>
    <row r="619" spans="1:21" ht="15.75" customHeight="1">
      <c r="A619" s="26"/>
      <c r="B619" s="26"/>
      <c r="C619" s="26"/>
      <c r="D619" s="27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28"/>
      <c r="U619" s="29"/>
    </row>
    <row r="620" spans="1:21" ht="15.75" customHeight="1">
      <c r="A620" s="26"/>
      <c r="B620" s="26"/>
      <c r="C620" s="26"/>
      <c r="D620" s="27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28"/>
      <c r="U620" s="29"/>
    </row>
    <row r="621" spans="1:21" ht="15.75" customHeight="1">
      <c r="A621" s="26"/>
      <c r="B621" s="26"/>
      <c r="C621" s="26"/>
      <c r="D621" s="27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28"/>
      <c r="U621" s="29"/>
    </row>
    <row r="622" spans="1:21" ht="15.75" customHeight="1">
      <c r="A622" s="26"/>
      <c r="B622" s="26"/>
      <c r="C622" s="26"/>
      <c r="D622" s="27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28"/>
      <c r="U622" s="29"/>
    </row>
    <row r="623" spans="1:21" ht="15.75" customHeight="1">
      <c r="A623" s="26"/>
      <c r="B623" s="26"/>
      <c r="C623" s="26"/>
      <c r="D623" s="27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28"/>
      <c r="U623" s="29"/>
    </row>
    <row r="624" spans="1:21" ht="15.75" customHeight="1">
      <c r="A624" s="26"/>
      <c r="B624" s="26"/>
      <c r="C624" s="26"/>
      <c r="D624" s="27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28"/>
      <c r="U624" s="29"/>
    </row>
    <row r="625" spans="1:21" ht="15.75" customHeight="1">
      <c r="A625" s="26"/>
      <c r="B625" s="26"/>
      <c r="C625" s="26"/>
      <c r="D625" s="27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28"/>
      <c r="U625" s="29"/>
    </row>
    <row r="626" spans="1:21" ht="15.75" customHeight="1">
      <c r="A626" s="26"/>
      <c r="B626" s="26"/>
      <c r="C626" s="26"/>
      <c r="D626" s="27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28"/>
      <c r="U626" s="29"/>
    </row>
    <row r="627" spans="1:21" ht="15.75" customHeight="1">
      <c r="A627" s="26"/>
      <c r="B627" s="26"/>
      <c r="C627" s="26"/>
      <c r="D627" s="27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28"/>
      <c r="U627" s="29"/>
    </row>
    <row r="628" spans="1:21" ht="15.75" customHeight="1">
      <c r="A628" s="26"/>
      <c r="B628" s="26"/>
      <c r="C628" s="26"/>
      <c r="D628" s="27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28"/>
      <c r="U628" s="29"/>
    </row>
    <row r="629" spans="1:21" ht="15.75" customHeight="1">
      <c r="A629" s="26"/>
      <c r="B629" s="26"/>
      <c r="C629" s="26"/>
      <c r="D629" s="27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28"/>
      <c r="U629" s="29"/>
    </row>
    <row r="630" spans="1:21" ht="15.75" customHeight="1">
      <c r="A630" s="26"/>
      <c r="B630" s="26"/>
      <c r="C630" s="26"/>
      <c r="D630" s="27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28"/>
      <c r="U630" s="29"/>
    </row>
    <row r="631" spans="1:21" ht="15.75" customHeight="1">
      <c r="A631" s="26"/>
      <c r="B631" s="26"/>
      <c r="C631" s="26"/>
      <c r="D631" s="27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28"/>
      <c r="U631" s="29"/>
    </row>
    <row r="632" spans="1:21" ht="15.75" customHeight="1">
      <c r="A632" s="26"/>
      <c r="B632" s="26"/>
      <c r="C632" s="26"/>
      <c r="D632" s="27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28"/>
      <c r="U632" s="29"/>
    </row>
    <row r="633" spans="1:21" ht="15.75" customHeight="1">
      <c r="A633" s="26"/>
      <c r="B633" s="26"/>
      <c r="C633" s="26"/>
      <c r="D633" s="27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28"/>
      <c r="U633" s="29"/>
    </row>
    <row r="634" spans="1:21" ht="15.75" customHeight="1">
      <c r="A634" s="26"/>
      <c r="B634" s="26"/>
      <c r="C634" s="26"/>
      <c r="D634" s="27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28"/>
      <c r="U634" s="29"/>
    </row>
    <row r="635" spans="1:21" ht="15.75" customHeight="1">
      <c r="A635" s="26"/>
      <c r="B635" s="26"/>
      <c r="C635" s="26"/>
      <c r="D635" s="27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28"/>
      <c r="U635" s="29"/>
    </row>
    <row r="636" spans="1:21" ht="15.75" customHeight="1">
      <c r="A636" s="26"/>
      <c r="B636" s="26"/>
      <c r="C636" s="26"/>
      <c r="D636" s="27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28"/>
      <c r="U636" s="29"/>
    </row>
    <row r="637" spans="1:21" ht="15.75" customHeight="1">
      <c r="A637" s="26"/>
      <c r="B637" s="26"/>
      <c r="C637" s="26"/>
      <c r="D637" s="27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28"/>
      <c r="U637" s="29"/>
    </row>
    <row r="638" spans="1:21" ht="15.75" customHeight="1">
      <c r="A638" s="26"/>
      <c r="B638" s="26"/>
      <c r="C638" s="26"/>
      <c r="D638" s="27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28"/>
      <c r="U638" s="29"/>
    </row>
    <row r="639" spans="1:21" ht="15.75" customHeight="1">
      <c r="A639" s="26"/>
      <c r="B639" s="26"/>
      <c r="C639" s="26"/>
      <c r="D639" s="27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28"/>
      <c r="U639" s="29"/>
    </row>
    <row r="640" spans="1:21" ht="15.75" customHeight="1">
      <c r="A640" s="26"/>
      <c r="B640" s="26"/>
      <c r="C640" s="26"/>
      <c r="D640" s="27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28"/>
      <c r="U640" s="29"/>
    </row>
    <row r="641" spans="1:21" ht="15.75" customHeight="1">
      <c r="A641" s="26"/>
      <c r="B641" s="26"/>
      <c r="C641" s="26"/>
      <c r="D641" s="27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28"/>
      <c r="U641" s="29"/>
    </row>
    <row r="642" spans="1:21" ht="15.75" customHeight="1">
      <c r="A642" s="26"/>
      <c r="B642" s="26"/>
      <c r="C642" s="26"/>
      <c r="D642" s="27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28"/>
      <c r="U642" s="29"/>
    </row>
    <row r="643" spans="1:21" ht="15.75" customHeight="1">
      <c r="A643" s="26"/>
      <c r="B643" s="26"/>
      <c r="C643" s="26"/>
      <c r="D643" s="27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28"/>
      <c r="U643" s="29"/>
    </row>
    <row r="644" spans="1:21" ht="15.75" customHeight="1">
      <c r="A644" s="26"/>
      <c r="B644" s="26"/>
      <c r="C644" s="26"/>
      <c r="D644" s="27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28"/>
      <c r="U644" s="29"/>
    </row>
    <row r="645" spans="1:21" ht="15.75" customHeight="1">
      <c r="A645" s="26"/>
      <c r="B645" s="26"/>
      <c r="C645" s="26"/>
      <c r="D645" s="27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28"/>
      <c r="U645" s="29"/>
    </row>
    <row r="646" spans="1:21" ht="15.75" customHeight="1">
      <c r="A646" s="26"/>
      <c r="B646" s="26"/>
      <c r="C646" s="26"/>
      <c r="D646" s="27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28"/>
      <c r="U646" s="29"/>
    </row>
    <row r="647" spans="1:21" ht="15.75" customHeight="1">
      <c r="A647" s="26"/>
      <c r="B647" s="26"/>
      <c r="C647" s="26"/>
      <c r="D647" s="27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28"/>
      <c r="U647" s="29"/>
    </row>
    <row r="648" spans="1:21" ht="15.75" customHeight="1">
      <c r="A648" s="26"/>
      <c r="B648" s="26"/>
      <c r="C648" s="26"/>
      <c r="D648" s="27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28"/>
      <c r="U648" s="29"/>
    </row>
    <row r="649" spans="1:21" ht="15.75" customHeight="1">
      <c r="A649" s="26"/>
      <c r="B649" s="26"/>
      <c r="C649" s="26"/>
      <c r="D649" s="27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28"/>
      <c r="U649" s="29"/>
    </row>
    <row r="650" spans="1:21" ht="15.75" customHeight="1">
      <c r="A650" s="26"/>
      <c r="B650" s="26"/>
      <c r="C650" s="26"/>
      <c r="D650" s="27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28"/>
      <c r="U650" s="29"/>
    </row>
    <row r="651" spans="1:21" ht="15.75" customHeight="1">
      <c r="A651" s="26"/>
      <c r="B651" s="26"/>
      <c r="C651" s="26"/>
      <c r="D651" s="27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28"/>
      <c r="U651" s="29"/>
    </row>
    <row r="652" spans="1:21" ht="15.75" customHeight="1">
      <c r="A652" s="26"/>
      <c r="B652" s="26"/>
      <c r="C652" s="26"/>
      <c r="D652" s="27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28"/>
      <c r="U652" s="29"/>
    </row>
    <row r="653" spans="1:21" ht="15.75" customHeight="1">
      <c r="A653" s="26"/>
      <c r="B653" s="26"/>
      <c r="C653" s="26"/>
      <c r="D653" s="27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28"/>
      <c r="U653" s="29"/>
    </row>
    <row r="654" spans="1:21" ht="15.75" customHeight="1">
      <c r="A654" s="26"/>
      <c r="B654" s="26"/>
      <c r="C654" s="26"/>
      <c r="D654" s="27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28"/>
      <c r="U654" s="29"/>
    </row>
    <row r="655" spans="1:21" ht="15.75" customHeight="1">
      <c r="A655" s="26"/>
      <c r="B655" s="26"/>
      <c r="C655" s="26"/>
      <c r="D655" s="27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28"/>
      <c r="U655" s="29"/>
    </row>
    <row r="656" spans="1:21" ht="15.75" customHeight="1">
      <c r="A656" s="26"/>
      <c r="B656" s="26"/>
      <c r="C656" s="26"/>
      <c r="D656" s="27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28"/>
      <c r="U656" s="29"/>
    </row>
    <row r="657" spans="1:21" ht="15.75" customHeight="1">
      <c r="A657" s="26"/>
      <c r="B657" s="26"/>
      <c r="C657" s="26"/>
      <c r="D657" s="27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28"/>
      <c r="U657" s="29"/>
    </row>
    <row r="658" spans="1:21" ht="15.75" customHeight="1">
      <c r="A658" s="26"/>
      <c r="B658" s="26"/>
      <c r="C658" s="26"/>
      <c r="D658" s="27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28"/>
      <c r="U658" s="29"/>
    </row>
    <row r="659" spans="1:21" ht="15.75" customHeight="1">
      <c r="A659" s="26"/>
      <c r="B659" s="26"/>
      <c r="C659" s="26"/>
      <c r="D659" s="27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28"/>
      <c r="U659" s="29"/>
    </row>
    <row r="660" spans="1:21" ht="15.75" customHeight="1">
      <c r="A660" s="26"/>
      <c r="B660" s="26"/>
      <c r="C660" s="26"/>
      <c r="D660" s="27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28"/>
      <c r="U660" s="29"/>
    </row>
    <row r="661" spans="1:21" ht="15.75" customHeight="1">
      <c r="A661" s="26"/>
      <c r="B661" s="26"/>
      <c r="C661" s="26"/>
      <c r="D661" s="27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28"/>
      <c r="U661" s="29"/>
    </row>
    <row r="662" spans="1:21" ht="15.75" customHeight="1">
      <c r="A662" s="26"/>
      <c r="B662" s="26"/>
      <c r="C662" s="26"/>
      <c r="D662" s="27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28"/>
      <c r="U662" s="29"/>
    </row>
    <row r="663" spans="1:21" ht="15.75" customHeight="1">
      <c r="A663" s="26"/>
      <c r="B663" s="26"/>
      <c r="C663" s="26"/>
      <c r="D663" s="27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28"/>
      <c r="U663" s="29"/>
    </row>
    <row r="664" spans="1:21" ht="15.75" customHeight="1">
      <c r="A664" s="26"/>
      <c r="B664" s="26"/>
      <c r="C664" s="26"/>
      <c r="D664" s="27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28"/>
      <c r="U664" s="29"/>
    </row>
    <row r="665" spans="1:21" ht="15.75" customHeight="1">
      <c r="A665" s="26"/>
      <c r="B665" s="26"/>
      <c r="C665" s="26"/>
      <c r="D665" s="27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28"/>
      <c r="U665" s="29"/>
    </row>
    <row r="666" spans="1:21" ht="15.75" customHeight="1">
      <c r="A666" s="26"/>
      <c r="B666" s="26"/>
      <c r="C666" s="26"/>
      <c r="D666" s="27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28"/>
      <c r="U666" s="29"/>
    </row>
    <row r="667" spans="1:21" ht="15.75" customHeight="1">
      <c r="A667" s="26"/>
      <c r="B667" s="26"/>
      <c r="C667" s="26"/>
      <c r="D667" s="27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28"/>
      <c r="U667" s="29"/>
    </row>
    <row r="668" spans="1:21" ht="15.75" customHeight="1">
      <c r="A668" s="26"/>
      <c r="B668" s="26"/>
      <c r="C668" s="26"/>
      <c r="D668" s="27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28"/>
      <c r="U668" s="29"/>
    </row>
    <row r="669" spans="1:21" ht="15.75" customHeight="1">
      <c r="A669" s="26"/>
      <c r="B669" s="26"/>
      <c r="C669" s="26"/>
      <c r="D669" s="27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28"/>
      <c r="U669" s="29"/>
    </row>
    <row r="670" spans="1:21" ht="15.75" customHeight="1">
      <c r="A670" s="26"/>
      <c r="B670" s="26"/>
      <c r="C670" s="26"/>
      <c r="D670" s="27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28"/>
      <c r="U670" s="29"/>
    </row>
    <row r="671" spans="1:21" ht="15.75" customHeight="1">
      <c r="A671" s="26"/>
      <c r="B671" s="26"/>
      <c r="C671" s="26"/>
      <c r="D671" s="27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28"/>
      <c r="U671" s="29"/>
    </row>
    <row r="672" spans="1:21" ht="15.75" customHeight="1">
      <c r="A672" s="26"/>
      <c r="B672" s="26"/>
      <c r="C672" s="26"/>
      <c r="D672" s="27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28"/>
      <c r="U672" s="29"/>
    </row>
    <row r="673" spans="1:21" ht="15.75" customHeight="1">
      <c r="A673" s="26"/>
      <c r="B673" s="26"/>
      <c r="C673" s="26"/>
      <c r="D673" s="27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28"/>
      <c r="U673" s="29"/>
    </row>
    <row r="674" spans="1:21" ht="15.75" customHeight="1">
      <c r="A674" s="26"/>
      <c r="B674" s="26"/>
      <c r="C674" s="26"/>
      <c r="D674" s="27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28"/>
      <c r="U674" s="29"/>
    </row>
    <row r="675" spans="1:21" ht="15.75" customHeight="1">
      <c r="A675" s="26"/>
      <c r="B675" s="26"/>
      <c r="C675" s="26"/>
      <c r="D675" s="27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28"/>
      <c r="U675" s="29"/>
    </row>
    <row r="676" spans="1:21" ht="15.75" customHeight="1">
      <c r="A676" s="26"/>
      <c r="B676" s="26"/>
      <c r="C676" s="26"/>
      <c r="D676" s="27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28"/>
      <c r="U676" s="29"/>
    </row>
    <row r="677" spans="1:21" ht="15.75" customHeight="1">
      <c r="A677" s="26"/>
      <c r="B677" s="26"/>
      <c r="C677" s="26"/>
      <c r="D677" s="27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28"/>
      <c r="U677" s="29"/>
    </row>
    <row r="678" spans="1:21" ht="15.75" customHeight="1">
      <c r="A678" s="26"/>
      <c r="B678" s="26"/>
      <c r="C678" s="26"/>
      <c r="D678" s="27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28"/>
      <c r="U678" s="29"/>
    </row>
    <row r="679" spans="1:21" ht="15.75" customHeight="1">
      <c r="A679" s="26"/>
      <c r="B679" s="26"/>
      <c r="C679" s="26"/>
      <c r="D679" s="27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28"/>
      <c r="U679" s="29"/>
    </row>
    <row r="680" spans="1:21" ht="15.75" customHeight="1">
      <c r="A680" s="26"/>
      <c r="B680" s="26"/>
      <c r="C680" s="26"/>
      <c r="D680" s="27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28"/>
      <c r="U680" s="29"/>
    </row>
    <row r="681" spans="1:21" ht="15.75" customHeight="1">
      <c r="A681" s="26"/>
      <c r="B681" s="26"/>
      <c r="C681" s="26"/>
      <c r="D681" s="27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28"/>
      <c r="U681" s="29"/>
    </row>
    <row r="682" spans="1:21" ht="15.75" customHeight="1">
      <c r="A682" s="26"/>
      <c r="B682" s="26"/>
      <c r="C682" s="26"/>
      <c r="D682" s="27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28"/>
      <c r="U682" s="29"/>
    </row>
    <row r="683" spans="1:21" ht="15.75" customHeight="1">
      <c r="A683" s="26"/>
      <c r="B683" s="26"/>
      <c r="C683" s="26"/>
      <c r="D683" s="27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28"/>
      <c r="U683" s="29"/>
    </row>
    <row r="684" spans="1:21" ht="15.75" customHeight="1">
      <c r="A684" s="26"/>
      <c r="B684" s="26"/>
      <c r="C684" s="26"/>
      <c r="D684" s="27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28"/>
      <c r="U684" s="29"/>
    </row>
    <row r="685" spans="1:21" ht="15.75" customHeight="1">
      <c r="A685" s="26"/>
      <c r="B685" s="26"/>
      <c r="C685" s="26"/>
      <c r="D685" s="27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28"/>
      <c r="U685" s="29"/>
    </row>
    <row r="686" spans="1:21" ht="15.75" customHeight="1">
      <c r="A686" s="26"/>
      <c r="B686" s="26"/>
      <c r="C686" s="26"/>
      <c r="D686" s="27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28"/>
      <c r="U686" s="29"/>
    </row>
    <row r="687" spans="1:21" ht="15.75" customHeight="1">
      <c r="A687" s="26"/>
      <c r="B687" s="26"/>
      <c r="C687" s="26"/>
      <c r="D687" s="27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28"/>
      <c r="U687" s="29"/>
    </row>
    <row r="688" spans="1:21" ht="15.75" customHeight="1">
      <c r="A688" s="26"/>
      <c r="B688" s="26"/>
      <c r="C688" s="26"/>
      <c r="D688" s="27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28"/>
      <c r="U688" s="29"/>
    </row>
    <row r="689" spans="1:21" ht="15.75" customHeight="1">
      <c r="A689" s="26"/>
      <c r="B689" s="26"/>
      <c r="C689" s="26"/>
      <c r="D689" s="27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28"/>
      <c r="U689" s="29"/>
    </row>
    <row r="690" spans="1:21" ht="15.75" customHeight="1">
      <c r="A690" s="26"/>
      <c r="B690" s="26"/>
      <c r="C690" s="26"/>
      <c r="D690" s="27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28"/>
      <c r="U690" s="29"/>
    </row>
    <row r="691" spans="1:21" ht="15.75" customHeight="1">
      <c r="A691" s="26"/>
      <c r="B691" s="26"/>
      <c r="C691" s="26"/>
      <c r="D691" s="27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28"/>
      <c r="U691" s="29"/>
    </row>
    <row r="692" spans="1:21" ht="15.75" customHeight="1">
      <c r="A692" s="26"/>
      <c r="B692" s="26"/>
      <c r="C692" s="26"/>
      <c r="D692" s="27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28"/>
      <c r="U692" s="29"/>
    </row>
    <row r="693" spans="1:21" ht="15.75" customHeight="1">
      <c r="A693" s="26"/>
      <c r="B693" s="26"/>
      <c r="C693" s="26"/>
      <c r="D693" s="27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28"/>
      <c r="U693" s="29"/>
    </row>
    <row r="694" spans="1:21" ht="15.75" customHeight="1">
      <c r="A694" s="26"/>
      <c r="B694" s="26"/>
      <c r="C694" s="26"/>
      <c r="D694" s="27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28"/>
      <c r="U694" s="29"/>
    </row>
    <row r="695" spans="1:21" ht="15.75" customHeight="1">
      <c r="A695" s="26"/>
      <c r="B695" s="26"/>
      <c r="C695" s="26"/>
      <c r="D695" s="27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28"/>
      <c r="U695" s="29"/>
    </row>
    <row r="696" spans="1:21" ht="15.75" customHeight="1">
      <c r="A696" s="26"/>
      <c r="B696" s="26"/>
      <c r="C696" s="26"/>
      <c r="D696" s="27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28"/>
      <c r="U696" s="29"/>
    </row>
    <row r="697" spans="1:21" ht="15.75" customHeight="1">
      <c r="A697" s="26"/>
      <c r="B697" s="26"/>
      <c r="C697" s="26"/>
      <c r="D697" s="27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28"/>
      <c r="U697" s="29"/>
    </row>
    <row r="698" spans="1:21" ht="15.75" customHeight="1">
      <c r="A698" s="26"/>
      <c r="B698" s="26"/>
      <c r="C698" s="26"/>
      <c r="D698" s="27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28"/>
      <c r="U698" s="29"/>
    </row>
    <row r="699" spans="1:21" ht="15.75" customHeight="1">
      <c r="A699" s="26"/>
      <c r="B699" s="26"/>
      <c r="C699" s="26"/>
      <c r="D699" s="27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28"/>
      <c r="U699" s="29"/>
    </row>
    <row r="700" spans="1:21" ht="15.75" customHeight="1">
      <c r="A700" s="26"/>
      <c r="B700" s="26"/>
      <c r="C700" s="26"/>
      <c r="D700" s="27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28"/>
      <c r="U700" s="29"/>
    </row>
    <row r="701" spans="1:21" ht="15.75" customHeight="1">
      <c r="A701" s="26"/>
      <c r="B701" s="26"/>
      <c r="C701" s="26"/>
      <c r="D701" s="27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28"/>
      <c r="U701" s="29"/>
    </row>
    <row r="702" spans="1:21" ht="15.75" customHeight="1">
      <c r="A702" s="26"/>
      <c r="B702" s="26"/>
      <c r="C702" s="26"/>
      <c r="D702" s="27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28"/>
      <c r="U702" s="29"/>
    </row>
    <row r="703" spans="1:21" ht="15.75" customHeight="1">
      <c r="A703" s="26"/>
      <c r="B703" s="26"/>
      <c r="C703" s="26"/>
      <c r="D703" s="27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28"/>
      <c r="U703" s="29"/>
    </row>
    <row r="704" spans="1:21" ht="15.75" customHeight="1">
      <c r="A704" s="26"/>
      <c r="B704" s="26"/>
      <c r="C704" s="26"/>
      <c r="D704" s="27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28"/>
      <c r="U704" s="29"/>
    </row>
    <row r="705" spans="1:21" ht="15.75" customHeight="1">
      <c r="A705" s="26"/>
      <c r="B705" s="26"/>
      <c r="C705" s="26"/>
      <c r="D705" s="27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9"/>
    </row>
    <row r="706" spans="1:21" ht="15.75" customHeight="1">
      <c r="A706" s="26"/>
      <c r="B706" s="26"/>
      <c r="C706" s="26"/>
      <c r="D706" s="27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9"/>
    </row>
    <row r="707" spans="1:21" ht="15.75" customHeight="1">
      <c r="A707" s="26"/>
      <c r="B707" s="26"/>
      <c r="C707" s="26"/>
      <c r="D707" s="27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9"/>
    </row>
    <row r="708" spans="1:21" ht="15.75" customHeight="1">
      <c r="A708" s="26"/>
      <c r="B708" s="26"/>
      <c r="C708" s="26"/>
      <c r="D708" s="27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9"/>
    </row>
    <row r="709" spans="1:21" ht="15.75" customHeight="1">
      <c r="A709" s="26"/>
      <c r="B709" s="26"/>
      <c r="C709" s="26"/>
      <c r="D709" s="27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9"/>
    </row>
    <row r="710" spans="1:21" ht="15.75" customHeight="1">
      <c r="A710" s="26"/>
      <c r="B710" s="26"/>
      <c r="C710" s="26"/>
      <c r="D710" s="27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9"/>
    </row>
    <row r="711" spans="1:21" ht="15.75" customHeight="1">
      <c r="A711" s="26"/>
      <c r="B711" s="26"/>
      <c r="C711" s="26"/>
      <c r="D711" s="27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9"/>
    </row>
    <row r="712" spans="1:21" ht="15.75" customHeight="1">
      <c r="A712" s="26"/>
      <c r="B712" s="26"/>
      <c r="C712" s="26"/>
      <c r="D712" s="27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9"/>
    </row>
    <row r="713" spans="1:21" ht="15.75" customHeight="1">
      <c r="A713" s="26"/>
      <c r="B713" s="26"/>
      <c r="C713" s="26"/>
      <c r="D713" s="27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9"/>
    </row>
    <row r="714" spans="1:21" ht="15.75" customHeight="1">
      <c r="A714" s="26"/>
      <c r="B714" s="26"/>
      <c r="C714" s="26"/>
      <c r="D714" s="27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9"/>
    </row>
    <row r="715" spans="1:21" ht="15.75" customHeight="1">
      <c r="A715" s="26"/>
      <c r="B715" s="26"/>
      <c r="C715" s="26"/>
      <c r="D715" s="27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9"/>
    </row>
    <row r="716" spans="1:21" ht="15.75" customHeight="1">
      <c r="A716" s="26"/>
      <c r="B716" s="26"/>
      <c r="C716" s="26"/>
      <c r="D716" s="27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9"/>
    </row>
    <row r="717" spans="1:21" ht="15.75" customHeight="1">
      <c r="A717" s="26"/>
      <c r="B717" s="26"/>
      <c r="C717" s="26"/>
      <c r="D717" s="27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9"/>
    </row>
    <row r="718" spans="1:21" ht="15.75" customHeight="1">
      <c r="A718" s="26"/>
      <c r="B718" s="26"/>
      <c r="C718" s="26"/>
      <c r="D718" s="27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9"/>
    </row>
    <row r="719" spans="1:21" ht="15.75" customHeight="1">
      <c r="A719" s="26"/>
      <c r="B719" s="26"/>
      <c r="C719" s="26"/>
      <c r="D719" s="27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9"/>
    </row>
    <row r="720" spans="1:21" ht="15.75" customHeight="1">
      <c r="A720" s="26"/>
      <c r="B720" s="26"/>
      <c r="C720" s="26"/>
      <c r="D720" s="27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9"/>
    </row>
    <row r="721" spans="1:21" ht="15.75" customHeight="1">
      <c r="A721" s="26"/>
      <c r="B721" s="26"/>
      <c r="C721" s="26"/>
      <c r="D721" s="27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9"/>
    </row>
    <row r="722" spans="1:21" ht="15.75" customHeight="1">
      <c r="A722" s="26"/>
      <c r="B722" s="26"/>
      <c r="C722" s="26"/>
      <c r="D722" s="27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9"/>
    </row>
    <row r="723" spans="1:21" ht="15.75" customHeight="1">
      <c r="A723" s="26"/>
      <c r="B723" s="26"/>
      <c r="C723" s="26"/>
      <c r="D723" s="27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9"/>
    </row>
    <row r="724" spans="1:21" ht="15.75" customHeight="1">
      <c r="A724" s="26"/>
      <c r="B724" s="26"/>
      <c r="C724" s="26"/>
      <c r="D724" s="27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9"/>
    </row>
    <row r="725" spans="1:21" ht="15.75" customHeight="1">
      <c r="A725" s="26"/>
      <c r="B725" s="26"/>
      <c r="C725" s="26"/>
      <c r="D725" s="27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9"/>
    </row>
    <row r="726" spans="1:21" ht="15.75" customHeight="1">
      <c r="A726" s="26"/>
      <c r="B726" s="26"/>
      <c r="C726" s="26"/>
      <c r="D726" s="27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9"/>
    </row>
    <row r="727" spans="1:21" ht="15.75" customHeight="1">
      <c r="A727" s="26"/>
      <c r="B727" s="26"/>
      <c r="C727" s="26"/>
      <c r="D727" s="27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9"/>
    </row>
    <row r="728" spans="1:21" ht="15.75" customHeight="1">
      <c r="A728" s="26"/>
      <c r="B728" s="26"/>
      <c r="C728" s="26"/>
      <c r="D728" s="27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9"/>
    </row>
    <row r="729" spans="1:21" ht="15.75" customHeight="1">
      <c r="A729" s="26"/>
      <c r="B729" s="26"/>
      <c r="C729" s="26"/>
      <c r="D729" s="27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9"/>
    </row>
    <row r="730" spans="1:21" ht="15.75" customHeight="1">
      <c r="A730" s="26"/>
      <c r="B730" s="26"/>
      <c r="C730" s="26"/>
      <c r="D730" s="27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9"/>
    </row>
    <row r="731" spans="1:21" ht="15.75" customHeight="1">
      <c r="A731" s="26"/>
      <c r="B731" s="26"/>
      <c r="C731" s="26"/>
      <c r="D731" s="27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9"/>
    </row>
    <row r="732" spans="1:21" ht="15.75" customHeight="1">
      <c r="A732" s="26"/>
      <c r="B732" s="26"/>
      <c r="C732" s="26"/>
      <c r="D732" s="27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9"/>
    </row>
    <row r="733" spans="1:21" ht="15.75" customHeight="1">
      <c r="A733" s="26"/>
      <c r="B733" s="26"/>
      <c r="C733" s="26"/>
      <c r="D733" s="27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9"/>
    </row>
    <row r="734" spans="1:21" ht="15.75" customHeight="1">
      <c r="A734" s="26"/>
      <c r="B734" s="26"/>
      <c r="C734" s="26"/>
      <c r="D734" s="27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9"/>
    </row>
    <row r="735" spans="1:21" ht="15.75" customHeight="1">
      <c r="A735" s="26"/>
      <c r="B735" s="26"/>
      <c r="C735" s="26"/>
      <c r="D735" s="27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9"/>
    </row>
    <row r="736" spans="1:21" ht="15.75" customHeight="1">
      <c r="A736" s="26"/>
      <c r="B736" s="26"/>
      <c r="C736" s="26"/>
      <c r="D736" s="27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9"/>
    </row>
    <row r="737" spans="1:21" ht="15.75" customHeight="1">
      <c r="A737" s="26"/>
      <c r="B737" s="26"/>
      <c r="C737" s="26"/>
      <c r="D737" s="27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9"/>
    </row>
    <row r="738" spans="1:21" ht="15.75" customHeight="1">
      <c r="A738" s="26"/>
      <c r="B738" s="26"/>
      <c r="C738" s="26"/>
      <c r="D738" s="27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9"/>
    </row>
    <row r="739" spans="1:21" ht="15.75" customHeight="1">
      <c r="A739" s="26"/>
      <c r="B739" s="26"/>
      <c r="C739" s="26"/>
      <c r="D739" s="27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9"/>
    </row>
    <row r="740" spans="1:21" ht="15.75" customHeight="1">
      <c r="A740" s="26"/>
      <c r="B740" s="26"/>
      <c r="C740" s="26"/>
      <c r="D740" s="27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9"/>
    </row>
    <row r="741" spans="1:21" ht="15.75" customHeight="1">
      <c r="A741" s="26"/>
      <c r="B741" s="26"/>
      <c r="C741" s="26"/>
      <c r="D741" s="27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9"/>
    </row>
    <row r="742" spans="1:21" ht="15.75" customHeight="1">
      <c r="A742" s="26"/>
      <c r="B742" s="26"/>
      <c r="C742" s="26"/>
      <c r="D742" s="27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9"/>
    </row>
    <row r="743" spans="1:21" ht="15.75" customHeight="1">
      <c r="A743" s="26"/>
      <c r="B743" s="26"/>
      <c r="C743" s="26"/>
      <c r="D743" s="27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9"/>
    </row>
    <row r="744" spans="1:21" ht="15.75" customHeight="1">
      <c r="A744" s="26"/>
      <c r="B744" s="26"/>
      <c r="C744" s="26"/>
      <c r="D744" s="27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9"/>
    </row>
    <row r="745" spans="1:21" ht="15.75" customHeight="1">
      <c r="A745" s="26"/>
      <c r="B745" s="26"/>
      <c r="C745" s="26"/>
      <c r="D745" s="27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9"/>
    </row>
    <row r="746" spans="1:21" ht="15.75" customHeight="1">
      <c r="A746" s="26"/>
      <c r="B746" s="26"/>
      <c r="C746" s="26"/>
      <c r="D746" s="27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9"/>
    </row>
    <row r="747" spans="1:21" ht="15.75" customHeight="1">
      <c r="A747" s="26"/>
      <c r="B747" s="26"/>
      <c r="C747" s="26"/>
      <c r="D747" s="27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9"/>
    </row>
    <row r="748" spans="1:21" ht="15.75" customHeight="1">
      <c r="A748" s="26"/>
      <c r="B748" s="26"/>
      <c r="C748" s="26"/>
      <c r="D748" s="27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9"/>
    </row>
    <row r="749" spans="1:21" ht="15.75" customHeight="1">
      <c r="A749" s="26"/>
      <c r="B749" s="26"/>
      <c r="C749" s="26"/>
      <c r="D749" s="27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9"/>
    </row>
    <row r="750" spans="1:21" ht="15.75" customHeight="1">
      <c r="A750" s="26"/>
      <c r="B750" s="26"/>
      <c r="C750" s="26"/>
      <c r="D750" s="27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9"/>
    </row>
    <row r="751" spans="1:21" ht="15.75" customHeight="1">
      <c r="A751" s="26"/>
      <c r="B751" s="26"/>
      <c r="C751" s="26"/>
      <c r="D751" s="27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9"/>
    </row>
    <row r="752" spans="1:21" ht="15.75" customHeight="1">
      <c r="A752" s="26"/>
      <c r="B752" s="26"/>
      <c r="C752" s="26"/>
      <c r="D752" s="27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9"/>
    </row>
    <row r="753" spans="1:21" ht="15.75" customHeight="1">
      <c r="A753" s="26"/>
      <c r="B753" s="26"/>
      <c r="C753" s="26"/>
      <c r="D753" s="27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9"/>
    </row>
    <row r="754" spans="1:21" ht="15.75" customHeight="1">
      <c r="A754" s="26"/>
      <c r="B754" s="26"/>
      <c r="C754" s="26"/>
      <c r="D754" s="27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9"/>
    </row>
    <row r="755" spans="1:21" ht="15.75" customHeight="1">
      <c r="A755" s="26"/>
      <c r="B755" s="26"/>
      <c r="C755" s="26"/>
      <c r="D755" s="27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9"/>
    </row>
    <row r="756" spans="1:21" ht="15.75" customHeight="1">
      <c r="A756" s="26"/>
      <c r="B756" s="26"/>
      <c r="C756" s="26"/>
      <c r="D756" s="27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9"/>
    </row>
    <row r="757" spans="1:21" ht="15.75" customHeight="1">
      <c r="A757" s="26"/>
      <c r="B757" s="26"/>
      <c r="C757" s="26"/>
      <c r="D757" s="27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9"/>
    </row>
    <row r="758" spans="1:21" ht="15.75" customHeight="1">
      <c r="A758" s="26"/>
      <c r="B758" s="26"/>
      <c r="C758" s="26"/>
      <c r="D758" s="27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9"/>
    </row>
    <row r="759" spans="1:21" ht="15.75" customHeight="1">
      <c r="A759" s="26"/>
      <c r="B759" s="26"/>
      <c r="C759" s="26"/>
      <c r="D759" s="27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9"/>
    </row>
    <row r="760" spans="1:21" ht="15.75" customHeight="1">
      <c r="A760" s="26"/>
      <c r="B760" s="26"/>
      <c r="C760" s="26"/>
      <c r="D760" s="27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9"/>
    </row>
    <row r="761" spans="1:21" ht="15.75" customHeight="1">
      <c r="A761" s="26"/>
      <c r="B761" s="26"/>
      <c r="C761" s="26"/>
      <c r="D761" s="27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9"/>
    </row>
    <row r="762" spans="1:21" ht="15.75" customHeight="1">
      <c r="A762" s="26"/>
      <c r="B762" s="26"/>
      <c r="C762" s="26"/>
      <c r="D762" s="27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9"/>
    </row>
    <row r="763" spans="1:21" ht="15.75" customHeight="1">
      <c r="A763" s="26"/>
      <c r="B763" s="26"/>
      <c r="C763" s="26"/>
      <c r="D763" s="27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9"/>
    </row>
    <row r="764" spans="1:21" ht="15.75" customHeight="1">
      <c r="A764" s="26"/>
      <c r="B764" s="26"/>
      <c r="C764" s="26"/>
      <c r="D764" s="27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9"/>
    </row>
    <row r="765" spans="1:21" ht="15.75" customHeight="1">
      <c r="A765" s="26"/>
      <c r="B765" s="26"/>
      <c r="C765" s="26"/>
      <c r="D765" s="27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9"/>
    </row>
    <row r="766" spans="1:21" ht="15.75" customHeight="1">
      <c r="A766" s="26"/>
      <c r="B766" s="26"/>
      <c r="C766" s="26"/>
      <c r="D766" s="27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9"/>
    </row>
    <row r="767" spans="1:21" ht="15.75" customHeight="1">
      <c r="A767" s="26"/>
      <c r="B767" s="26"/>
      <c r="C767" s="26"/>
      <c r="D767" s="27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9"/>
    </row>
    <row r="768" spans="1:21" ht="15.75" customHeight="1">
      <c r="A768" s="26"/>
      <c r="B768" s="26"/>
      <c r="C768" s="26"/>
      <c r="D768" s="27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9"/>
    </row>
    <row r="769" spans="1:21" ht="15.75" customHeight="1">
      <c r="A769" s="26"/>
      <c r="B769" s="26"/>
      <c r="C769" s="26"/>
      <c r="D769" s="27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9"/>
    </row>
    <row r="770" spans="1:21" ht="15.75" customHeight="1">
      <c r="A770" s="26"/>
      <c r="B770" s="26"/>
      <c r="C770" s="26"/>
      <c r="D770" s="27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9"/>
    </row>
    <row r="771" spans="1:21" ht="15.75" customHeight="1">
      <c r="A771" s="26"/>
      <c r="B771" s="26"/>
      <c r="C771" s="26"/>
      <c r="D771" s="27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9"/>
    </row>
    <row r="772" spans="1:21" ht="15.75" customHeight="1">
      <c r="A772" s="26"/>
      <c r="B772" s="26"/>
      <c r="C772" s="26"/>
      <c r="D772" s="27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9"/>
    </row>
    <row r="773" spans="1:21" ht="15.75" customHeight="1">
      <c r="A773" s="26"/>
      <c r="B773" s="26"/>
      <c r="C773" s="26"/>
      <c r="D773" s="27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9"/>
    </row>
    <row r="774" spans="1:21" ht="15.75" customHeight="1">
      <c r="A774" s="26"/>
      <c r="B774" s="26"/>
      <c r="C774" s="26"/>
      <c r="D774" s="27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9"/>
    </row>
    <row r="775" spans="1:21" ht="15.75" customHeight="1">
      <c r="A775" s="26"/>
      <c r="B775" s="26"/>
      <c r="C775" s="26"/>
      <c r="D775" s="27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9"/>
    </row>
    <row r="776" spans="1:21" ht="15.75" customHeight="1">
      <c r="A776" s="26"/>
      <c r="B776" s="26"/>
      <c r="C776" s="26"/>
      <c r="D776" s="27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9"/>
    </row>
    <row r="777" spans="1:21" ht="15.75" customHeight="1">
      <c r="A777" s="26"/>
      <c r="B777" s="26"/>
      <c r="C777" s="26"/>
      <c r="D777" s="27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9"/>
    </row>
    <row r="778" spans="1:21" ht="15.75" customHeight="1">
      <c r="A778" s="26"/>
      <c r="B778" s="26"/>
      <c r="C778" s="26"/>
      <c r="D778" s="27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9"/>
    </row>
    <row r="779" spans="1:21" ht="15.75" customHeight="1">
      <c r="A779" s="26"/>
      <c r="B779" s="26"/>
      <c r="C779" s="26"/>
      <c r="D779" s="27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9"/>
    </row>
    <row r="780" spans="1:21" ht="15.75" customHeight="1">
      <c r="A780" s="26"/>
      <c r="B780" s="26"/>
      <c r="C780" s="26"/>
      <c r="D780" s="27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9"/>
    </row>
    <row r="781" spans="1:21" ht="15.75" customHeight="1">
      <c r="A781" s="26"/>
      <c r="B781" s="26"/>
      <c r="C781" s="26"/>
      <c r="D781" s="27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9"/>
    </row>
    <row r="782" spans="1:21" ht="15.75" customHeight="1">
      <c r="A782" s="26"/>
      <c r="B782" s="26"/>
      <c r="C782" s="26"/>
      <c r="D782" s="27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9"/>
    </row>
    <row r="783" spans="1:21" ht="15.75" customHeight="1">
      <c r="A783" s="26"/>
      <c r="B783" s="26"/>
      <c r="C783" s="26"/>
      <c r="D783" s="27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9"/>
    </row>
    <row r="784" spans="1:21" ht="15.75" customHeight="1">
      <c r="A784" s="26"/>
      <c r="B784" s="26"/>
      <c r="C784" s="26"/>
      <c r="D784" s="27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9"/>
    </row>
    <row r="785" spans="1:21" ht="15.75" customHeight="1">
      <c r="A785" s="26"/>
      <c r="B785" s="26"/>
      <c r="C785" s="26"/>
      <c r="D785" s="27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9"/>
    </row>
    <row r="786" spans="1:21" ht="15.75" customHeight="1">
      <c r="A786" s="26"/>
      <c r="B786" s="26"/>
      <c r="C786" s="26"/>
      <c r="D786" s="27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9"/>
    </row>
    <row r="787" spans="1:21" ht="15.75" customHeight="1">
      <c r="A787" s="26"/>
      <c r="B787" s="26"/>
      <c r="C787" s="26"/>
      <c r="D787" s="27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9"/>
    </row>
    <row r="788" spans="1:21" ht="15.75" customHeight="1">
      <c r="A788" s="26"/>
      <c r="B788" s="26"/>
      <c r="C788" s="26"/>
      <c r="D788" s="27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9"/>
    </row>
    <row r="789" spans="1:21" ht="15.75" customHeight="1">
      <c r="A789" s="26"/>
      <c r="B789" s="26"/>
      <c r="C789" s="26"/>
      <c r="D789" s="27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9"/>
    </row>
    <row r="790" spans="1:21" ht="15.75" customHeight="1">
      <c r="A790" s="26"/>
      <c r="B790" s="26"/>
      <c r="C790" s="26"/>
      <c r="D790" s="27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9"/>
    </row>
    <row r="791" spans="1:21" ht="15.75" customHeight="1">
      <c r="A791" s="26"/>
      <c r="B791" s="26"/>
      <c r="C791" s="26"/>
      <c r="D791" s="27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9"/>
    </row>
    <row r="792" spans="1:21" ht="15.75" customHeight="1">
      <c r="A792" s="26"/>
      <c r="B792" s="26"/>
      <c r="C792" s="26"/>
      <c r="D792" s="27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9"/>
    </row>
    <row r="793" spans="1:21" ht="15.75" customHeight="1">
      <c r="A793" s="26"/>
      <c r="B793" s="26"/>
      <c r="C793" s="26"/>
      <c r="D793" s="27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9"/>
    </row>
    <row r="794" spans="1:21" ht="15.75" customHeight="1">
      <c r="A794" s="26"/>
      <c r="B794" s="26"/>
      <c r="C794" s="26"/>
      <c r="D794" s="27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9"/>
    </row>
    <row r="795" spans="1:21" ht="15.75" customHeight="1">
      <c r="A795" s="26"/>
      <c r="B795" s="26"/>
      <c r="C795" s="26"/>
      <c r="D795" s="27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9"/>
    </row>
    <row r="796" spans="1:21" ht="15.75" customHeight="1">
      <c r="A796" s="26"/>
      <c r="B796" s="26"/>
      <c r="C796" s="26"/>
      <c r="D796" s="27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9"/>
    </row>
    <row r="797" spans="1:21" ht="15.75" customHeight="1">
      <c r="A797" s="26"/>
      <c r="B797" s="26"/>
      <c r="C797" s="26"/>
      <c r="D797" s="27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9"/>
    </row>
    <row r="798" spans="1:21" ht="15.75" customHeight="1">
      <c r="A798" s="26"/>
      <c r="B798" s="26"/>
      <c r="C798" s="26"/>
      <c r="D798" s="27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9"/>
    </row>
    <row r="799" spans="1:21" ht="15.75" customHeight="1">
      <c r="A799" s="26"/>
      <c r="B799" s="26"/>
      <c r="C799" s="26"/>
      <c r="D799" s="27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9"/>
    </row>
    <row r="800" spans="1:21" ht="15.75" customHeight="1">
      <c r="A800" s="26"/>
      <c r="B800" s="26"/>
      <c r="C800" s="26"/>
      <c r="D800" s="27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9"/>
    </row>
    <row r="801" spans="1:21" ht="15.75" customHeight="1">
      <c r="A801" s="26"/>
      <c r="B801" s="26"/>
      <c r="C801" s="26"/>
      <c r="D801" s="27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9"/>
    </row>
    <row r="802" spans="1:21" ht="15.75" customHeight="1">
      <c r="A802" s="26"/>
      <c r="B802" s="26"/>
      <c r="C802" s="26"/>
      <c r="D802" s="27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9"/>
    </row>
    <row r="803" spans="1:21" ht="15.75" customHeight="1">
      <c r="A803" s="26"/>
      <c r="B803" s="26"/>
      <c r="C803" s="26"/>
      <c r="D803" s="27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9"/>
    </row>
    <row r="804" spans="1:21" ht="15.75" customHeight="1">
      <c r="A804" s="26"/>
      <c r="B804" s="26"/>
      <c r="C804" s="26"/>
      <c r="D804" s="27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9"/>
    </row>
    <row r="805" spans="1:21" ht="15.75" customHeight="1">
      <c r="A805" s="26"/>
      <c r="B805" s="26"/>
      <c r="C805" s="26"/>
      <c r="D805" s="27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9"/>
    </row>
    <row r="806" spans="1:21" ht="15.75" customHeight="1">
      <c r="A806" s="26"/>
      <c r="B806" s="26"/>
      <c r="C806" s="26"/>
      <c r="D806" s="27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9"/>
    </row>
    <row r="807" spans="1:21" ht="15.75" customHeight="1">
      <c r="A807" s="26"/>
      <c r="B807" s="26"/>
      <c r="C807" s="26"/>
      <c r="D807" s="27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9"/>
    </row>
    <row r="808" spans="1:21" ht="15.75" customHeight="1">
      <c r="A808" s="26"/>
      <c r="B808" s="26"/>
      <c r="C808" s="26"/>
      <c r="D808" s="27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9"/>
    </row>
    <row r="809" spans="1:21" ht="15.75" customHeight="1">
      <c r="A809" s="26"/>
      <c r="B809" s="26"/>
      <c r="C809" s="26"/>
      <c r="D809" s="27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9"/>
    </row>
    <row r="810" spans="1:21" ht="15.75" customHeight="1">
      <c r="A810" s="26"/>
      <c r="B810" s="26"/>
      <c r="C810" s="26"/>
      <c r="D810" s="27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9"/>
    </row>
    <row r="811" spans="1:21" ht="15.75" customHeight="1">
      <c r="A811" s="26"/>
      <c r="B811" s="26"/>
      <c r="C811" s="26"/>
      <c r="D811" s="27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9"/>
    </row>
    <row r="812" spans="1:21" ht="15.75" customHeight="1">
      <c r="A812" s="26"/>
      <c r="B812" s="26"/>
      <c r="C812" s="26"/>
      <c r="D812" s="27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9"/>
    </row>
    <row r="813" spans="1:21" ht="15.75" customHeight="1">
      <c r="A813" s="26"/>
      <c r="B813" s="26"/>
      <c r="C813" s="26"/>
      <c r="D813" s="27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9"/>
    </row>
    <row r="814" spans="1:21" ht="15.75" customHeight="1">
      <c r="A814" s="26"/>
      <c r="B814" s="26"/>
      <c r="C814" s="26"/>
      <c r="D814" s="27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9"/>
    </row>
    <row r="815" spans="1:21" ht="15.75" customHeight="1">
      <c r="A815" s="26"/>
      <c r="B815" s="26"/>
      <c r="C815" s="26"/>
      <c r="D815" s="27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9"/>
    </row>
    <row r="816" spans="1:21" ht="15.75" customHeight="1">
      <c r="A816" s="26"/>
      <c r="B816" s="26"/>
      <c r="C816" s="26"/>
      <c r="D816" s="27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9"/>
    </row>
    <row r="817" spans="1:21" ht="15.75" customHeight="1">
      <c r="A817" s="26"/>
      <c r="B817" s="26"/>
      <c r="C817" s="26"/>
      <c r="D817" s="27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9"/>
    </row>
    <row r="818" spans="1:21" ht="15.75" customHeight="1">
      <c r="A818" s="26"/>
      <c r="B818" s="26"/>
      <c r="C818" s="26"/>
      <c r="D818" s="27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9"/>
    </row>
    <row r="819" spans="1:21" ht="15.75" customHeight="1">
      <c r="A819" s="26"/>
      <c r="B819" s="26"/>
      <c r="C819" s="26"/>
      <c r="D819" s="27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9"/>
    </row>
    <row r="820" spans="1:21" ht="15.75" customHeight="1">
      <c r="A820" s="26"/>
      <c r="B820" s="26"/>
      <c r="C820" s="26"/>
      <c r="D820" s="27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9"/>
    </row>
    <row r="821" spans="1:21" ht="15.75" customHeight="1">
      <c r="A821" s="26"/>
      <c r="B821" s="26"/>
      <c r="C821" s="26"/>
      <c r="D821" s="27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9"/>
    </row>
    <row r="822" spans="1:21" ht="15.75" customHeight="1">
      <c r="A822" s="26"/>
      <c r="B822" s="26"/>
      <c r="C822" s="26"/>
      <c r="D822" s="27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9"/>
    </row>
    <row r="823" spans="1:21" ht="15.75" customHeight="1">
      <c r="A823" s="26"/>
      <c r="B823" s="26"/>
      <c r="C823" s="26"/>
      <c r="D823" s="27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9"/>
    </row>
    <row r="824" spans="1:21" ht="15.75" customHeight="1">
      <c r="A824" s="26"/>
      <c r="B824" s="26"/>
      <c r="C824" s="26"/>
      <c r="D824" s="27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9"/>
    </row>
    <row r="825" spans="1:21" ht="15.75" customHeight="1">
      <c r="A825" s="26"/>
      <c r="B825" s="26"/>
      <c r="C825" s="26"/>
      <c r="D825" s="27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9"/>
    </row>
    <row r="826" spans="1:21" ht="15.75" customHeight="1">
      <c r="A826" s="26"/>
      <c r="B826" s="26"/>
      <c r="C826" s="26"/>
      <c r="D826" s="27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9"/>
    </row>
    <row r="827" spans="1:21" ht="15.75" customHeight="1">
      <c r="A827" s="26"/>
      <c r="B827" s="26"/>
      <c r="C827" s="26"/>
      <c r="D827" s="27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9"/>
    </row>
    <row r="828" spans="1:21" ht="15.75" customHeight="1">
      <c r="A828" s="26"/>
      <c r="B828" s="26"/>
      <c r="C828" s="26"/>
      <c r="D828" s="27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9"/>
    </row>
    <row r="829" spans="1:21" ht="15.75" customHeight="1">
      <c r="A829" s="26"/>
      <c r="B829" s="26"/>
      <c r="C829" s="26"/>
      <c r="D829" s="27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9"/>
    </row>
    <row r="830" spans="1:21" ht="15.75" customHeight="1">
      <c r="A830" s="26"/>
      <c r="B830" s="26"/>
      <c r="C830" s="26"/>
      <c r="D830" s="27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9"/>
    </row>
    <row r="831" spans="1:21" ht="15.75" customHeight="1">
      <c r="A831" s="26"/>
      <c r="B831" s="26"/>
      <c r="C831" s="26"/>
      <c r="D831" s="27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9"/>
    </row>
    <row r="832" spans="1:21" ht="15.75" customHeight="1">
      <c r="A832" s="26"/>
      <c r="B832" s="26"/>
      <c r="C832" s="26"/>
      <c r="D832" s="27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9"/>
    </row>
    <row r="833" spans="1:21" ht="15.75" customHeight="1">
      <c r="A833" s="26"/>
      <c r="B833" s="26"/>
      <c r="C833" s="26"/>
      <c r="D833" s="27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9"/>
    </row>
    <row r="834" spans="1:21" ht="15.75" customHeight="1">
      <c r="A834" s="26"/>
      <c r="B834" s="26"/>
      <c r="C834" s="26"/>
      <c r="D834" s="27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9"/>
    </row>
    <row r="835" spans="1:21" ht="15.75" customHeight="1">
      <c r="A835" s="26"/>
      <c r="B835" s="26"/>
      <c r="C835" s="26"/>
      <c r="D835" s="27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9"/>
    </row>
    <row r="836" spans="1:21" ht="15.75" customHeight="1">
      <c r="A836" s="26"/>
      <c r="B836" s="26"/>
      <c r="C836" s="26"/>
      <c r="D836" s="27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9"/>
    </row>
    <row r="837" spans="1:21" ht="15.75" customHeight="1">
      <c r="A837" s="26"/>
      <c r="B837" s="26"/>
      <c r="C837" s="26"/>
      <c r="D837" s="27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9"/>
    </row>
    <row r="838" spans="1:21" ht="15.75" customHeight="1">
      <c r="A838" s="26"/>
      <c r="B838" s="26"/>
      <c r="C838" s="26"/>
      <c r="D838" s="27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9"/>
    </row>
    <row r="839" spans="1:21" ht="15.75" customHeight="1">
      <c r="A839" s="26"/>
      <c r="B839" s="26"/>
      <c r="C839" s="26"/>
      <c r="D839" s="27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9"/>
    </row>
    <row r="840" spans="1:21" ht="15.75" customHeight="1">
      <c r="A840" s="26"/>
      <c r="B840" s="26"/>
      <c r="C840" s="26"/>
      <c r="D840" s="27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9"/>
    </row>
    <row r="841" spans="1:21" ht="15.75" customHeight="1">
      <c r="A841" s="26"/>
      <c r="B841" s="26"/>
      <c r="C841" s="26"/>
      <c r="D841" s="27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9"/>
    </row>
    <row r="842" spans="1:21" ht="15.75" customHeight="1">
      <c r="A842" s="26"/>
      <c r="B842" s="26"/>
      <c r="C842" s="26"/>
      <c r="D842" s="27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9"/>
    </row>
    <row r="843" spans="1:21" ht="15.75" customHeight="1">
      <c r="A843" s="26"/>
      <c r="B843" s="26"/>
      <c r="C843" s="26"/>
      <c r="D843" s="27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9"/>
    </row>
    <row r="844" spans="1:21" ht="15.75" customHeight="1">
      <c r="A844" s="26"/>
      <c r="B844" s="26"/>
      <c r="C844" s="26"/>
      <c r="D844" s="27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9"/>
    </row>
    <row r="845" spans="1:21" ht="15.75" customHeight="1">
      <c r="A845" s="26"/>
      <c r="B845" s="26"/>
      <c r="C845" s="26"/>
      <c r="D845" s="27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9"/>
    </row>
    <row r="846" spans="1:21" ht="15.75" customHeight="1">
      <c r="A846" s="26"/>
      <c r="B846" s="26"/>
      <c r="C846" s="26"/>
      <c r="D846" s="27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9"/>
    </row>
    <row r="847" spans="1:21" ht="15.75" customHeight="1">
      <c r="A847" s="26"/>
      <c r="B847" s="26"/>
      <c r="C847" s="26"/>
      <c r="D847" s="27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9"/>
    </row>
    <row r="848" spans="1:21" ht="15.75" customHeight="1">
      <c r="A848" s="26"/>
      <c r="B848" s="26"/>
      <c r="C848" s="26"/>
      <c r="D848" s="27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9"/>
    </row>
    <row r="849" spans="1:21" ht="15.75" customHeight="1">
      <c r="A849" s="26"/>
      <c r="B849" s="26"/>
      <c r="C849" s="26"/>
      <c r="D849" s="27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9"/>
    </row>
    <row r="850" spans="1:21" ht="15.75" customHeight="1">
      <c r="A850" s="26"/>
      <c r="B850" s="26"/>
      <c r="C850" s="26"/>
      <c r="D850" s="27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9"/>
    </row>
    <row r="851" spans="1:21" ht="15.75" customHeight="1">
      <c r="A851" s="26"/>
      <c r="B851" s="26"/>
      <c r="C851" s="26"/>
      <c r="D851" s="27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9"/>
    </row>
    <row r="852" spans="1:21" ht="15.75" customHeight="1">
      <c r="A852" s="26"/>
      <c r="B852" s="26"/>
      <c r="C852" s="26"/>
      <c r="D852" s="27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9"/>
    </row>
    <row r="853" spans="1:21" ht="15.75" customHeight="1">
      <c r="A853" s="26"/>
      <c r="B853" s="26"/>
      <c r="C853" s="26"/>
      <c r="D853" s="27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9"/>
    </row>
    <row r="854" spans="1:21" ht="15.75" customHeight="1">
      <c r="A854" s="26"/>
      <c r="B854" s="26"/>
      <c r="C854" s="26"/>
      <c r="D854" s="27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9"/>
    </row>
    <row r="855" spans="1:21" ht="15.75" customHeight="1">
      <c r="A855" s="26"/>
      <c r="B855" s="26"/>
      <c r="C855" s="26"/>
      <c r="D855" s="27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9"/>
    </row>
    <row r="856" spans="1:21" ht="15.75" customHeight="1">
      <c r="A856" s="26"/>
      <c r="B856" s="26"/>
      <c r="C856" s="26"/>
      <c r="D856" s="27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9"/>
    </row>
    <row r="857" spans="1:21" ht="15.75" customHeight="1">
      <c r="A857" s="26"/>
      <c r="B857" s="26"/>
      <c r="C857" s="26"/>
      <c r="D857" s="27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9"/>
    </row>
    <row r="858" spans="1:21" ht="15.75" customHeight="1">
      <c r="A858" s="26"/>
      <c r="B858" s="26"/>
      <c r="C858" s="26"/>
      <c r="D858" s="27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9"/>
    </row>
    <row r="859" spans="1:21" ht="15.75" customHeight="1">
      <c r="A859" s="26"/>
      <c r="B859" s="26"/>
      <c r="C859" s="26"/>
      <c r="D859" s="27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9"/>
    </row>
    <row r="860" spans="1:21" ht="15.75" customHeight="1">
      <c r="A860" s="26"/>
      <c r="B860" s="26"/>
      <c r="C860" s="26"/>
      <c r="D860" s="27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9"/>
    </row>
    <row r="861" spans="1:21" ht="15.75" customHeight="1">
      <c r="A861" s="26"/>
      <c r="B861" s="26"/>
      <c r="C861" s="26"/>
      <c r="D861" s="27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9"/>
    </row>
    <row r="862" spans="1:21" ht="15.75" customHeight="1">
      <c r="A862" s="26"/>
      <c r="B862" s="26"/>
      <c r="C862" s="26"/>
      <c r="D862" s="27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9"/>
    </row>
    <row r="863" spans="1:21" ht="15.75" customHeight="1">
      <c r="A863" s="26"/>
      <c r="B863" s="26"/>
      <c r="C863" s="26"/>
      <c r="D863" s="27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9"/>
    </row>
    <row r="864" spans="1:21" ht="15.75" customHeight="1">
      <c r="A864" s="26"/>
      <c r="B864" s="26"/>
      <c r="C864" s="26"/>
      <c r="D864" s="27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9"/>
    </row>
    <row r="865" spans="1:21" ht="15.75" customHeight="1">
      <c r="A865" s="26"/>
      <c r="B865" s="26"/>
      <c r="C865" s="26"/>
      <c r="D865" s="27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9"/>
    </row>
    <row r="866" spans="1:21" ht="15.75" customHeight="1">
      <c r="A866" s="26"/>
      <c r="B866" s="26"/>
      <c r="C866" s="26"/>
      <c r="D866" s="27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9"/>
    </row>
    <row r="867" spans="1:21" ht="15.75" customHeight="1">
      <c r="A867" s="26"/>
      <c r="B867" s="26"/>
      <c r="C867" s="26"/>
      <c r="D867" s="27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9"/>
    </row>
    <row r="868" spans="1:21" ht="15.75" customHeight="1">
      <c r="A868" s="26"/>
      <c r="B868" s="26"/>
      <c r="C868" s="26"/>
      <c r="D868" s="27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9"/>
    </row>
    <row r="869" spans="1:21" ht="15.75" customHeight="1">
      <c r="A869" s="26"/>
      <c r="B869" s="26"/>
      <c r="C869" s="26"/>
      <c r="D869" s="27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9"/>
    </row>
    <row r="870" spans="1:21" ht="15.75" customHeight="1">
      <c r="A870" s="26"/>
      <c r="B870" s="26"/>
      <c r="C870" s="26"/>
      <c r="D870" s="27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9"/>
    </row>
    <row r="871" spans="1:21" ht="15.75" customHeight="1">
      <c r="A871" s="26"/>
      <c r="B871" s="26"/>
      <c r="C871" s="26"/>
      <c r="D871" s="27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9"/>
    </row>
    <row r="872" spans="1:21" ht="15.75" customHeight="1">
      <c r="A872" s="26"/>
      <c r="B872" s="26"/>
      <c r="C872" s="26"/>
      <c r="D872" s="27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9"/>
    </row>
    <row r="873" spans="1:21" ht="15.75" customHeight="1">
      <c r="A873" s="26"/>
      <c r="B873" s="26"/>
      <c r="C873" s="26"/>
      <c r="D873" s="27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9"/>
    </row>
    <row r="874" spans="1:21" ht="15.75" customHeight="1">
      <c r="A874" s="26"/>
      <c r="B874" s="26"/>
      <c r="C874" s="26"/>
      <c r="D874" s="27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9"/>
    </row>
    <row r="875" spans="1:21" ht="15.75" customHeight="1">
      <c r="A875" s="26"/>
      <c r="B875" s="26"/>
      <c r="C875" s="26"/>
      <c r="D875" s="27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9"/>
    </row>
    <row r="876" spans="1:21" ht="15.75" customHeight="1">
      <c r="A876" s="26"/>
      <c r="B876" s="26"/>
      <c r="C876" s="26"/>
      <c r="D876" s="27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9"/>
    </row>
    <row r="877" spans="1:21" ht="15.75" customHeight="1">
      <c r="A877" s="26"/>
      <c r="B877" s="26"/>
      <c r="C877" s="26"/>
      <c r="D877" s="27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9"/>
    </row>
    <row r="878" spans="1:21" ht="15.75" customHeight="1">
      <c r="A878" s="26"/>
      <c r="B878" s="26"/>
      <c r="C878" s="26"/>
      <c r="D878" s="27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9"/>
    </row>
    <row r="879" spans="1:21" ht="15.75" customHeight="1">
      <c r="A879" s="26"/>
      <c r="B879" s="26"/>
      <c r="C879" s="26"/>
      <c r="D879" s="27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9"/>
    </row>
    <row r="880" spans="1:21" ht="15.75" customHeight="1">
      <c r="A880" s="26"/>
      <c r="B880" s="26"/>
      <c r="C880" s="26"/>
      <c r="D880" s="27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9"/>
    </row>
    <row r="881" spans="1:21" ht="15.75" customHeight="1">
      <c r="A881" s="26"/>
      <c r="B881" s="26"/>
      <c r="C881" s="26"/>
      <c r="D881" s="27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9"/>
    </row>
    <row r="882" spans="1:21" ht="15.75" customHeight="1">
      <c r="A882" s="26"/>
      <c r="B882" s="26"/>
      <c r="C882" s="26"/>
      <c r="D882" s="27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9"/>
    </row>
    <row r="883" spans="1:21" ht="15.75" customHeight="1">
      <c r="A883" s="26"/>
      <c r="B883" s="26"/>
      <c r="C883" s="26"/>
      <c r="D883" s="27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9"/>
    </row>
    <row r="884" spans="1:21" ht="15.75" customHeight="1">
      <c r="A884" s="26"/>
      <c r="B884" s="26"/>
      <c r="C884" s="26"/>
      <c r="D884" s="27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9"/>
    </row>
    <row r="885" spans="1:21" ht="15.75" customHeight="1">
      <c r="A885" s="26"/>
      <c r="B885" s="26"/>
      <c r="C885" s="26"/>
      <c r="D885" s="27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9"/>
    </row>
    <row r="886" spans="1:21" ht="15.75" customHeight="1">
      <c r="A886" s="26"/>
      <c r="B886" s="26"/>
      <c r="C886" s="26"/>
      <c r="D886" s="27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9"/>
    </row>
    <row r="887" spans="1:21" ht="15.75" customHeight="1">
      <c r="A887" s="26"/>
      <c r="B887" s="26"/>
      <c r="C887" s="26"/>
      <c r="D887" s="27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9"/>
    </row>
    <row r="888" spans="1:21" ht="15.75" customHeight="1">
      <c r="A888" s="26"/>
      <c r="B888" s="26"/>
      <c r="C888" s="26"/>
      <c r="D888" s="27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9"/>
    </row>
    <row r="889" spans="1:21" ht="15.75" customHeight="1">
      <c r="A889" s="26"/>
      <c r="B889" s="26"/>
      <c r="C889" s="26"/>
      <c r="D889" s="27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9"/>
    </row>
    <row r="890" spans="1:21" ht="15.75" customHeight="1">
      <c r="A890" s="26"/>
      <c r="B890" s="26"/>
      <c r="C890" s="26"/>
      <c r="D890" s="27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9"/>
    </row>
    <row r="891" spans="1:21" ht="15.75" customHeight="1">
      <c r="A891" s="26"/>
      <c r="B891" s="26"/>
      <c r="C891" s="26"/>
      <c r="D891" s="27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9"/>
    </row>
    <row r="892" spans="1:21" ht="15.75" customHeight="1">
      <c r="A892" s="26"/>
      <c r="B892" s="26"/>
      <c r="C892" s="26"/>
      <c r="D892" s="27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9"/>
    </row>
    <row r="893" spans="1:21" ht="15.75" customHeight="1">
      <c r="A893" s="26"/>
      <c r="B893" s="26"/>
      <c r="C893" s="26"/>
      <c r="D893" s="27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9"/>
    </row>
    <row r="894" spans="1:21" ht="15.75" customHeight="1">
      <c r="A894" s="26"/>
      <c r="B894" s="26"/>
      <c r="C894" s="26"/>
      <c r="D894" s="27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9"/>
    </row>
    <row r="895" spans="1:21" ht="15.75" customHeight="1">
      <c r="A895" s="26"/>
      <c r="B895" s="26"/>
      <c r="C895" s="26"/>
      <c r="D895" s="27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9"/>
    </row>
    <row r="896" spans="1:21" ht="15.75" customHeight="1">
      <c r="A896" s="26"/>
      <c r="B896" s="26"/>
      <c r="C896" s="26"/>
      <c r="D896" s="27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9"/>
    </row>
    <row r="897" spans="1:21" ht="15.75" customHeight="1">
      <c r="A897" s="26"/>
      <c r="B897" s="26"/>
      <c r="C897" s="26"/>
      <c r="D897" s="27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9"/>
    </row>
    <row r="898" spans="1:21" ht="15.75" customHeight="1">
      <c r="A898" s="26"/>
      <c r="B898" s="26"/>
      <c r="C898" s="26"/>
      <c r="D898" s="27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9"/>
    </row>
    <row r="899" spans="1:21" ht="15.75" customHeight="1">
      <c r="A899" s="26"/>
      <c r="B899" s="26"/>
      <c r="C899" s="26"/>
      <c r="D899" s="27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9"/>
    </row>
    <row r="900" spans="1:21" ht="15.75" customHeight="1">
      <c r="A900" s="26"/>
      <c r="B900" s="26"/>
      <c r="C900" s="26"/>
      <c r="D900" s="27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9"/>
    </row>
    <row r="901" spans="1:21" ht="15.75" customHeight="1">
      <c r="A901" s="26"/>
      <c r="B901" s="26"/>
      <c r="C901" s="26"/>
      <c r="D901" s="27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9"/>
    </row>
    <row r="902" spans="1:21" ht="15.75" customHeight="1">
      <c r="A902" s="26"/>
      <c r="B902" s="26"/>
      <c r="C902" s="26"/>
      <c r="D902" s="27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9"/>
    </row>
    <row r="903" spans="1:21" ht="15.75" customHeight="1">
      <c r="A903" s="26"/>
      <c r="B903" s="26"/>
      <c r="C903" s="26"/>
      <c r="D903" s="27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9"/>
    </row>
    <row r="904" spans="1:21" ht="15.75" customHeight="1">
      <c r="A904" s="26"/>
      <c r="B904" s="26"/>
      <c r="C904" s="26"/>
      <c r="D904" s="27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9"/>
    </row>
    <row r="905" spans="1:21" ht="15.75" customHeight="1">
      <c r="A905" s="26"/>
      <c r="B905" s="26"/>
      <c r="C905" s="26"/>
      <c r="D905" s="27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9"/>
    </row>
    <row r="906" spans="1:21" ht="15.75" customHeight="1">
      <c r="A906" s="26"/>
      <c r="B906" s="26"/>
      <c r="C906" s="26"/>
      <c r="D906" s="27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9"/>
    </row>
    <row r="907" spans="1:21" ht="15.75" customHeight="1">
      <c r="A907" s="26"/>
      <c r="B907" s="26"/>
      <c r="C907" s="26"/>
      <c r="D907" s="27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9"/>
    </row>
    <row r="908" spans="1:21" ht="15.75" customHeight="1">
      <c r="A908" s="26"/>
      <c r="B908" s="26"/>
      <c r="C908" s="26"/>
      <c r="D908" s="27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9"/>
    </row>
    <row r="909" spans="1:21" ht="15.75" customHeight="1">
      <c r="A909" s="26"/>
      <c r="B909" s="26"/>
      <c r="C909" s="26"/>
      <c r="D909" s="27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9"/>
    </row>
    <row r="910" spans="1:21" ht="15.75" customHeight="1">
      <c r="A910" s="26"/>
      <c r="B910" s="26"/>
      <c r="C910" s="26"/>
      <c r="D910" s="27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9"/>
    </row>
    <row r="911" spans="1:21" ht="15.75" customHeight="1">
      <c r="A911" s="26"/>
      <c r="B911" s="26"/>
      <c r="C911" s="26"/>
      <c r="D911" s="27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9"/>
    </row>
    <row r="912" spans="1:21" ht="15.75" customHeight="1">
      <c r="A912" s="26"/>
      <c r="B912" s="26"/>
      <c r="C912" s="26"/>
      <c r="D912" s="27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9"/>
    </row>
    <row r="913" spans="1:21" ht="15.75" customHeight="1">
      <c r="A913" s="26"/>
      <c r="B913" s="26"/>
      <c r="C913" s="26"/>
      <c r="D913" s="27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9"/>
    </row>
    <row r="914" spans="1:21" ht="15.75" customHeight="1">
      <c r="A914" s="26"/>
      <c r="B914" s="26"/>
      <c r="C914" s="26"/>
      <c r="D914" s="27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9"/>
    </row>
    <row r="915" spans="1:21" ht="15.75" customHeight="1">
      <c r="A915" s="26"/>
      <c r="B915" s="26"/>
      <c r="C915" s="26"/>
      <c r="D915" s="27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9"/>
    </row>
    <row r="916" spans="1:21" ht="15.75" customHeight="1">
      <c r="A916" s="26"/>
      <c r="B916" s="26"/>
      <c r="C916" s="26"/>
      <c r="D916" s="27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9"/>
    </row>
    <row r="917" spans="1:21" ht="15.75" customHeight="1">
      <c r="A917" s="26"/>
      <c r="B917" s="26"/>
      <c r="C917" s="26"/>
      <c r="D917" s="27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9"/>
    </row>
    <row r="918" spans="1:21" ht="15.75" customHeight="1">
      <c r="A918" s="26"/>
      <c r="B918" s="26"/>
      <c r="C918" s="26"/>
      <c r="D918" s="27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9"/>
    </row>
    <row r="919" spans="1:21" ht="15.75" customHeight="1">
      <c r="A919" s="26"/>
      <c r="B919" s="26"/>
      <c r="C919" s="26"/>
      <c r="D919" s="27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9"/>
    </row>
    <row r="920" spans="1:21" ht="15.75" customHeight="1">
      <c r="A920" s="26"/>
      <c r="B920" s="26"/>
      <c r="C920" s="26"/>
      <c r="D920" s="27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9"/>
    </row>
    <row r="921" spans="1:21" ht="15.75" customHeight="1">
      <c r="A921" s="26"/>
      <c r="B921" s="26"/>
      <c r="C921" s="26"/>
      <c r="D921" s="27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9"/>
    </row>
    <row r="922" spans="1:21" ht="15.75" customHeight="1">
      <c r="A922" s="26"/>
      <c r="B922" s="26"/>
      <c r="C922" s="26"/>
      <c r="D922" s="27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9"/>
    </row>
    <row r="923" spans="1:21" ht="15.75" customHeight="1">
      <c r="A923" s="26"/>
      <c r="B923" s="26"/>
      <c r="C923" s="26"/>
      <c r="D923" s="27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9"/>
    </row>
    <row r="924" spans="1:21" ht="15.75" customHeight="1">
      <c r="A924" s="26"/>
      <c r="B924" s="26"/>
      <c r="C924" s="26"/>
      <c r="D924" s="27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9"/>
    </row>
    <row r="925" spans="1:21" ht="15.75" customHeight="1">
      <c r="A925" s="26"/>
      <c r="B925" s="26"/>
      <c r="C925" s="26"/>
      <c r="D925" s="27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9"/>
    </row>
    <row r="926" spans="1:21" ht="15.75" customHeight="1">
      <c r="A926" s="26"/>
      <c r="B926" s="26"/>
      <c r="C926" s="26"/>
      <c r="D926" s="27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9"/>
    </row>
    <row r="927" spans="1:21" ht="15.75" customHeight="1">
      <c r="A927" s="26"/>
      <c r="B927" s="26"/>
      <c r="C927" s="26"/>
      <c r="D927" s="27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9"/>
    </row>
    <row r="928" spans="1:21" ht="15.75" customHeight="1">
      <c r="A928" s="26"/>
      <c r="B928" s="26"/>
      <c r="C928" s="26"/>
      <c r="D928" s="27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9"/>
    </row>
    <row r="929" spans="1:21" ht="15.75" customHeight="1">
      <c r="A929" s="26"/>
      <c r="B929" s="26"/>
      <c r="C929" s="26"/>
      <c r="D929" s="27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9"/>
    </row>
    <row r="930" spans="1:21" ht="15.75" customHeight="1">
      <c r="A930" s="26"/>
      <c r="B930" s="26"/>
      <c r="C930" s="26"/>
      <c r="D930" s="27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9"/>
    </row>
    <row r="931" spans="1:21" ht="15.75" customHeight="1">
      <c r="A931" s="26"/>
      <c r="B931" s="26"/>
      <c r="C931" s="26"/>
      <c r="D931" s="27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9"/>
    </row>
    <row r="932" spans="1:21" ht="15.75" customHeight="1">
      <c r="A932" s="26"/>
      <c r="B932" s="26"/>
      <c r="C932" s="26"/>
      <c r="D932" s="27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9"/>
    </row>
    <row r="933" spans="1:21" ht="15.75" customHeight="1">
      <c r="A933" s="26"/>
      <c r="B933" s="26"/>
      <c r="C933" s="26"/>
      <c r="D933" s="27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9"/>
    </row>
    <row r="934" spans="1:21" ht="15.75" customHeight="1">
      <c r="A934" s="26"/>
      <c r="B934" s="26"/>
      <c r="C934" s="26"/>
      <c r="D934" s="27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9"/>
    </row>
    <row r="935" spans="1:21" ht="15.75" customHeight="1">
      <c r="A935" s="26"/>
      <c r="B935" s="26"/>
      <c r="C935" s="26"/>
      <c r="D935" s="27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9"/>
    </row>
    <row r="936" spans="1:21" ht="15.75" customHeight="1">
      <c r="A936" s="26"/>
      <c r="B936" s="26"/>
      <c r="C936" s="26"/>
      <c r="D936" s="27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9"/>
    </row>
    <row r="937" spans="1:21" ht="15.75" customHeight="1">
      <c r="A937" s="26"/>
      <c r="B937" s="26"/>
      <c r="C937" s="26"/>
      <c r="D937" s="27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9"/>
    </row>
    <row r="938" spans="1:21" ht="15.75" customHeight="1">
      <c r="A938" s="26"/>
      <c r="B938" s="26"/>
      <c r="C938" s="26"/>
      <c r="D938" s="27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9"/>
    </row>
    <row r="939" spans="1:21" ht="15.75" customHeight="1">
      <c r="A939" s="26"/>
      <c r="B939" s="26"/>
      <c r="C939" s="26"/>
      <c r="D939" s="27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9"/>
    </row>
    <row r="940" spans="1:21" ht="15.75" customHeight="1">
      <c r="A940" s="26"/>
      <c r="B940" s="26"/>
      <c r="C940" s="26"/>
      <c r="D940" s="27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9"/>
    </row>
    <row r="941" spans="1:21" ht="15.75" customHeight="1">
      <c r="A941" s="26"/>
      <c r="B941" s="26"/>
      <c r="C941" s="26"/>
      <c r="D941" s="27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9"/>
    </row>
    <row r="942" spans="1:21" ht="15.75" customHeight="1">
      <c r="A942" s="26"/>
      <c r="B942" s="26"/>
      <c r="C942" s="26"/>
      <c r="D942" s="27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9"/>
    </row>
    <row r="943" spans="1:21" ht="15.75" customHeight="1">
      <c r="A943" s="26"/>
      <c r="B943" s="26"/>
      <c r="C943" s="26"/>
      <c r="D943" s="27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9"/>
    </row>
    <row r="944" spans="1:21" ht="15.75" customHeight="1">
      <c r="A944" s="26"/>
      <c r="B944" s="26"/>
      <c r="C944" s="26"/>
      <c r="D944" s="27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9"/>
    </row>
    <row r="945" spans="1:21" ht="15.75" customHeight="1">
      <c r="A945" s="26"/>
      <c r="B945" s="26"/>
      <c r="C945" s="26"/>
      <c r="D945" s="27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9"/>
    </row>
    <row r="946" spans="1:21" ht="15.75" customHeight="1">
      <c r="A946" s="26"/>
      <c r="B946" s="26"/>
      <c r="C946" s="26"/>
      <c r="D946" s="27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9"/>
    </row>
    <row r="947" spans="1:21" ht="15.75" customHeight="1">
      <c r="A947" s="26"/>
      <c r="B947" s="26"/>
      <c r="C947" s="26"/>
      <c r="D947" s="27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9"/>
    </row>
    <row r="948" spans="1:21" ht="15.75" customHeight="1">
      <c r="A948" s="26"/>
      <c r="B948" s="26"/>
      <c r="C948" s="26"/>
      <c r="D948" s="27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9"/>
    </row>
    <row r="949" spans="1:21" ht="15.75" customHeight="1">
      <c r="A949" s="26"/>
      <c r="B949" s="26"/>
      <c r="C949" s="26"/>
      <c r="D949" s="27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9"/>
    </row>
    <row r="950" spans="1:21" ht="15.75" customHeight="1">
      <c r="A950" s="26"/>
      <c r="B950" s="26"/>
      <c r="C950" s="26"/>
      <c r="D950" s="27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9"/>
    </row>
    <row r="951" spans="1:21" ht="15.75" customHeight="1">
      <c r="A951" s="26"/>
      <c r="B951" s="26"/>
      <c r="C951" s="26"/>
      <c r="D951" s="27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9"/>
    </row>
    <row r="952" spans="1:21" ht="15.75" customHeight="1">
      <c r="A952" s="26"/>
      <c r="B952" s="26"/>
      <c r="C952" s="26"/>
      <c r="D952" s="27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9"/>
    </row>
    <row r="953" spans="1:21" ht="15.75" customHeight="1">
      <c r="A953" s="26"/>
      <c r="B953" s="26"/>
      <c r="C953" s="26"/>
      <c r="D953" s="27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9"/>
    </row>
    <row r="954" spans="1:21" ht="15.75" customHeight="1">
      <c r="A954" s="26"/>
      <c r="B954" s="26"/>
      <c r="C954" s="26"/>
      <c r="D954" s="27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9"/>
    </row>
    <row r="955" spans="1:21" ht="15.75" customHeight="1">
      <c r="A955" s="26"/>
      <c r="B955" s="26"/>
      <c r="C955" s="26"/>
      <c r="D955" s="27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9"/>
    </row>
    <row r="956" spans="1:21" ht="15.75" customHeight="1">
      <c r="A956" s="26"/>
      <c r="B956" s="26"/>
      <c r="C956" s="26"/>
      <c r="D956" s="27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9"/>
    </row>
    <row r="957" spans="1:21" ht="15.75" customHeight="1">
      <c r="A957" s="26"/>
      <c r="B957" s="26"/>
      <c r="C957" s="26"/>
      <c r="D957" s="27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9"/>
    </row>
    <row r="958" spans="1:21" ht="15.75" customHeight="1">
      <c r="A958" s="26"/>
      <c r="B958" s="26"/>
      <c r="C958" s="26"/>
      <c r="D958" s="27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9"/>
    </row>
    <row r="959" spans="1:21" ht="15.75" customHeight="1">
      <c r="A959" s="26"/>
      <c r="B959" s="26"/>
      <c r="C959" s="26"/>
      <c r="D959" s="27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9"/>
    </row>
    <row r="960" spans="1:21" ht="15.75" customHeight="1">
      <c r="A960" s="26"/>
      <c r="B960" s="26"/>
      <c r="C960" s="26"/>
      <c r="D960" s="27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9"/>
    </row>
    <row r="961" spans="1:21" ht="15.75" customHeight="1">
      <c r="A961" s="26"/>
      <c r="B961" s="26"/>
      <c r="C961" s="26"/>
      <c r="D961" s="27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9"/>
    </row>
    <row r="962" spans="1:21" ht="15.75" customHeight="1">
      <c r="A962" s="26"/>
      <c r="B962" s="26"/>
      <c r="C962" s="26"/>
      <c r="D962" s="27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9"/>
    </row>
    <row r="963" spans="1:21" ht="15.75" customHeight="1">
      <c r="A963" s="26"/>
      <c r="B963" s="26"/>
      <c r="C963" s="26"/>
      <c r="D963" s="27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9"/>
    </row>
    <row r="964" spans="1:21" ht="15.75" customHeight="1">
      <c r="A964" s="26"/>
      <c r="B964" s="26"/>
      <c r="C964" s="26"/>
      <c r="D964" s="27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9"/>
    </row>
    <row r="965" spans="1:21" ht="15.75" customHeight="1">
      <c r="A965" s="26"/>
      <c r="B965" s="26"/>
      <c r="C965" s="26"/>
      <c r="D965" s="27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9"/>
    </row>
    <row r="966" spans="1:21" ht="15.75" customHeight="1">
      <c r="A966" s="26"/>
      <c r="B966" s="26"/>
      <c r="C966" s="26"/>
      <c r="D966" s="27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9"/>
    </row>
    <row r="967" spans="1:21" ht="15.75" customHeight="1">
      <c r="A967" s="26"/>
      <c r="B967" s="26"/>
      <c r="C967" s="26"/>
      <c r="D967" s="27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9"/>
    </row>
    <row r="968" spans="1:21" ht="15.75" customHeight="1">
      <c r="A968" s="26"/>
      <c r="B968" s="26"/>
      <c r="C968" s="26"/>
      <c r="D968" s="27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9"/>
    </row>
    <row r="969" spans="1:21" ht="15.75" customHeight="1">
      <c r="A969" s="26"/>
      <c r="B969" s="26"/>
      <c r="C969" s="26"/>
      <c r="D969" s="27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9"/>
    </row>
    <row r="970" spans="1:21" ht="15.75" customHeight="1">
      <c r="A970" s="26"/>
      <c r="B970" s="26"/>
      <c r="C970" s="26"/>
      <c r="D970" s="27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9"/>
    </row>
    <row r="971" spans="1:21" ht="15.75" customHeight="1">
      <c r="A971" s="26"/>
      <c r="B971" s="26"/>
      <c r="C971" s="26"/>
      <c r="D971" s="27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9"/>
    </row>
    <row r="972" spans="1:21" ht="15.75" customHeight="1">
      <c r="A972" s="26"/>
      <c r="B972" s="26"/>
      <c r="C972" s="26"/>
      <c r="D972" s="27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9"/>
    </row>
    <row r="973" spans="1:21" ht="15.75" customHeight="1">
      <c r="A973" s="26"/>
      <c r="B973" s="26"/>
      <c r="C973" s="26"/>
      <c r="D973" s="27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9"/>
    </row>
    <row r="974" spans="1:21" ht="15.75" customHeight="1">
      <c r="A974" s="26"/>
      <c r="B974" s="26"/>
      <c r="C974" s="26"/>
      <c r="D974" s="27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9"/>
    </row>
    <row r="975" spans="1:21" ht="15.75" customHeight="1">
      <c r="A975" s="26"/>
      <c r="B975" s="26"/>
      <c r="C975" s="26"/>
      <c r="D975" s="27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9"/>
    </row>
    <row r="976" spans="1:21" ht="15.75" customHeight="1">
      <c r="A976" s="26"/>
      <c r="B976" s="26"/>
      <c r="C976" s="26"/>
      <c r="D976" s="27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9"/>
    </row>
    <row r="977" spans="1:21" ht="15.75" customHeight="1">
      <c r="A977" s="26"/>
      <c r="B977" s="26"/>
      <c r="C977" s="26"/>
      <c r="D977" s="27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9"/>
    </row>
    <row r="978" spans="1:21" ht="15.75" customHeight="1">
      <c r="A978" s="26"/>
      <c r="B978" s="26"/>
      <c r="C978" s="26"/>
      <c r="D978" s="27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9"/>
    </row>
    <row r="979" spans="1:21" ht="15.75" customHeight="1">
      <c r="A979" s="26"/>
      <c r="B979" s="26"/>
      <c r="C979" s="26"/>
      <c r="D979" s="27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9"/>
    </row>
    <row r="980" spans="1:21" ht="15.75" customHeight="1">
      <c r="A980" s="26"/>
      <c r="B980" s="26"/>
      <c r="C980" s="26"/>
      <c r="D980" s="27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9"/>
    </row>
    <row r="981" spans="1:21" ht="15.75" customHeight="1">
      <c r="A981" s="26"/>
      <c r="B981" s="26"/>
      <c r="C981" s="26"/>
      <c r="D981" s="27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9"/>
    </row>
    <row r="982" spans="1:21" ht="15.75" customHeight="1">
      <c r="A982" s="26"/>
      <c r="B982" s="26"/>
      <c r="C982" s="26"/>
      <c r="D982" s="27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9"/>
    </row>
    <row r="983" spans="1:21" ht="15.75" customHeight="1">
      <c r="A983" s="26"/>
      <c r="B983" s="26"/>
      <c r="C983" s="26"/>
      <c r="D983" s="27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9"/>
    </row>
    <row r="984" spans="1:21" ht="15.75" customHeight="1">
      <c r="A984" s="26"/>
      <c r="B984" s="26"/>
      <c r="C984" s="26"/>
      <c r="D984" s="27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9"/>
    </row>
    <row r="985" spans="1:21" ht="15.75" customHeight="1">
      <c r="A985" s="26"/>
      <c r="B985" s="26"/>
      <c r="C985" s="26"/>
      <c r="D985" s="27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9"/>
    </row>
    <row r="986" spans="1:21" ht="15.75" customHeight="1">
      <c r="A986" s="26"/>
      <c r="B986" s="26"/>
      <c r="C986" s="26"/>
      <c r="D986" s="27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9"/>
    </row>
    <row r="987" spans="1:21" ht="15.75" customHeight="1">
      <c r="A987" s="26"/>
      <c r="B987" s="26"/>
      <c r="C987" s="26"/>
      <c r="D987" s="27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9"/>
    </row>
    <row r="988" spans="1:21" ht="15.75" customHeight="1">
      <c r="A988" s="26"/>
      <c r="B988" s="26"/>
      <c r="C988" s="26"/>
      <c r="D988" s="27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9"/>
    </row>
    <row r="989" spans="1:21" ht="15.75" customHeight="1">
      <c r="A989" s="26"/>
      <c r="B989" s="26"/>
      <c r="C989" s="26"/>
      <c r="D989" s="27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9"/>
    </row>
    <row r="990" spans="1:21" ht="15.75" customHeight="1">
      <c r="A990" s="26"/>
      <c r="B990" s="26"/>
      <c r="C990" s="26"/>
      <c r="D990" s="27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9"/>
    </row>
    <row r="991" spans="1:21" ht="15.75" customHeight="1">
      <c r="A991" s="26"/>
      <c r="B991" s="26"/>
      <c r="C991" s="26"/>
      <c r="D991" s="27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9"/>
    </row>
    <row r="992" spans="1:21" ht="15.75" customHeight="1">
      <c r="A992" s="26"/>
      <c r="B992" s="26"/>
      <c r="C992" s="26"/>
      <c r="D992" s="27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9"/>
    </row>
    <row r="993" spans="1:21" ht="15.75" customHeight="1">
      <c r="A993" s="26"/>
      <c r="B993" s="26"/>
      <c r="C993" s="26"/>
      <c r="D993" s="27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9"/>
    </row>
    <row r="994" spans="1:21" ht="15.75" customHeight="1">
      <c r="A994" s="26"/>
      <c r="B994" s="26"/>
      <c r="C994" s="26"/>
      <c r="D994" s="27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9"/>
    </row>
    <row r="995" spans="1:21" ht="15.75" customHeight="1">
      <c r="A995" s="26"/>
      <c r="B995" s="26"/>
      <c r="C995" s="26"/>
      <c r="D995" s="27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9"/>
    </row>
    <row r="996" spans="1:21" ht="15.75" customHeight="1">
      <c r="A996" s="26"/>
      <c r="B996" s="26"/>
      <c r="C996" s="26"/>
      <c r="D996" s="27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9"/>
    </row>
    <row r="997" spans="1:21" ht="15.75" customHeight="1">
      <c r="A997" s="26"/>
      <c r="B997" s="26"/>
      <c r="C997" s="26"/>
      <c r="D997" s="27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9"/>
    </row>
    <row r="998" spans="1:21" ht="15.75" customHeight="1">
      <c r="A998" s="26"/>
      <c r="B998" s="26"/>
      <c r="C998" s="26"/>
      <c r="D998" s="27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9"/>
    </row>
    <row r="999" spans="1:21" ht="15.75" customHeight="1">
      <c r="A999" s="26"/>
      <c r="B999" s="26"/>
      <c r="C999" s="26"/>
      <c r="D999" s="27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9"/>
    </row>
    <row r="1000" spans="1:21" ht="15.75" customHeight="1">
      <c r="A1000" s="29"/>
      <c r="B1000" s="29"/>
      <c r="C1000" s="29"/>
      <c r="D1000" s="29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29"/>
    </row>
  </sheetData>
  <autoFilter ref="A2:U2" xr:uid="{00000000-0009-0000-0000-000000000000}"/>
  <mergeCells count="1">
    <mergeCell ref="A1:D1"/>
  </mergeCells>
  <pageMargins left="0.70866141732283472" right="0.70866141732283472" top="0.74803149606299213" bottom="0.74803149606299213" header="0" footer="0"/>
  <pageSetup scale="8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2578125" defaultRowHeight="15" customHeight="1"/>
  <cols>
    <col min="1" max="1" width="2.42578125" customWidth="1"/>
    <col min="2" max="2" width="43.28515625" customWidth="1"/>
    <col min="3" max="3" width="101.140625" customWidth="1"/>
    <col min="4" max="4" width="27.7109375" customWidth="1"/>
    <col min="5" max="6" width="11.5703125" customWidth="1"/>
    <col min="7" max="23" width="10.7109375" customWidth="1"/>
  </cols>
  <sheetData>
    <row r="1" spans="1:26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2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4.25" hidden="1" customHeight="1">
      <c r="A3" s="31"/>
      <c r="B3" s="32" t="s">
        <v>1109</v>
      </c>
      <c r="C3" s="32" t="s">
        <v>1110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28.5">
      <c r="A4" s="31"/>
      <c r="B4" s="33" t="s">
        <v>1111</v>
      </c>
      <c r="C4" s="33">
        <v>1020469042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28.5">
      <c r="A5" s="31"/>
      <c r="B5" s="33" t="s">
        <v>1112</v>
      </c>
      <c r="C5" s="34" t="s">
        <v>251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28.5">
      <c r="A6" s="31"/>
      <c r="B6" s="33"/>
      <c r="C6" s="33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46.5">
      <c r="A7" s="31"/>
      <c r="B7" s="33" t="s">
        <v>1113</v>
      </c>
      <c r="C7" s="35" t="e">
        <f t="array" aca="1" ref="C7" ca="1">_xludf.XLOOKUP(1, (Hoja1!A:A=C4) * (Hoja1!D:D=C5), Hoja1!B:B &amp; " " &amp; Hoja1!C:C, "Usuario no encontrado")</f>
        <v>#NAME?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57">
      <c r="A8" s="31"/>
      <c r="B8" s="36" t="s">
        <v>1114</v>
      </c>
      <c r="C8" s="37" t="e">
        <f t="array" aca="1" ref="C8" ca="1">_xludf.XLOOKUP(1, (Hoja1!A:A=C4) * (Hoja1!D:D=C5), Hoja1!U:U, 0)</f>
        <v>#NAME?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4.2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4.2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4.2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4.2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4.2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4.2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4.2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4.2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4.2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4.2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4.2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4.2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4.2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4.2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4.2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4.2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4.2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4.2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4.2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4.2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4.2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4.2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4.2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4.2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4.2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4.2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4.2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4.2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4.2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4.2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4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4.2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4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4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4.2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Valor Cuenta de Cobro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DANNI ANDRES MEJIA CORREA</dc:creator>
  <cp:lastModifiedBy>DANNI ANDRES MEJIA CORREA</cp:lastModifiedBy>
  <dcterms:created xsi:type="dcterms:W3CDTF">2026-07-16T12:20:00Z</dcterms:created>
  <dcterms:modified xsi:type="dcterms:W3CDTF">2026-07-16T19:51:41Z</dcterms:modified>
</cp:coreProperties>
</file>